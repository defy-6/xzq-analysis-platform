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c41dfba52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5f58e8021a24062"/>
    <x:sheet xmlns:r="http://schemas.openxmlformats.org/officeDocument/2006/relationships" name="分类映射" sheetId="2" r:id="R76ba58c727084c5a"/>
    <x:sheet xmlns:r="http://schemas.openxmlformats.org/officeDocument/2006/relationships" name="标准化长表" sheetId="3" r:id="Rc0b2e51dfad54cf7"/>
    <x:sheet xmlns:r="http://schemas.openxmlformats.org/officeDocument/2006/relationships" name="区县三类汇总" sheetId="4" r:id="Rb2c2e84995fd456b"/>
    <x:sheet xmlns:r="http://schemas.openxmlformats.org/officeDocument/2006/relationships" name="城市三类汇总" sheetId="5" r:id="Rc03d2eaae7a845f9"/>
    <x:sheet xmlns:r="http://schemas.openxmlformats.org/officeDocument/2006/relationships" name="区县指标" sheetId="6" r:id="Ra3bfc46f40e24913"/>
    <x:sheet xmlns:r="http://schemas.openxmlformats.org/officeDocument/2006/relationships" name="城市指标" sheetId="7" r:id="Rd0cbc29fd2854df3"/>
    <x:sheet xmlns:r="http://schemas.openxmlformats.org/officeDocument/2006/relationships" name="区县LQ" sheetId="8" r:id="Re549df297c9a43f6"/>
    <x:sheet xmlns:r="http://schemas.openxmlformats.org/officeDocument/2006/relationships" name="权属交叉" sheetId="9" r:id="Re70dd52045bb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#,##0.00"/>
    <x:numFmt numFmtId="202" formatCode="0"/>
    <x:numFmt numFmtId="203" formatCode="0.00%"/>
    <x:numFmt numFmtId="204" formatCode="0.0000"/>
    <x:numFmt numFmtId="205" formatCode="0.00"/>
    <x:numFmt numFmtId="206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right style="thin">
        <x:color rgb="FFE3E8ED"/>
      </x:right>
      <x:top style="thin">
        <x:color rgb="FFC8D2DC"/>
      </x:top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top style="thin">
        <x:color rgb="FFC8D2DC"/>
      </x:top>
      <x:bottom style="thin">
        <x:color rgb="FFE3E8ED"/>
      </x:bottom>
    </x:border>
    <x:border>
      <x:left style="thin">
        <x:color rgb="FFE3E8ED"/>
      </x:left>
      <x:top style="thin">
        <x:color rgb="FFC8D2DC"/>
      </x:top>
      <x:bottom style="thin">
        <x:color rgb="FFE3E8ED"/>
      </x:bottom>
    </x:border>
    <x:border>
      <x:left style="thin">
        <x:color rgb="FFC8D2DC"/>
      </x:left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top style="thin">
        <x:color rgb="FFE3E8ED"/>
      </x:top>
      <x:bottom style="thin">
        <x:color rgb="FFE3E8ED"/>
      </x:bottom>
    </x:border>
    <x:border>
      <x:left style="thin">
        <x:color rgb="FFC8D2DC"/>
      </x:left>
      <x:right style="thin">
        <x:color rgb="FFE3E8ED"/>
      </x:right>
      <x:top style="thin">
        <x:color rgb="FFE3E8ED"/>
      </x:top>
      <x:bottom style="thin">
        <x:color rgb="FFC8D2DC"/>
      </x:bottom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C8D2DC"/>
      </x:bottom>
    </x:border>
    <x:border>
      <x:left style="thin">
        <x:color rgb="FFE3E8ED"/>
      </x:left>
      <x:top style="thin">
        <x:color rgb="FFE3E8ED"/>
      </x:top>
      <x:bottom style="thin">
        <x:color rgb="FFC8D2DC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0" fontId="0" fillId="0" borderId="12" xfId="0" applyNumberFormat="1" applyFont="1" applyFill="1" applyBorder="1"/>
    <x:xf numFmtId="201" fontId="0" fillId="0" borderId="12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9" xfId="0" applyNumberFormat="1" applyFont="1" applyFill="1" applyBorder="1"/>
    <x:xf numFmtId="204" fontId="0" fillId="0" borderId="10" xfId="0" applyNumberFormat="1" applyFont="1" applyFill="1" applyBorder="1"/>
    <x:xf numFmtId="203" fontId="0" fillId="0" borderId="12" xfId="0" applyNumberFormat="1" applyFont="1" applyFill="1" applyBorder="1"/>
    <x:xf numFmtId="204" fontId="0" fillId="0" borderId="13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0" borderId="9" xfId="0" applyNumberFormat="1" applyFont="1" applyFill="1" applyBorder="1"/>
    <x:xf numFmtId="206" fontId="0" fillId="0" borderId="10" xfId="0" applyNumberFormat="1" applyFont="1" applyFill="1" applyBorder="1"/>
    <x:xf numFmtId="205" fontId="0" fillId="0" borderId="12" xfId="0" applyNumberFormat="1" applyFont="1" applyFill="1" applyBorder="1"/>
    <x:xf numFmtId="206" fontId="0" fillId="0" borderId="13" xfId="0" applyNumberFormat="1" applyFont="1" applyFill="1" applyBorder="1"/>
    <x:xf numFmtId="205" fontId="0" fillId="0" borderId="10" xfId="0" applyNumberFormat="1" applyFont="1" applyFill="1" applyBorder="1"/>
    <x:xf numFmtId="205" fontId="0" fillId="0" borderId="13" xfId="0" applyNumberFormat="1" applyFont="1" applyFill="1" applyBorder="1"/>
    <x:xf numFmtId="203" fontId="0" fillId="0" borderId="10" xfId="0" applyNumberFormat="1" applyFont="1" applyFill="1" applyBorder="1"/>
    <x:xf numFmtId="203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d5b94af1540e1" /><Relationship Type="http://schemas.openxmlformats.org/officeDocument/2006/relationships/theme" Target="/xl/theme/theme1.xml" Id="R3597a42250e94fc3" /><Relationship Type="http://schemas.openxmlformats.org/officeDocument/2006/relationships/sharedStrings" Target="/xl/sharedStrings.xml" Id="R3525132880394cbd" /><Relationship Type="http://schemas.openxmlformats.org/officeDocument/2006/relationships/worksheet" Target="/xl/worksheets/sheet1.xml" Id="R85f58e8021a24062" /><Relationship Type="http://schemas.openxmlformats.org/officeDocument/2006/relationships/worksheet" Target="/xl/worksheets/sheet2.xml" Id="R76ba58c727084c5a" /><Relationship Type="http://schemas.openxmlformats.org/officeDocument/2006/relationships/worksheet" Target="/xl/worksheets/sheet3.xml" Id="Rc0b2e51dfad54cf7" /><Relationship Type="http://schemas.openxmlformats.org/officeDocument/2006/relationships/worksheet" Target="/xl/worksheets/sheet4.xml" Id="Rb2c2e84995fd456b" /><Relationship Type="http://schemas.openxmlformats.org/officeDocument/2006/relationships/worksheet" Target="/xl/worksheets/sheet5.xml" Id="Rc03d2eaae7a845f9" /><Relationship Type="http://schemas.openxmlformats.org/officeDocument/2006/relationships/worksheet" Target="/xl/worksheets/sheet6.xml" Id="Ra3bfc46f40e24913" /><Relationship Type="http://schemas.openxmlformats.org/officeDocument/2006/relationships/worksheet" Target="/xl/worksheets/sheet7.xml" Id="Rd0cbc29fd2854df3" /><Relationship Type="http://schemas.openxmlformats.org/officeDocument/2006/relationships/worksheet" Target="/xl/worksheets/sheet8.xml" Id="Re549df297c9a43f6" /><Relationship Type="http://schemas.openxmlformats.org/officeDocument/2006/relationships/worksheet" Target="/xl/worksheets/sheet9.xml" Id="Re70dd52045bb401a" /></Relationships>
</file>

<file path=xl/tables/table1.xml><?xml version="1.0" encoding="utf-8"?>
<x:table xmlns:x="http://schemas.openxmlformats.org/spreadsheetml/2006/main" id="1" name="LandClassMap" displayName="LandClassMap" ref="A1:F59" headerRowCount="1" totalsRowCount="0" totalsRowShown="0">
  <x:tableColumns count="6">
    <x:tableColumn id="1" name="细分地类编码"/>
    <x:tableColumn id="2" name="不细分编码"/>
    <x:tableColumn id="3" name="细分地类"/>
    <x:tableColumn id="4" name="三大类用地"/>
    <x:tableColumn id="5" name="二级分类"/>
    <x:tableColumn id="6" name="网站分析分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dLongTable" displayName="LandLongTable" ref="A1:Q3075" headerRowCount="1" totalsRowCount="0" totalsRowShown="0">
  <x:tableColumns count="17">
    <x:tableColumn id="1" name="地市编码"/>
    <x:tableColumn id="2" name="城市"/>
    <x:tableColumn id="3" name="区县编码"/>
    <x:tableColumn id="4" name="区县"/>
    <x:tableColumn id="5" name="一级分类"/>
    <x:tableColumn id="6" name="二级分类"/>
    <x:tableColumn id="7" name="细分地类编码"/>
    <x:tableColumn id="8" name="不细分地类编码"/>
    <x:tableColumn id="9" name="细分地类"/>
    <x:tableColumn id="10" name="网站分析分类"/>
    <x:tableColumn id="11" name="权属性质编码"/>
    <x:tableColumn id="12" name="权属性质名称"/>
    <x:tableColumn id="13" name="面积_平方米"/>
    <x:tableColumn id="14" name="面积_公顷"/>
    <x:tableColumn id="15" name="面积单位"/>
    <x:tableColumn id="16" name="统计年份"/>
    <x:tableColumn id="17" name="源OBJECT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yThreeClass" displayName="CountyThreeClass" ref="A1:L29" headerRowCount="1" totalsRowCount="0" totalsRowShown="0">
  <x:tableColumns count="12">
    <x:tableColumn id="1" name="地市编码"/>
    <x:tableColumn id="2" name="城市"/>
    <x:tableColumn id="3" name="区县编码"/>
    <x:tableColumn id="4" name="区县"/>
    <x:tableColumn id="5" name="行政区总面积_公顷"/>
    <x:tableColumn id="6" name="农用地_公顷"/>
    <x:tableColumn id="7" name="建设用地_公顷"/>
    <x:tableColumn id="8" name="未利用地_公顷"/>
    <x:tableColumn id="9" name="农用地占比"/>
    <x:tableColumn id="10" name="建设用地开发强度"/>
    <x:tableColumn id="11" name="未利用地占比"/>
    <x:tableColumn id="12" name="闭合校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ThreeClass" displayName="CityThreeClass" ref="A1:J4" headerRowCount="1" totalsRowCount="0" totalsRowShown="0">
  <x:tableColumns count="10">
    <x:tableColumn id="1" name="地市编码"/>
    <x:tableColumn id="2" name="城市"/>
    <x:tableColumn id="3" name="行政区总面积_公顷"/>
    <x:tableColumn id="4" name="农用地_公顷"/>
    <x:tableColumn id="5" name="建设用地_公顷"/>
    <x:tableColumn id="6" name="未利用地_公顷"/>
    <x:tableColumn id="7" name="农用地占比"/>
    <x:tableColumn id="8" name="建设用地开发强度"/>
    <x:tableColumn id="9" name="未利用地占比"/>
    <x:tableColumn id="10" name="闭合校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ntyMetrics" displayName="CountyMetrics" ref="A1:AH29" headerRowCount="1" totalsRowCount="0" totalsRowShown="0">
  <x:tableColumns count="34">
    <x:tableColumn id="1" name="地市编码"/>
    <x:tableColumn id="2" name="城市"/>
    <x:tableColumn id="3" name="区县编码"/>
    <x:tableColumn id="4" name="区县"/>
    <x:tableColumn id="5" name="行政区总面积_公顷"/>
    <x:tableColumn id="6" name="建设用地_公顷"/>
    <x:tableColumn id="7" name="开发强度"/>
    <x:tableColumn id="8" name="农用地占比"/>
    <x:tableColumn id="9" name="未利用地占比"/>
    <x:tableColumn id="10" name="城镇住宅_公顷"/>
    <x:tableColumn id="11" name="农村宅基地_公顷"/>
    <x:tableColumn id="12" name="城镇住宅占建设用地"/>
    <x:tableColumn id="13" name="农村宅基地占建设用地"/>
    <x:tableColumn id="14" name="城乡居住结构比"/>
    <x:tableColumn id="15" name="工业_公顷"/>
    <x:tableColumn id="16" name="物流仓储_公顷"/>
    <x:tableColumn id="17" name="工业及仓储占建设用地"/>
    <x:tableColumn id="18" name="产业开发密度"/>
    <x:tableColumn id="19" name="商业服务_公顷"/>
    <x:tableColumn id="20" name="商业服务占建设用地"/>
    <x:tableColumn id="21" name="公共服务_公顷"/>
    <x:tableColumn id="22" name="公共服务占建设用地"/>
    <x:tableColumn id="23" name="中心功能指数"/>
    <x:tableColumn id="24" name="交通门户_公顷"/>
    <x:tableColumn id="25" name="交通门户指数"/>
    <x:tableColumn id="26" name="公路_公顷"/>
    <x:tableColumn id="27" name="公路占建设用地"/>
    <x:tableColumn id="28" name="港口码头_公顷"/>
    <x:tableColumn id="29" name="港口码头占建设用地"/>
    <x:tableColumn id="30" name="采矿_公顷"/>
    <x:tableColumn id="31" name="采矿占建设用地"/>
    <x:tableColumn id="32" name="公共空间_公顷"/>
    <x:tableColumn id="33" name="公共空间占建设用地"/>
    <x:tableColumn id="34" name="建设用地混合度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Metrics" displayName="CityMetrics" ref="A1:AF4" headerRowCount="1" totalsRowCount="0" totalsRowShown="0">
  <x:tableColumns count="32">
    <x:tableColumn id="1" name="地市编码"/>
    <x:tableColumn id="2" name="城市"/>
    <x:tableColumn id="3" name="行政区总面积_公顷"/>
    <x:tableColumn id="4" name="建设用地_公顷"/>
    <x:tableColumn id="5" name="开发强度"/>
    <x:tableColumn id="6" name="农用地占比"/>
    <x:tableColumn id="7" name="未利用地占比"/>
    <x:tableColumn id="8" name="城镇住宅_公顷"/>
    <x:tableColumn id="9" name="农村宅基地_公顷"/>
    <x:tableColumn id="10" name="城镇住宅占建设用地"/>
    <x:tableColumn id="11" name="农村宅基地占建设用地"/>
    <x:tableColumn id="12" name="城乡居住结构比"/>
    <x:tableColumn id="13" name="工业_公顷"/>
    <x:tableColumn id="14" name="物流仓储_公顷"/>
    <x:tableColumn id="15" name="工业及仓储占建设用地"/>
    <x:tableColumn id="16" name="产业开发密度"/>
    <x:tableColumn id="17" name="商业服务_公顷"/>
    <x:tableColumn id="18" name="商业服务占建设用地"/>
    <x:tableColumn id="19" name="公共服务_公顷"/>
    <x:tableColumn id="20" name="公共服务占建设用地"/>
    <x:tableColumn id="21" name="中心功能指数"/>
    <x:tableColumn id="22" name="交通门户_公顷"/>
    <x:tableColumn id="23" name="交通门户指数"/>
    <x:tableColumn id="24" name="公路_公顷"/>
    <x:tableColumn id="25" name="公路占建设用地"/>
    <x:tableColumn id="26" name="港口码头_公顷"/>
    <x:tableColumn id="27" name="港口码头占建设用地"/>
    <x:tableColumn id="28" name="采矿_公顷"/>
    <x:tableColumn id="29" name="采矿占建设用地"/>
    <x:tableColumn id="30" name="公共空间_公顷"/>
    <x:tableColumn id="31" name="公共空间占建设用地"/>
    <x:tableColumn id="32" name="建设用地混合度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ntyLQ" displayName="CountyLQ" ref="A1:J197" headerRowCount="1" totalsRowCount="0" totalsRowShown="0">
  <x:tableColumns count="10">
    <x:tableColumn id="1" name="地市编码"/>
    <x:tableColumn id="2" name="城市"/>
    <x:tableColumn id="3" name="区县编码"/>
    <x:tableColumn id="4" name="区县"/>
    <x:tableColumn id="5" name="功能类别"/>
    <x:tableColumn id="6" name="功能面积_公顷"/>
    <x:tableColumn id="7" name="区县建设用地_公顷"/>
    <x:tableColumn id="8" name="区县功能占比"/>
    <x:tableColumn id="9" name="都市圈功能占比"/>
    <x:tableColumn id="10" name="区位熵LQ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wnershipCross" displayName="OwnershipCross" ref="A1:AB29" headerRowCount="1" totalsRowCount="0" totalsRowShown="0">
  <x:tableColumns count="28">
    <x:tableColumn id="1" name="地市编码"/>
    <x:tableColumn id="2" name="城市"/>
    <x:tableColumn id="3" name="区县编码"/>
    <x:tableColumn id="4" name="区县"/>
    <x:tableColumn id="5" name="201_城市范围_总面积"/>
    <x:tableColumn id="6" name="201_城市范围_建设用地"/>
    <x:tableColumn id="7" name="201_城市范围_建设占该范围比"/>
    <x:tableColumn id="8" name="201A_城市独立工业用地_总面积"/>
    <x:tableColumn id="9" name="201A_城市独立工业用地_建设用地"/>
    <x:tableColumn id="10" name="201A_城市独立工业用地_建设占该范围比"/>
    <x:tableColumn id="11" name="202_建制镇范围_总面积"/>
    <x:tableColumn id="12" name="202_建制镇范围_建设用地"/>
    <x:tableColumn id="13" name="202_建制镇范围_建设占该范围比"/>
    <x:tableColumn id="14" name="202A_建制镇独立工业用地_总面积"/>
    <x:tableColumn id="15" name="202A_建制镇独立工业用地_建设用地"/>
    <x:tableColumn id="16" name="202A_建制镇独立工业用地_建设占该范围比"/>
    <x:tableColumn id="17" name="203_村庄范围_总面积"/>
    <x:tableColumn id="18" name="203_村庄范围_建设用地"/>
    <x:tableColumn id="19" name="203_村庄范围_建设占该范围比"/>
    <x:tableColumn id="20" name="203A_村庄独立工业用地_总面积"/>
    <x:tableColumn id="21" name="203A_村庄独立工业用地_建设用地"/>
    <x:tableColumn id="22" name="203A_村庄独立工业用地_建设占该范围比"/>
    <x:tableColumn id="23" name="204_盐田及采矿用地_总面积"/>
    <x:tableColumn id="24" name="204_盐田及采矿用地_建设用地"/>
    <x:tableColumn id="25" name="204_盐田及采矿用地_建设占该范围比"/>
    <x:tableColumn id="26" name="205_特殊用地_总面积"/>
    <x:tableColumn id="27" name="205_特殊用地_建设用地"/>
    <x:tableColumn id="28" name="205_特殊用地_建设占该范围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b883f173f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4aefd94069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434906fb9846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2b164853af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0bd3b1323045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beb01fab304f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9923e6a14c42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f7c781dc7c44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0" customHeight="1">
      <x:c r="A1" s="9" t="str">
        <x:v>厦漳泉都市圈用地数据整理成果（单期横截面）</x:v>
      </x:c>
      <x:c r="B1" s="10"/>
      <x:c r="C1" s="10"/>
      <x:c r="D1" s="10"/>
      <x:c r="E1" s="10"/>
      <x:c r="F1" s="10"/>
      <x:c r="G1" s="10"/>
      <x:c r="H1" s="11"/>
    </x:row>
    <x:row r="3">
      <x:c r="A3" s="15" t="str">
        <x:v>项目</x:v>
      </x:c>
      <x:c r="B3" s="15" t="str">
        <x:v>说明</x:v>
      </x:c>
    </x:row>
    <x:row r="4">
      <x:c r="A4" s="16" t="str">
        <x:v>成果定位</x:v>
      </x:c>
      <x:c r="B4" s="17" t="str">
        <x:v>完成数据处理、指标计算和横向比较数据准备；本文件不输出类型判定和文字结论。</x:v>
      </x:c>
    </x:row>
    <x:row r="5">
      <x:c r="A5" s="16" t="str">
        <x:v>源文件</x:v>
      </x:c>
      <x:c r="B5" s="17" t="str">
        <x:v>厦漳泉用地数据.xlsx（Sheet2，3,074条汇总记录）</x:v>
      </x:c>
    </x:row>
    <x:row r="6">
      <x:c r="A6" s="16" t="str">
        <x:v>分析层级</x:v>
      </x:c>
      <x:c r="B6" s="17" t="str">
        <x:v>厦门、泉州、漳州三市；28个区县统一口径比较</x:v>
      </x:c>
    </x:row>
    <x:row r="7">
      <x:c r="A7" s="16" t="str">
        <x:v>面积口径</x:v>
      </x:c>
      <x:c r="B7" s="17" t="str">
        <x:v>原表面积单位为平方米和公顷；本成果计算统一采用公顷。行政区总面积按农用地、建设用地、未利用地面积合计。</x:v>
      </x:c>
    </x:row>
    <x:row r="8">
      <x:c r="A8" s="16" t="str">
        <x:v>统计年份</x:v>
      </x:c>
      <x:c r="B8" s="17" t="str">
        <x:v>源文件未提供统计年份，统一标注“未提供（单期横截面）”，不用于增长速度或趋势分析。</x:v>
      </x:c>
    </x:row>
    <x:row r="9">
      <x:c r="A9" s="16" t="str">
        <x:v>权属性质</x:v>
      </x:c>
      <x:c r="B9" s="17" t="str">
        <x:v>201/202/203等表示城镇村及工矿用地空间归属，不是国有/集体所有权。空值表示该记录未标注或不适用。</x:v>
      </x:c>
    </x:row>
    <x:row r="10">
      <x:c r="A10" s="16" t="str">
        <x:v>分类规则</x:v>
      </x:c>
      <x:c r="B10" s="17" t="str">
        <x:v>保留原始三大类、细分/不细分编码和地类名称；新增二级分类、网站分析分类。规则可在“分类映射”表审阅。</x:v>
      </x:c>
    </x:row>
    <x:row r="11">
      <x:c r="A11" s="16" t="str">
        <x:v>指标分母</x:v>
      </x:c>
      <x:c r="B11" s="17" t="str">
        <x:v>开发强度、农业生态本底、产业开发密度以行政区总面积为分母；功能结构指标以建设用地为分母。</x:v>
      </x:c>
    </x:row>
    <x:row r="12">
      <x:c r="A12" s="16" t="str">
        <x:v>交通门户指数</x:v>
      </x:c>
      <x:c r="B12" s="17" t="str">
        <x:v>铁路、轨道、机场、港口、交通场站、物流仓储面积之和 / 建设用地。公路用地单独保留，不纳入该指数。</x:v>
      </x:c>
    </x:row>
    <x:row r="13">
      <x:c r="A13" s="16" t="str">
        <x:v>中心功能指数</x:v>
      </x:c>
      <x:c r="B13" s="17" t="str">
        <x:v>商业服务、机关团体、科教文卫、高教、公园绿地、广场面积之和 / 建设用地。</x:v>
      </x:c>
    </x:row>
    <x:row r="14">
      <x:c r="A14" s="16" t="str">
        <x:v>混合度</x:v>
      </x:c>
      <x:c r="B14" s="17" t="str">
        <x:v>按7类互斥建设功能（居住、产业、商业、公共服务、交通、公共空间、其他建设）计算归一化熵，取值0—1。</x:v>
      </x:c>
    </x:row>
    <x:row r="15">
      <x:c r="A15" s="16" t="str">
        <x:v>区位熵LQ</x:v>
      </x:c>
      <x:c r="B15" s="17" t="str">
        <x:v>区县某功能占建设用地比重 / 都市圈同功能占建设用地比重；LQ&gt;1表示相对专业化。</x:v>
      </x:c>
    </x:row>
    <x:row r="16">
      <x:c r="A16" s="16" t="str">
        <x:v>质量提示</x:v>
      </x:c>
      <x:c r="B16" s="17" t="str">
        <x:v>未利用地不能直接解释为可开发后备土地；指标仅反映当前横向空间结构。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8" max="8" width="24" hidden="0" customWidth="1"/>
    <x:col min="9" max="9" width="24" hidden="0" customWidth="1"/>
  </x:cols>
  <x:sheetData>
    <x:row r="1">
      <x:c r="A1" s="18" t="str">
        <x:v>细分地类编码</x:v>
      </x:c>
      <x:c r="B1" s="19" t="str">
        <x:v>不细分编码</x:v>
      </x:c>
      <x:c r="C1" s="19" t="str">
        <x:v>细分地类</x:v>
      </x:c>
      <x:c r="D1" s="19" t="str">
        <x:v>三大类用地</x:v>
      </x:c>
      <x:c r="E1" s="19" t="str">
        <x:v>二级分类</x:v>
      </x:c>
      <x:c r="F1" s="20" t="str">
        <x:v>网站分析分类</x:v>
      </x:c>
      <x:c r="H1" s="9" t="str">
        <x:v>权属性质编码</x:v>
      </x:c>
      <x:c r="I1" s="11" t="str">
        <x:v>权属性质名称</x:v>
      </x:c>
    </x:row>
    <x:row r="2">
      <x:c r="A2" s="21" t="str">
        <x:v>0201K</x:v>
      </x:c>
      <x:c r="B2" s="22" t="str">
        <x:v>201</x:v>
      </x:c>
      <x:c r="C2" s="22" t="str">
        <x:v>可调整果园</x:v>
      </x:c>
      <x:c r="D2" s="22" t="str">
        <x:v>农用地</x:v>
      </x:c>
      <x:c r="E2" s="22" t="str">
        <x:v>园地</x:v>
      </x:c>
      <x:c r="F2" s="23" t="str">
        <x:v>农业生态</x:v>
      </x:c>
      <x:c r="H2" s="27" t="str">
        <x:v>201</x:v>
      </x:c>
      <x:c r="I2" t="str">
        <x:v>城市范围</x:v>
      </x:c>
    </x:row>
    <x:row r="3">
      <x:c r="A3" s="21" t="str">
        <x:v>0202K</x:v>
      </x:c>
      <x:c r="B3" s="22" t="str">
        <x:v>0202</x:v>
      </x:c>
      <x:c r="C3" s="22" t="str">
        <x:v>可调整茶园</x:v>
      </x:c>
      <x:c r="D3" s="22" t="str">
        <x:v>农用地</x:v>
      </x:c>
      <x:c r="E3" s="22" t="str">
        <x:v>园地</x:v>
      </x:c>
      <x:c r="F3" s="23" t="str">
        <x:v>农业生态</x:v>
      </x:c>
      <x:c r="H3" s="27" t="str">
        <x:v>202</x:v>
      </x:c>
      <x:c r="I3" t="str">
        <x:v>建制镇范围</x:v>
      </x:c>
    </x:row>
    <x:row r="4">
      <x:c r="A4" s="21" t="str">
        <x:v>0204K</x:v>
      </x:c>
      <x:c r="B4" s="22" t="str">
        <x:v>0204</x:v>
      </x:c>
      <x:c r="C4" s="22" t="str">
        <x:v>可调整其他园地</x:v>
      </x:c>
      <x:c r="D4" s="22" t="str">
        <x:v>农用地</x:v>
      </x:c>
      <x:c r="E4" s="22" t="str">
        <x:v>园地</x:v>
      </x:c>
      <x:c r="F4" s="23" t="str">
        <x:v>农业生态</x:v>
      </x:c>
      <x:c r="H4" s="27" t="str">
        <x:v>203</x:v>
      </x:c>
      <x:c r="I4" t="str">
        <x:v>村庄范围</x:v>
      </x:c>
    </x:row>
    <x:row r="5">
      <x:c r="A5" s="21" t="str">
        <x:v>0301K</x:v>
      </x:c>
      <x:c r="B5" s="22" t="str">
        <x:v>0301</x:v>
      </x:c>
      <x:c r="C5" s="22" t="str">
        <x:v>可调整乔木林地</x:v>
      </x:c>
      <x:c r="D5" s="22" t="str">
        <x:v>农用地</x:v>
      </x:c>
      <x:c r="E5" s="22" t="str">
        <x:v>林地</x:v>
      </x:c>
      <x:c r="F5" s="23" t="str">
        <x:v>农业生态</x:v>
      </x:c>
      <x:c r="H5" s="27" t="str">
        <x:v>204</x:v>
      </x:c>
      <x:c r="I5" t="str">
        <x:v>盐田及采矿用地</x:v>
      </x:c>
    </x:row>
    <x:row r="6">
      <x:c r="A6" s="21" t="str">
        <x:v>0302K</x:v>
      </x:c>
      <x:c r="B6" s="22" t="str">
        <x:v>0302</x:v>
      </x:c>
      <x:c r="C6" s="22" t="str">
        <x:v>可调整竹林地</x:v>
      </x:c>
      <x:c r="D6" s="22" t="str">
        <x:v>农用地</x:v>
      </x:c>
      <x:c r="E6" s="22" t="str">
        <x:v>林地</x:v>
      </x:c>
      <x:c r="F6" s="23" t="str">
        <x:v>农业生态</x:v>
      </x:c>
      <x:c r="H6" s="27" t="str">
        <x:v>205</x:v>
      </x:c>
      <x:c r="I6" t="str">
        <x:v>特殊用地</x:v>
      </x:c>
    </x:row>
    <x:row r="7">
      <x:c r="A7" s="21" t="str">
        <x:v>0307K</x:v>
      </x:c>
      <x:c r="B7" s="22" t="str">
        <x:v>0307</x:v>
      </x:c>
      <x:c r="C7" s="22" t="str">
        <x:v>可调整其他林地</x:v>
      </x:c>
      <x:c r="D7" s="22" t="str">
        <x:v>农用地</x:v>
      </x:c>
      <x:c r="E7" s="22" t="str">
        <x:v>林地</x:v>
      </x:c>
      <x:c r="F7" s="23" t="str">
        <x:v>农业生态</x:v>
      </x:c>
      <x:c r="H7" s="27" t="str">
        <x:v>201A</x:v>
      </x:c>
      <x:c r="I7" t="str">
        <x:v>城市独立工业用地</x:v>
      </x:c>
    </x:row>
    <x:row r="8">
      <x:c r="A8" s="21" t="str">
        <x:v>05H1</x:v>
      </x:c>
      <x:c r="B8" s="22" t="str">
        <x:v>05H1</x:v>
      </x:c>
      <x:c r="C8" s="22" t="str">
        <x:v>商业服务业设施用地</x:v>
      </x:c>
      <x:c r="D8" s="22" t="str">
        <x:v>建设用地</x:v>
      </x:c>
      <x:c r="E8" s="22" t="str">
        <x:v>商业服务业用地</x:v>
      </x:c>
      <x:c r="F8" s="23" t="str">
        <x:v>商业服务</x:v>
      </x:c>
      <x:c r="H8" s="27" t="str">
        <x:v>202A</x:v>
      </x:c>
      <x:c r="I8" t="str">
        <x:v>建制镇独立工业用地</x:v>
      </x:c>
    </x:row>
    <x:row r="9">
      <x:c r="A9" s="21" t="str">
        <x:v>0810A</x:v>
      </x:c>
      <x:c r="B9" s="22" t="str">
        <x:v>0810</x:v>
      </x:c>
      <x:c r="C9" s="22" t="str">
        <x:v>广场用地</x:v>
      </x:c>
      <x:c r="D9" s="22" t="str">
        <x:v>建设用地</x:v>
      </x:c>
      <x:c r="E9" s="22" t="str">
        <x:v>绿地与广场用地</x:v>
      </x:c>
      <x:c r="F9" s="23" t="str">
        <x:v>公共空间</x:v>
      </x:c>
      <x:c r="H9" s="27" t="str">
        <x:v>203A</x:v>
      </x:c>
      <x:c r="I9" t="str">
        <x:v>村庄独立工业用地</x:v>
      </x:c>
    </x:row>
    <x:row r="10">
      <x:c r="A10" s="21" t="str">
        <x:v>08H1</x:v>
      </x:c>
      <x:c r="B10" s="22" t="str">
        <x:v>08H1</x:v>
      </x:c>
      <x:c r="C10" s="22" t="str">
        <x:v>机关团体新闻出版用地</x:v>
      </x:c>
      <x:c r="D10" s="22" t="str">
        <x:v>建设用地</x:v>
      </x:c>
      <x:c r="E10" s="22" t="str">
        <x:v>公共管理与公共服务用地</x:v>
      </x:c>
      <x:c r="F10" s="23" t="str">
        <x:v>公共服务</x:v>
      </x:c>
    </x:row>
    <x:row r="11">
      <x:c r="A11" s="21" t="str">
        <x:v>08H2</x:v>
      </x:c>
      <x:c r="B11" s="22" t="str">
        <x:v>08H2</x:v>
      </x:c>
      <x:c r="C11" s="22" t="str">
        <x:v>科教文卫用地</x:v>
      </x:c>
      <x:c r="D11" s="22" t="str">
        <x:v>建设用地</x:v>
      </x:c>
      <x:c r="E11" s="22" t="str">
        <x:v>公共管理与公共服务用地</x:v>
      </x:c>
      <x:c r="F11" s="23" t="str">
        <x:v>公共服务</x:v>
      </x:c>
    </x:row>
    <x:row r="12">
      <x:c r="A12" s="21" t="str">
        <x:v>08H2A</x:v>
      </x:c>
      <x:c r="B12" s="22" t="str">
        <x:v>08H2</x:v>
      </x:c>
      <x:c r="C12" s="22" t="str">
        <x:v>高教用地</x:v>
      </x:c>
      <x:c r="D12" s="22" t="str">
        <x:v>建设用地</x:v>
      </x:c>
      <x:c r="E12" s="22" t="str">
        <x:v>公共管理与公共服务用地</x:v>
      </x:c>
      <x:c r="F12" s="23" t="str">
        <x:v>公共服务</x:v>
      </x:c>
    </x:row>
    <x:row r="13">
      <x:c r="A13" s="21" t="str">
        <x:v>1001</x:v>
      </x:c>
      <x:c r="B13" s="22" t="str">
        <x:v>1001</x:v>
      </x:c>
      <x:c r="C13" s="22" t="str">
        <x:v>铁路用地</x:v>
      </x:c>
      <x:c r="D13" s="22" t="str">
        <x:v>建设用地</x:v>
      </x:c>
      <x:c r="E13" s="22" t="str">
        <x:v>交通运输用地</x:v>
      </x:c>
      <x:c r="F13" s="23" t="str">
        <x:v>交通门户</x:v>
      </x:c>
    </x:row>
    <x:row r="14">
      <x:c r="A14" s="21" t="str">
        <x:v>1002</x:v>
      </x:c>
      <x:c r="B14" s="22" t="str">
        <x:v>1002</x:v>
      </x:c>
      <x:c r="C14" s="22" t="str">
        <x:v>轨道交通用地</x:v>
      </x:c>
      <x:c r="D14" s="22" t="str">
        <x:v>建设用地</x:v>
      </x:c>
      <x:c r="E14" s="22" t="str">
        <x:v>交通运输用地</x:v>
      </x:c>
      <x:c r="F14" s="23" t="str">
        <x:v>交通门户</x:v>
      </x:c>
    </x:row>
    <x:row r="15">
      <x:c r="A15" s="21" t="str">
        <x:v>1003</x:v>
      </x:c>
      <x:c r="B15" s="22" t="str">
        <x:v>1003</x:v>
      </x:c>
      <x:c r="C15" s="22" t="str">
        <x:v>公路用地</x:v>
      </x:c>
      <x:c r="D15" s="22" t="str">
        <x:v>建设用地</x:v>
      </x:c>
      <x:c r="E15" s="22" t="str">
        <x:v>交通运输用地</x:v>
      </x:c>
      <x:c r="F15" s="23" t="str">
        <x:v>交通门户</x:v>
      </x:c>
    </x:row>
    <x:row r="16">
      <x:c r="A16" s="21" t="str">
        <x:v>1004</x:v>
      </x:c>
      <x:c r="B16" s="22" t="str">
        <x:v>1004</x:v>
      </x:c>
      <x:c r="C16" s="22" t="str">
        <x:v>城镇村道路用地</x:v>
      </x:c>
      <x:c r="D16" s="22" t="str">
        <x:v>建设用地</x:v>
      </x:c>
      <x:c r="E16" s="22" t="str">
        <x:v>交通运输用地</x:v>
      </x:c>
      <x:c r="F16" s="23" t="str">
        <x:v>交通门户</x:v>
      </x:c>
    </x:row>
    <x:row r="17">
      <x:c r="A17" s="21" t="str">
        <x:v>1005</x:v>
      </x:c>
      <x:c r="B17" s="22" t="str">
        <x:v>1005</x:v>
      </x:c>
      <x:c r="C17" s="22" t="str">
        <x:v>交通服务场站用地</x:v>
      </x:c>
      <x:c r="D17" s="22" t="str">
        <x:v>建设用地</x:v>
      </x:c>
      <x:c r="E17" s="22" t="str">
        <x:v>交通运输用地</x:v>
      </x:c>
      <x:c r="F17" s="23" t="str">
        <x:v>交通门户</x:v>
      </x:c>
    </x:row>
    <x:row r="18">
      <x:c r="A18" s="21" t="str">
        <x:v>1006</x:v>
      </x:c>
      <x:c r="B18" s="22" t="str">
        <x:v>1006</x:v>
      </x:c>
      <x:c r="C18" s="22" t="str">
        <x:v>农村道路</x:v>
      </x:c>
      <x:c r="D18" s="22" t="str">
        <x:v>农用地</x:v>
      </x:c>
      <x:c r="E18" s="22" t="str">
        <x:v>其他农用地</x:v>
      </x:c>
      <x:c r="F18" s="23" t="str">
        <x:v>农业生态</x:v>
      </x:c>
    </x:row>
    <x:row r="19">
      <x:c r="A19" s="21" t="str">
        <x:v>1007</x:v>
      </x:c>
      <x:c r="B19" s="22" t="str">
        <x:v>1007</x:v>
      </x:c>
      <x:c r="C19" s="22" t="str">
        <x:v>机场用地</x:v>
      </x:c>
      <x:c r="D19" s="22" t="str">
        <x:v>建设用地</x:v>
      </x:c>
      <x:c r="E19" s="22" t="str">
        <x:v>交通运输用地</x:v>
      </x:c>
      <x:c r="F19" s="23" t="str">
        <x:v>交通门户</x:v>
      </x:c>
    </x:row>
    <x:row r="20">
      <x:c r="A20" s="21" t="str">
        <x:v>1008</x:v>
      </x:c>
      <x:c r="B20" s="22" t="str">
        <x:v>1008</x:v>
      </x:c>
      <x:c r="C20" s="22" t="str">
        <x:v>港口码头用地</x:v>
      </x:c>
      <x:c r="D20" s="22" t="str">
        <x:v>建设用地</x:v>
      </x:c>
      <x:c r="E20" s="22" t="str">
        <x:v>交通运输用地</x:v>
      </x:c>
      <x:c r="F20" s="23" t="str">
        <x:v>交通门户</x:v>
      </x:c>
    </x:row>
    <x:row r="21">
      <x:c r="A21" s="21" t="str">
        <x:v>1009</x:v>
      </x:c>
      <x:c r="B21" s="22" t="str">
        <x:v>1009</x:v>
      </x:c>
      <x:c r="C21" s="22" t="str">
        <x:v>管道运输用地</x:v>
      </x:c>
      <x:c r="D21" s="22" t="str">
        <x:v>建设用地</x:v>
      </x:c>
      <x:c r="E21" s="22" t="str">
        <x:v>交通运输用地</x:v>
      </x:c>
      <x:c r="F21" s="23" t="str">
        <x:v>交通门户</x:v>
      </x:c>
    </x:row>
    <x:row r="22">
      <x:c r="A22" s="21" t="str">
        <x:v>101</x:v>
      </x:c>
      <x:c r="B22" s="22" t="str">
        <x:v>101</x:v>
      </x:c>
      <x:c r="C22" s="22" t="str">
        <x:v>水田</x:v>
      </x:c>
      <x:c r="D22" s="22" t="str">
        <x:v>农用地</x:v>
      </x:c>
      <x:c r="E22" s="22" t="str">
        <x:v>耕地</x:v>
      </x:c>
      <x:c r="F22" s="23" t="str">
        <x:v>农业生态</x:v>
      </x:c>
    </x:row>
    <x:row r="23">
      <x:c r="A23" s="21" t="str">
        <x:v>102</x:v>
      </x:c>
      <x:c r="B23" s="22" t="str">
        <x:v>102</x:v>
      </x:c>
      <x:c r="C23" s="22" t="str">
        <x:v>水浇地</x:v>
      </x:c>
      <x:c r="D23" s="22" t="str">
        <x:v>农用地</x:v>
      </x:c>
      <x:c r="E23" s="22" t="str">
        <x:v>耕地</x:v>
      </x:c>
      <x:c r="F23" s="23" t="str">
        <x:v>农业生态</x:v>
      </x:c>
    </x:row>
    <x:row r="24">
      <x:c r="A24" s="21" t="str">
        <x:v>103</x:v>
      </x:c>
      <x:c r="B24" s="22" t="str">
        <x:v>103</x:v>
      </x:c>
      <x:c r="C24" s="22" t="str">
        <x:v>旱地</x:v>
      </x:c>
      <x:c r="D24" s="22" t="str">
        <x:v>农用地</x:v>
      </x:c>
      <x:c r="E24" s="22" t="str">
        <x:v>耕地</x:v>
      </x:c>
      <x:c r="F24" s="23" t="str">
        <x:v>农业生态</x:v>
      </x:c>
    </x:row>
    <x:row r="25">
      <x:c r="A25" s="21" t="str">
        <x:v>1101</x:v>
      </x:c>
      <x:c r="B25" s="22" t="str">
        <x:v>1101</x:v>
      </x:c>
      <x:c r="C25" s="22" t="str">
        <x:v>河流水面</x:v>
      </x:c>
      <x:c r="D25" s="22" t="str">
        <x:v>未利用地</x:v>
      </x:c>
      <x:c r="E25" s="22" t="str">
        <x:v>水域及水利设施</x:v>
      </x:c>
      <x:c r="F25" s="23" t="str">
        <x:v>农业生态</x:v>
      </x:c>
    </x:row>
    <x:row r="26">
      <x:c r="A26" s="21" t="str">
        <x:v>1102</x:v>
      </x:c>
      <x:c r="B26" s="22" t="str">
        <x:v>1102</x:v>
      </x:c>
      <x:c r="C26" s="22" t="str">
        <x:v>湖泊水面</x:v>
      </x:c>
      <x:c r="D26" s="22" t="str">
        <x:v>未利用地</x:v>
      </x:c>
      <x:c r="E26" s="22" t="str">
        <x:v>水域及水利设施</x:v>
      </x:c>
      <x:c r="F26" s="23" t="str">
        <x:v>农业生态</x:v>
      </x:c>
    </x:row>
    <x:row r="27">
      <x:c r="A27" s="21" t="str">
        <x:v>1103</x:v>
      </x:c>
      <x:c r="B27" s="22" t="str">
        <x:v>1103</x:v>
      </x:c>
      <x:c r="C27" s="22" t="str">
        <x:v>水库水面</x:v>
      </x:c>
      <x:c r="D27" s="22" t="str">
        <x:v>农用地</x:v>
      </x:c>
      <x:c r="E27" s="22" t="str">
        <x:v>水域及水利设施</x:v>
      </x:c>
      <x:c r="F27" s="23" t="str">
        <x:v>农业生态</x:v>
      </x:c>
    </x:row>
    <x:row r="28">
      <x:c r="A28" s="21" t="str">
        <x:v>1104</x:v>
      </x:c>
      <x:c r="B28" s="22" t="str">
        <x:v>1104</x:v>
      </x:c>
      <x:c r="C28" s="22" t="str">
        <x:v>坑塘水面</x:v>
      </x:c>
      <x:c r="D28" s="22" t="str">
        <x:v>农用地</x:v>
      </x:c>
      <x:c r="E28" s="22" t="str">
        <x:v>水域及水利设施</x:v>
      </x:c>
      <x:c r="F28" s="23" t="str">
        <x:v>农业生态</x:v>
      </x:c>
    </x:row>
    <x:row r="29">
      <x:c r="A29" s="21" t="str">
        <x:v>1104A</x:v>
      </x:c>
      <x:c r="B29" s="22" t="str">
        <x:v>1104</x:v>
      </x:c>
      <x:c r="C29" s="22" t="str">
        <x:v>养殖坑塘</x:v>
      </x:c>
      <x:c r="D29" s="22" t="str">
        <x:v>农用地</x:v>
      </x:c>
      <x:c r="E29" s="22" t="str">
        <x:v>水域及水利设施</x:v>
      </x:c>
      <x:c r="F29" s="23" t="str">
        <x:v>农业生态</x:v>
      </x:c>
    </x:row>
    <x:row r="30">
      <x:c r="A30" s="21" t="str">
        <x:v>1104K</x:v>
      </x:c>
      <x:c r="B30" s="22" t="str">
        <x:v>1104</x:v>
      </x:c>
      <x:c r="C30" s="22" t="str">
        <x:v>可调整养殖坑塘</x:v>
      </x:c>
      <x:c r="D30" s="22" t="str">
        <x:v>农用地</x:v>
      </x:c>
      <x:c r="E30" s="22" t="str">
        <x:v>水域及水利设施</x:v>
      </x:c>
      <x:c r="F30" s="23" t="str">
        <x:v>农业生态</x:v>
      </x:c>
    </x:row>
    <x:row r="31">
      <x:c r="A31" s="21" t="str">
        <x:v>1105</x:v>
      </x:c>
      <x:c r="B31" s="22" t="str">
        <x:v>1105</x:v>
      </x:c>
      <x:c r="C31" s="22" t="str">
        <x:v>沿海滩涂</x:v>
      </x:c>
      <x:c r="D31" s="22" t="str">
        <x:v>未利用地</x:v>
      </x:c>
      <x:c r="E31" s="22" t="str">
        <x:v>水域及水利设施</x:v>
      </x:c>
      <x:c r="F31" s="23" t="str">
        <x:v>农业生态</x:v>
      </x:c>
    </x:row>
    <x:row r="32">
      <x:c r="A32" s="21" t="str">
        <x:v>1106</x:v>
      </x:c>
      <x:c r="B32" s="22" t="str">
        <x:v>1106</x:v>
      </x:c>
      <x:c r="C32" s="22" t="str">
        <x:v>内陆滩涂</x:v>
      </x:c>
      <x:c r="D32" s="22" t="str">
        <x:v>未利用地</x:v>
      </x:c>
      <x:c r="E32" s="22" t="str">
        <x:v>水域及水利设施</x:v>
      </x:c>
      <x:c r="F32" s="23" t="str">
        <x:v>农业生态</x:v>
      </x:c>
    </x:row>
    <x:row r="33">
      <x:c r="A33" s="21" t="str">
        <x:v>1107</x:v>
      </x:c>
      <x:c r="B33" s="22" t="str">
        <x:v>1107</x:v>
      </x:c>
      <x:c r="C33" s="22" t="str">
        <x:v>沟渠</x:v>
      </x:c>
      <x:c r="D33" s="22" t="str">
        <x:v>农用地</x:v>
      </x:c>
      <x:c r="E33" s="22" t="str">
        <x:v>水域及水利设施</x:v>
      </x:c>
      <x:c r="F33" s="23" t="str">
        <x:v>农业生态</x:v>
      </x:c>
    </x:row>
    <x:row r="34">
      <x:c r="A34" s="21" t="str">
        <x:v>1107A</x:v>
      </x:c>
      <x:c r="B34" s="22" t="str">
        <x:v>1107</x:v>
      </x:c>
      <x:c r="C34" s="22" t="str">
        <x:v>干渠</x:v>
      </x:c>
      <x:c r="D34" s="22" t="str">
        <x:v>农用地</x:v>
      </x:c>
      <x:c r="E34" s="22" t="str">
        <x:v>水域及水利设施</x:v>
      </x:c>
      <x:c r="F34" s="23" t="str">
        <x:v>农业生态</x:v>
      </x:c>
    </x:row>
    <x:row r="35">
      <x:c r="A35" s="21" t="str">
        <x:v>1109</x:v>
      </x:c>
      <x:c r="B35" s="22" t="str">
        <x:v>1109</x:v>
      </x:c>
      <x:c r="C35" s="22" t="str">
        <x:v>水工建筑用地</x:v>
      </x:c>
      <x:c r="D35" s="22" t="str">
        <x:v>建设用地</x:v>
      </x:c>
      <x:c r="E35" s="22" t="str">
        <x:v>水域及水利设施</x:v>
      </x:c>
      <x:c r="F35" s="23" t="str">
        <x:v>其他建设</x:v>
      </x:c>
    </x:row>
    <x:row r="36">
      <x:c r="A36" s="21" t="str">
        <x:v>1201</x:v>
      </x:c>
      <x:c r="B36" s="22" t="str">
        <x:v>1201</x:v>
      </x:c>
      <x:c r="C36" s="22" t="str">
        <x:v>空闲地</x:v>
      </x:c>
      <x:c r="D36" s="22" t="str">
        <x:v>建设用地</x:v>
      </x:c>
      <x:c r="E36" s="22" t="str">
        <x:v>其他建设用地</x:v>
      </x:c>
      <x:c r="F36" s="23" t="str">
        <x:v>其他建设</x:v>
      </x:c>
    </x:row>
    <x:row r="37">
      <x:c r="A37" s="21" t="str">
        <x:v>1202</x:v>
      </x:c>
      <x:c r="B37" s="22" t="str">
        <x:v>1202</x:v>
      </x:c>
      <x:c r="C37" s="22" t="str">
        <x:v>设施农用地</x:v>
      </x:c>
      <x:c r="D37" s="22" t="str">
        <x:v>农用地</x:v>
      </x:c>
      <x:c r="E37" s="22" t="str">
        <x:v>其他农用地</x:v>
      </x:c>
      <x:c r="F37" s="23" t="str">
        <x:v>农业生态</x:v>
      </x:c>
    </x:row>
    <x:row r="38">
      <x:c r="A38" s="21" t="str">
        <x:v>1205</x:v>
      </x:c>
      <x:c r="B38" s="22" t="str">
        <x:v>1205</x:v>
      </x:c>
      <x:c r="C38" s="22" t="str">
        <x:v>沙地</x:v>
      </x:c>
      <x:c r="D38" s="22" t="str">
        <x:v>未利用地</x:v>
      </x:c>
      <x:c r="E38" s="22" t="str">
        <x:v>未利用地</x:v>
      </x:c>
      <x:c r="F38" s="23" t="str">
        <x:v>未利用地</x:v>
      </x:c>
    </x:row>
    <x:row r="39">
      <x:c r="A39" s="21" t="str">
        <x:v>1206</x:v>
      </x:c>
      <x:c r="B39" s="22" t="str">
        <x:v>1206</x:v>
      </x:c>
      <x:c r="C39" s="22" t="str">
        <x:v>裸土地</x:v>
      </x:c>
      <x:c r="D39" s="22" t="str">
        <x:v>未利用地</x:v>
      </x:c>
      <x:c r="E39" s="22" t="str">
        <x:v>未利用地</x:v>
      </x:c>
      <x:c r="F39" s="23" t="str">
        <x:v>未利用地</x:v>
      </x:c>
    </x:row>
    <x:row r="40">
      <x:c r="A40" s="21" t="str">
        <x:v>1207</x:v>
      </x:c>
      <x:c r="B40" s="22" t="str">
        <x:v>1207</x:v>
      </x:c>
      <x:c r="C40" s="22" t="str">
        <x:v>裸岩石砾地</x:v>
      </x:c>
      <x:c r="D40" s="22" t="str">
        <x:v>未利用地</x:v>
      </x:c>
      <x:c r="E40" s="22" t="str">
        <x:v>未利用地</x:v>
      </x:c>
      <x:c r="F40" s="23" t="str">
        <x:v>未利用地</x:v>
      </x:c>
    </x:row>
    <x:row r="41">
      <x:c r="A41" s="21" t="str">
        <x:v>201</x:v>
      </x:c>
      <x:c r="B41" s="22" t="str">
        <x:v>201</x:v>
      </x:c>
      <x:c r="C41" s="22" t="str">
        <x:v>果园</x:v>
      </x:c>
      <x:c r="D41" s="22" t="str">
        <x:v>农用地</x:v>
      </x:c>
      <x:c r="E41" s="22" t="str">
        <x:v>园地</x:v>
      </x:c>
      <x:c r="F41" s="23" t="str">
        <x:v>农业生态</x:v>
      </x:c>
    </x:row>
    <x:row r="42">
      <x:c r="A42" s="21" t="str">
        <x:v>202</x:v>
      </x:c>
      <x:c r="B42" s="22" t="str">
        <x:v>202</x:v>
      </x:c>
      <x:c r="C42" s="22" t="str">
        <x:v>茶园</x:v>
      </x:c>
      <x:c r="D42" s="22" t="str">
        <x:v>农用地</x:v>
      </x:c>
      <x:c r="E42" s="22" t="str">
        <x:v>园地</x:v>
      </x:c>
      <x:c r="F42" s="23" t="str">
        <x:v>农业生态</x:v>
      </x:c>
    </x:row>
    <x:row r="43">
      <x:c r="A43" s="21" t="str">
        <x:v>204</x:v>
      </x:c>
      <x:c r="B43" s="22" t="str">
        <x:v>204</x:v>
      </x:c>
      <x:c r="C43" s="22" t="str">
        <x:v>其他园地</x:v>
      </x:c>
      <x:c r="D43" s="22" t="str">
        <x:v>农用地</x:v>
      </x:c>
      <x:c r="E43" s="22" t="str">
        <x:v>园地</x:v>
      </x:c>
      <x:c r="F43" s="23" t="str">
        <x:v>农业生态</x:v>
      </x:c>
    </x:row>
    <x:row r="44">
      <x:c r="A44" s="21" t="str">
        <x:v>301</x:v>
      </x:c>
      <x:c r="B44" s="22" t="str">
        <x:v>301</x:v>
      </x:c>
      <x:c r="C44" s="22" t="str">
        <x:v>乔木林地</x:v>
      </x:c>
      <x:c r="D44" s="22" t="str">
        <x:v>农用地</x:v>
      </x:c>
      <x:c r="E44" s="22" t="str">
        <x:v>林地</x:v>
      </x:c>
      <x:c r="F44" s="23" t="str">
        <x:v>农业生态</x:v>
      </x:c>
    </x:row>
    <x:row r="45">
      <x:c r="A45" s="21" t="str">
        <x:v>302</x:v>
      </x:c>
      <x:c r="B45" s="22" t="str">
        <x:v>302</x:v>
      </x:c>
      <x:c r="C45" s="22" t="str">
        <x:v>竹林地</x:v>
      </x:c>
      <x:c r="D45" s="22" t="str">
        <x:v>农用地</x:v>
      </x:c>
      <x:c r="E45" s="22" t="str">
        <x:v>林地</x:v>
      </x:c>
      <x:c r="F45" s="23" t="str">
        <x:v>农业生态</x:v>
      </x:c>
    </x:row>
    <x:row r="46">
      <x:c r="A46" s="21" t="str">
        <x:v>303</x:v>
      </x:c>
      <x:c r="B46" s="22" t="str">
        <x:v>303</x:v>
      </x:c>
      <x:c r="C46" s="22" t="str">
        <x:v>红树林地</x:v>
      </x:c>
      <x:c r="D46" s="22" t="str">
        <x:v>农用地</x:v>
      </x:c>
      <x:c r="E46" s="22" t="str">
        <x:v>林地</x:v>
      </x:c>
      <x:c r="F46" s="23" t="str">
        <x:v>农业生态</x:v>
      </x:c>
    </x:row>
    <x:row r="47">
      <x:c r="A47" s="21" t="str">
        <x:v>305</x:v>
      </x:c>
      <x:c r="B47" s="22" t="str">
        <x:v>305</x:v>
      </x:c>
      <x:c r="C47" s="22" t="str">
        <x:v>灌木林地</x:v>
      </x:c>
      <x:c r="D47" s="22" t="str">
        <x:v>农用地</x:v>
      </x:c>
      <x:c r="E47" s="22" t="str">
        <x:v>林地</x:v>
      </x:c>
      <x:c r="F47" s="23" t="str">
        <x:v>农业生态</x:v>
      </x:c>
    </x:row>
    <x:row r="48">
      <x:c r="A48" s="21" t="str">
        <x:v>307</x:v>
      </x:c>
      <x:c r="B48" s="22" t="str">
        <x:v>307</x:v>
      </x:c>
      <x:c r="C48" s="22" t="str">
        <x:v>其他林地</x:v>
      </x:c>
      <x:c r="D48" s="22" t="str">
        <x:v>农用地</x:v>
      </x:c>
      <x:c r="E48" s="22" t="str">
        <x:v>林地</x:v>
      </x:c>
      <x:c r="F48" s="23" t="str">
        <x:v>农业生态</x:v>
      </x:c>
    </x:row>
    <x:row r="49">
      <x:c r="A49" s="21" t="str">
        <x:v>403</x:v>
      </x:c>
      <x:c r="B49" s="22" t="str">
        <x:v>403</x:v>
      </x:c>
      <x:c r="C49" s="22" t="str">
        <x:v>人工牧草地</x:v>
      </x:c>
      <x:c r="D49" s="22" t="str">
        <x:v>农用地</x:v>
      </x:c>
      <x:c r="E49" s="22" t="str">
        <x:v>草地</x:v>
      </x:c>
      <x:c r="F49" s="23" t="str">
        <x:v>农业生态</x:v>
      </x:c>
    </x:row>
    <x:row r="50">
      <x:c r="A50" s="21" t="str">
        <x:v>404</x:v>
      </x:c>
      <x:c r="B50" s="22" t="str">
        <x:v>404</x:v>
      </x:c>
      <x:c r="C50" s="22" t="str">
        <x:v>其他草地</x:v>
      </x:c>
      <x:c r="D50" s="22" t="str">
        <x:v>未利用地</x:v>
      </x:c>
      <x:c r="E50" s="22" t="str">
        <x:v>草地</x:v>
      </x:c>
      <x:c r="F50" s="23" t="str">
        <x:v>农业生态</x:v>
      </x:c>
    </x:row>
    <x:row r="51">
      <x:c r="A51" s="21" t="str">
        <x:v>508</x:v>
      </x:c>
      <x:c r="B51" s="22" t="str">
        <x:v>508</x:v>
      </x:c>
      <x:c r="C51" s="22" t="str">
        <x:v>物流仓储用地</x:v>
      </x:c>
      <x:c r="D51" s="22" t="str">
        <x:v>建设用地</x:v>
      </x:c>
      <x:c r="E51" s="22" t="str">
        <x:v>工矿仓储用地</x:v>
      </x:c>
      <x:c r="F51" s="23" t="str">
        <x:v>产业功能</x:v>
      </x:c>
    </x:row>
    <x:row r="52">
      <x:c r="A52" s="21" t="str">
        <x:v>601</x:v>
      </x:c>
      <x:c r="B52" s="22" t="str">
        <x:v>601</x:v>
      </x:c>
      <x:c r="C52" s="22" t="str">
        <x:v>工业用地</x:v>
      </x:c>
      <x:c r="D52" s="22" t="str">
        <x:v>建设用地</x:v>
      </x:c>
      <x:c r="E52" s="22" t="str">
        <x:v>工矿仓储用地</x:v>
      </x:c>
      <x:c r="F52" s="23" t="str">
        <x:v>产业功能</x:v>
      </x:c>
    </x:row>
    <x:row r="53">
      <x:c r="A53" s="21" t="str">
        <x:v>602</x:v>
      </x:c>
      <x:c r="B53" s="22" t="str">
        <x:v>602</x:v>
      </x:c>
      <x:c r="C53" s="22" t="str">
        <x:v>采矿用地</x:v>
      </x:c>
      <x:c r="D53" s="22" t="str">
        <x:v>建设用地</x:v>
      </x:c>
      <x:c r="E53" s="22" t="str">
        <x:v>工矿仓储用地</x:v>
      </x:c>
      <x:c r="F53" s="23" t="str">
        <x:v>产业功能</x:v>
      </x:c>
    </x:row>
    <x:row r="54">
      <x:c r="A54" s="21" t="str">
        <x:v>603</x:v>
      </x:c>
      <x:c r="B54" s="22" t="str">
        <x:v>603</x:v>
      </x:c>
      <x:c r="C54" s="22" t="str">
        <x:v>盐田</x:v>
      </x:c>
      <x:c r="D54" s="22" t="str">
        <x:v>建设用地</x:v>
      </x:c>
      <x:c r="E54" s="22" t="str">
        <x:v>工矿仓储用地</x:v>
      </x:c>
      <x:c r="F54" s="23" t="str">
        <x:v>产业功能</x:v>
      </x:c>
    </x:row>
    <x:row r="55">
      <x:c r="A55" s="21" t="str">
        <x:v>701</x:v>
      </x:c>
      <x:c r="B55" s="22" t="str">
        <x:v>701</x:v>
      </x:c>
      <x:c r="C55" s="22" t="str">
        <x:v>城镇住宅用地</x:v>
      </x:c>
      <x:c r="D55" s="22" t="str">
        <x:v>建设用地</x:v>
      </x:c>
      <x:c r="E55" s="22" t="str">
        <x:v>居住用地</x:v>
      </x:c>
      <x:c r="F55" s="23" t="str">
        <x:v>居住功能</x:v>
      </x:c>
    </x:row>
    <x:row r="56">
      <x:c r="A56" s="21" t="str">
        <x:v>702</x:v>
      </x:c>
      <x:c r="B56" s="22" t="str">
        <x:v>702</x:v>
      </x:c>
      <x:c r="C56" s="22" t="str">
        <x:v>农村宅基地</x:v>
      </x:c>
      <x:c r="D56" s="22" t="str">
        <x:v>建设用地</x:v>
      </x:c>
      <x:c r="E56" s="22" t="str">
        <x:v>居住用地</x:v>
      </x:c>
      <x:c r="F56" s="23" t="str">
        <x:v>居住功能</x:v>
      </x:c>
    </x:row>
    <x:row r="57">
      <x:c r="A57" s="21" t="str">
        <x:v>809</x:v>
      </x:c>
      <x:c r="B57" s="22" t="str">
        <x:v>809</x:v>
      </x:c>
      <x:c r="C57" s="22" t="str">
        <x:v>公用设施用地</x:v>
      </x:c>
      <x:c r="D57" s="22" t="str">
        <x:v>建设用地</x:v>
      </x:c>
      <x:c r="E57" s="22" t="str">
        <x:v>公用设施用地</x:v>
      </x:c>
      <x:c r="F57" s="23" t="str">
        <x:v>其他建设</x:v>
      </x:c>
    </x:row>
    <x:row r="58">
      <x:c r="A58" s="21" t="str">
        <x:v>810</x:v>
      </x:c>
      <x:c r="B58" s="22" t="str">
        <x:v>810</x:v>
      </x:c>
      <x:c r="C58" s="22" t="str">
        <x:v>公园与绿地</x:v>
      </x:c>
      <x:c r="D58" s="22" t="str">
        <x:v>建设用地</x:v>
      </x:c>
      <x:c r="E58" s="22" t="str">
        <x:v>绿地与广场用地</x:v>
      </x:c>
      <x:c r="F58" s="23" t="str">
        <x:v>公共空间</x:v>
      </x:c>
    </x:row>
    <x:row r="59">
      <x:c r="A59" s="24" t="str">
        <x:v>9</x:v>
      </x:c>
      <x:c r="B59" s="25" t="str">
        <x:v>9</x:v>
      </x:c>
      <x:c r="C59" s="25" t="str">
        <x:v>特殊用地</x:v>
      </x:c>
      <x:c r="D59" s="25" t="str">
        <x:v>建设用地</x:v>
      </x:c>
      <x:c r="E59" s="25" t="str">
        <x:v>特殊用地</x:v>
      </x:c>
      <x:c r="F59" s="26" t="str">
        <x:v>其他建设</x:v>
      </x:c>
    </x:row>
  </x:sheetData>
  <x:pageMargins left="0.7" right="0.7" top="0.75" bottom="0.75" header="0.3" footer="0.3"/>
  <x:tableParts count="1">
    <x:tablePart xmlns:r="http://schemas.openxmlformats.org/officeDocument/2006/relationships" r:id="R0d5b883f173f4a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2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2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24" hidden="0" customWidth="1"/>
    <x:col min="17" max="17" width="16" hidden="0" customWidth="1"/>
  </x:cols>
  <x:sheetData>
    <x:row r="1">
      <x:c r="A1" s="18" t="str">
        <x:v>地市编码</x:v>
      </x:c>
      <x:c r="B1" s="19" t="str">
        <x:v>城市</x:v>
      </x:c>
      <x:c r="C1" s="19" t="str">
        <x:v>区县编码</x:v>
      </x:c>
      <x:c r="D1" s="19" t="str">
        <x:v>区县</x:v>
      </x:c>
      <x:c r="E1" s="19" t="str">
        <x:v>一级分类</x:v>
      </x:c>
      <x:c r="F1" s="19" t="str">
        <x:v>二级分类</x:v>
      </x:c>
      <x:c r="G1" s="19" t="str">
        <x:v>细分地类编码</x:v>
      </x:c>
      <x:c r="H1" s="19" t="str">
        <x:v>不细分地类编码</x:v>
      </x:c>
      <x:c r="I1" s="19" t="str">
        <x:v>细分地类</x:v>
      </x:c>
      <x:c r="J1" s="19" t="str">
        <x:v>网站分析分类</x:v>
      </x:c>
      <x:c r="K1" s="19" t="str">
        <x:v>权属性质编码</x:v>
      </x:c>
      <x:c r="L1" s="19" t="str">
        <x:v>权属性质名称</x:v>
      </x:c>
      <x:c r="M1" s="19" t="str">
        <x:v>面积_平方米</x:v>
      </x:c>
      <x:c r="N1" s="19" t="str">
        <x:v>面积_公顷</x:v>
      </x:c>
      <x:c r="O1" s="19" t="str">
        <x:v>面积单位</x:v>
      </x:c>
      <x:c r="P1" s="19" t="str">
        <x:v>统计年份</x:v>
      </x:c>
      <x:c r="Q1" s="20" t="str">
        <x:v>源OBJECTID</x:v>
      </x:c>
    </x:row>
    <x:row r="2">
      <x:c r="A2" s="30" t="n">
        <x:v>350200</x:v>
      </x:c>
      <x:c r="B2" s="22" t="str">
        <x:v>厦门市</x:v>
      </x:c>
      <x:c r="C2" s="31" t="n">
        <x:v>350203</x:v>
      </x:c>
      <x:c r="D2" s="22" t="str">
        <x:v>思明区</x:v>
      </x:c>
      <x:c r="E2" s="22" t="str">
        <x:v>建设用地</x:v>
      </x:c>
      <x:c r="F2" s="22" t="str">
        <x:v>交通运输用地</x:v>
      </x:c>
      <x:c r="G2" s="32" t="str">
        <x:v>1001</x:v>
      </x:c>
      <x:c r="H2" s="32" t="str">
        <x:v>1001</x:v>
      </x:c>
      <x:c r="I2" s="22" t="str">
        <x:v>铁路用地</x:v>
      </x:c>
      <x:c r="J2" s="22" t="str">
        <x:v>交通门户</x:v>
      </x:c>
      <x:c r="K2" s="32" t="str"/>
      <x:c r="L2" s="22" t="str">
        <x:v>不适用/未标注</x:v>
      </x:c>
      <x:c r="M2" s="33" t="n">
        <x:v>339103.32</x:v>
      </x:c>
      <x:c r="N2" s="33" t="n">
        <x:v>33.910332000000004</x:v>
      </x:c>
      <x:c r="O2" s="22" t="str">
        <x:v>公顷</x:v>
      </x:c>
      <x:c r="P2" s="22" t="str">
        <x:v>未提供（单期横截面）</x:v>
      </x:c>
      <x:c r="Q2" s="23" t="n">
        <x:v>1310</x:v>
      </x:c>
    </x:row>
    <x:row r="3">
      <x:c r="A3" s="30" t="n">
        <x:v>350200</x:v>
      </x:c>
      <x:c r="B3" s="22" t="str">
        <x:v>厦门市</x:v>
      </x:c>
      <x:c r="C3" s="31" t="n">
        <x:v>350203</x:v>
      </x:c>
      <x:c r="D3" s="22" t="str">
        <x:v>思明区</x:v>
      </x:c>
      <x:c r="E3" s="22" t="str">
        <x:v>建设用地</x:v>
      </x:c>
      <x:c r="F3" s="22" t="str">
        <x:v>交通运输用地</x:v>
      </x:c>
      <x:c r="G3" s="32" t="str">
        <x:v>1003</x:v>
      </x:c>
      <x:c r="H3" s="32" t="str">
        <x:v>1003</x:v>
      </x:c>
      <x:c r="I3" s="22" t="str">
        <x:v>公路用地</x:v>
      </x:c>
      <x:c r="J3" s="22" t="str">
        <x:v>交通门户</x:v>
      </x:c>
      <x:c r="K3" s="32" t="str"/>
      <x:c r="L3" s="22" t="str">
        <x:v>不适用/未标注</x:v>
      </x:c>
      <x:c r="M3" s="33" t="n">
        <x:v>196918.78</x:v>
      </x:c>
      <x:c r="N3" s="33" t="n">
        <x:v>19.691878</x:v>
      </x:c>
      <x:c r="O3" s="22" t="str">
        <x:v>公顷</x:v>
      </x:c>
      <x:c r="P3" s="22" t="str">
        <x:v>未提供（单期横截面）</x:v>
      </x:c>
      <x:c r="Q3" s="23" t="n">
        <x:v>1311</x:v>
      </x:c>
    </x:row>
    <x:row r="4">
      <x:c r="A4" s="30" t="n">
        <x:v>350200</x:v>
      </x:c>
      <x:c r="B4" s="22" t="str">
        <x:v>厦门市</x:v>
      </x:c>
      <x:c r="C4" s="31" t="n">
        <x:v>350203</x:v>
      </x:c>
      <x:c r="D4" s="22" t="str">
        <x:v>思明区</x:v>
      </x:c>
      <x:c r="E4" s="22" t="str">
        <x:v>建设用地</x:v>
      </x:c>
      <x:c r="F4" s="22" t="str">
        <x:v>工矿仓储用地</x:v>
      </x:c>
      <x:c r="G4" s="32" t="str">
        <x:v>508</x:v>
      </x:c>
      <x:c r="H4" s="32" t="str">
        <x:v>508</x:v>
      </x:c>
      <x:c r="I4" s="22" t="str">
        <x:v>物流仓储用地</x:v>
      </x:c>
      <x:c r="J4" s="22" t="str">
        <x:v>产业功能</x:v>
      </x:c>
      <x:c r="K4" s="32" t="str">
        <x:v>201</x:v>
      </x:c>
      <x:c r="L4" s="22" t="str">
        <x:v>城市范围</x:v>
      </x:c>
      <x:c r="M4" s="33" t="n">
        <x:v>129121.12000000001</x:v>
      </x:c>
      <x:c r="N4" s="33" t="n">
        <x:v>12.912112</x:v>
      </x:c>
      <x:c r="O4" s="22" t="str">
        <x:v>公顷</x:v>
      </x:c>
      <x:c r="P4" s="22" t="str">
        <x:v>未提供（单期横截面）</x:v>
      </x:c>
      <x:c r="Q4" s="23" t="n">
        <x:v>1312</x:v>
      </x:c>
    </x:row>
    <x:row r="5">
      <x:c r="A5" s="30" t="n">
        <x:v>350200</x:v>
      </x:c>
      <x:c r="B5" s="22" t="str">
        <x:v>厦门市</x:v>
      </x:c>
      <x:c r="C5" s="31" t="n">
        <x:v>350203</x:v>
      </x:c>
      <x:c r="D5" s="22" t="str">
        <x:v>思明区</x:v>
      </x:c>
      <x:c r="E5" s="22" t="str">
        <x:v>建设用地</x:v>
      </x:c>
      <x:c r="F5" s="22" t="str">
        <x:v>商业服务业用地</x:v>
      </x:c>
      <x:c r="G5" s="32" t="str">
        <x:v>05H1</x:v>
      </x:c>
      <x:c r="H5" s="32" t="str">
        <x:v>05H1</x:v>
      </x:c>
      <x:c r="I5" s="22" t="str">
        <x:v>商业服务业设施用地</x:v>
      </x:c>
      <x:c r="J5" s="22" t="str">
        <x:v>商业服务</x:v>
      </x:c>
      <x:c r="K5" s="32" t="str">
        <x:v>201</x:v>
      </x:c>
      <x:c r="L5" s="22" t="str">
        <x:v>城市范围</x:v>
      </x:c>
      <x:c r="M5" s="33" t="n">
        <x:v>7175633.93</x:v>
      </x:c>
      <x:c r="N5" s="33" t="n">
        <x:v>717.563393</x:v>
      </x:c>
      <x:c r="O5" s="22" t="str">
        <x:v>公顷</x:v>
      </x:c>
      <x:c r="P5" s="22" t="str">
        <x:v>未提供（单期横截面）</x:v>
      </x:c>
      <x:c r="Q5" s="23" t="n">
        <x:v>1313</x:v>
      </x:c>
    </x:row>
    <x:row r="6">
      <x:c r="A6" s="30" t="n">
        <x:v>350200</x:v>
      </x:c>
      <x:c r="B6" s="22" t="str">
        <x:v>厦门市</x:v>
      </x:c>
      <x:c r="C6" s="31" t="n">
        <x:v>350203</x:v>
      </x:c>
      <x:c r="D6" s="22" t="str">
        <x:v>思明区</x:v>
      </x:c>
      <x:c r="E6" s="22" t="str">
        <x:v>建设用地</x:v>
      </x:c>
      <x:c r="F6" s="22" t="str">
        <x:v>工矿仓储用地</x:v>
      </x:c>
      <x:c r="G6" s="32" t="str">
        <x:v>601</x:v>
      </x:c>
      <x:c r="H6" s="32" t="str">
        <x:v>601</x:v>
      </x:c>
      <x:c r="I6" s="22" t="str">
        <x:v>工业用地</x:v>
      </x:c>
      <x:c r="J6" s="22" t="str">
        <x:v>产业功能</x:v>
      </x:c>
      <x:c r="K6" s="32" t="str">
        <x:v>201</x:v>
      </x:c>
      <x:c r="L6" s="22" t="str">
        <x:v>城市范围</x:v>
      </x:c>
      <x:c r="M6" s="33" t="n">
        <x:v>1166318.66</x:v>
      </x:c>
      <x:c r="N6" s="33" t="n">
        <x:v>116.63186599999999</x:v>
      </x:c>
      <x:c r="O6" s="22" t="str">
        <x:v>公顷</x:v>
      </x:c>
      <x:c r="P6" s="22" t="str">
        <x:v>未提供（单期横截面）</x:v>
      </x:c>
      <x:c r="Q6" s="23" t="n">
        <x:v>1314</x:v>
      </x:c>
    </x:row>
    <x:row r="7">
      <x:c r="A7" s="30" t="n">
        <x:v>350200</x:v>
      </x:c>
      <x:c r="B7" s="22" t="str">
        <x:v>厦门市</x:v>
      </x:c>
      <x:c r="C7" s="31" t="n">
        <x:v>350203</x:v>
      </x:c>
      <x:c r="D7" s="22" t="str">
        <x:v>思明区</x:v>
      </x:c>
      <x:c r="E7" s="22" t="str">
        <x:v>建设用地</x:v>
      </x:c>
      <x:c r="F7" s="22" t="str">
        <x:v>工矿仓储用地</x:v>
      </x:c>
      <x:c r="G7" s="32" t="str">
        <x:v>602</x:v>
      </x:c>
      <x:c r="H7" s="32" t="str">
        <x:v>602</x:v>
      </x:c>
      <x:c r="I7" s="22" t="str">
        <x:v>采矿用地</x:v>
      </x:c>
      <x:c r="J7" s="22" t="str">
        <x:v>产业功能</x:v>
      </x:c>
      <x:c r="K7" s="32" t="str">
        <x:v>201</x:v>
      </x:c>
      <x:c r="L7" s="22" t="str">
        <x:v>城市范围</x:v>
      </x:c>
      <x:c r="M7" s="33" t="n">
        <x:v>23193.84</x:v>
      </x:c>
      <x:c r="N7" s="33" t="n">
        <x:v>2.319384</x:v>
      </x:c>
      <x:c r="O7" s="22" t="str">
        <x:v>公顷</x:v>
      </x:c>
      <x:c r="P7" s="22" t="str">
        <x:v>未提供（单期横截面）</x:v>
      </x:c>
      <x:c r="Q7" s="23" t="n">
        <x:v>1315</x:v>
      </x:c>
    </x:row>
    <x:row r="8">
      <x:c r="A8" s="30" t="n">
        <x:v>350200</x:v>
      </x:c>
      <x:c r="B8" s="22" t="str">
        <x:v>厦门市</x:v>
      </x:c>
      <x:c r="C8" s="31" t="n">
        <x:v>350203</x:v>
      </x:c>
      <x:c r="D8" s="22" t="str">
        <x:v>思明区</x:v>
      </x:c>
      <x:c r="E8" s="22" t="str">
        <x:v>建设用地</x:v>
      </x:c>
      <x:c r="F8" s="22" t="str">
        <x:v>居住用地</x:v>
      </x:c>
      <x:c r="G8" s="32" t="str">
        <x:v>701</x:v>
      </x:c>
      <x:c r="H8" s="32" t="str">
        <x:v>701</x:v>
      </x:c>
      <x:c r="I8" s="22" t="str">
        <x:v>城镇住宅用地</x:v>
      </x:c>
      <x:c r="J8" s="22" t="str">
        <x:v>居住功能</x:v>
      </x:c>
      <x:c r="K8" s="32" t="str">
        <x:v>201</x:v>
      </x:c>
      <x:c r="L8" s="22" t="str">
        <x:v>城市范围</x:v>
      </x:c>
      <x:c r="M8" s="33" t="n">
        <x:v>16360015.019999998</x:v>
      </x:c>
      <x:c r="N8" s="33" t="n">
        <x:v>1636.0015019999998</x:v>
      </x:c>
      <x:c r="O8" s="22" t="str">
        <x:v>公顷</x:v>
      </x:c>
      <x:c r="P8" s="22" t="str">
        <x:v>未提供（单期横截面）</x:v>
      </x:c>
      <x:c r="Q8" s="23" t="n">
        <x:v>1316</x:v>
      </x:c>
    </x:row>
    <x:row r="9">
      <x:c r="A9" s="30" t="n">
        <x:v>350200</x:v>
      </x:c>
      <x:c r="B9" s="22" t="str">
        <x:v>厦门市</x:v>
      </x:c>
      <x:c r="C9" s="31" t="n">
        <x:v>350203</x:v>
      </x:c>
      <x:c r="D9" s="22" t="str">
        <x:v>思明区</x:v>
      </x:c>
      <x:c r="E9" s="22" t="str">
        <x:v>建设用地</x:v>
      </x:c>
      <x:c r="F9" s="22" t="str">
        <x:v>居住用地</x:v>
      </x:c>
      <x:c r="G9" s="32" t="str">
        <x:v>702</x:v>
      </x:c>
      <x:c r="H9" s="32" t="str">
        <x:v>702</x:v>
      </x:c>
      <x:c r="I9" s="22" t="str">
        <x:v>农村宅基地</x:v>
      </x:c>
      <x:c r="J9" s="22" t="str">
        <x:v>居住功能</x:v>
      </x:c>
      <x:c r="K9" s="32" t="str">
        <x:v>201</x:v>
      </x:c>
      <x:c r="L9" s="22" t="str">
        <x:v>城市范围</x:v>
      </x:c>
      <x:c r="M9" s="33" t="n">
        <x:v>1962937.2700000012</x:v>
      </x:c>
      <x:c r="N9" s="33" t="n">
        <x:v>196.29372700000013</x:v>
      </x:c>
      <x:c r="O9" s="22" t="str">
        <x:v>公顷</x:v>
      </x:c>
      <x:c r="P9" s="22" t="str">
        <x:v>未提供（单期横截面）</x:v>
      </x:c>
      <x:c r="Q9" s="23" t="n">
        <x:v>1317</x:v>
      </x:c>
    </x:row>
    <x:row r="10">
      <x:c r="A10" s="30" t="n">
        <x:v>350200</x:v>
      </x:c>
      <x:c r="B10" s="22" t="str">
        <x:v>厦门市</x:v>
      </x:c>
      <x:c r="C10" s="31" t="n">
        <x:v>350203</x:v>
      </x:c>
      <x:c r="D10" s="22" t="str">
        <x:v>思明区</x:v>
      </x:c>
      <x:c r="E10" s="22" t="str">
        <x:v>建设用地</x:v>
      </x:c>
      <x:c r="F10" s="22" t="str">
        <x:v>公用设施用地</x:v>
      </x:c>
      <x:c r="G10" s="32" t="str">
        <x:v>809</x:v>
      </x:c>
      <x:c r="H10" s="32" t="str">
        <x:v>809</x:v>
      </x:c>
      <x:c r="I10" s="22" t="str">
        <x:v>公用设施用地</x:v>
      </x:c>
      <x:c r="J10" s="22" t="str">
        <x:v>其他建设</x:v>
      </x:c>
      <x:c r="K10" s="32" t="str">
        <x:v>201</x:v>
      </x:c>
      <x:c r="L10" s="22" t="str">
        <x:v>城市范围</x:v>
      </x:c>
      <x:c r="M10" s="33" t="n">
        <x:v>775582.86</x:v>
      </x:c>
      <x:c r="N10" s="33" t="n">
        <x:v>77.558286</x:v>
      </x:c>
      <x:c r="O10" s="22" t="str">
        <x:v>公顷</x:v>
      </x:c>
      <x:c r="P10" s="22" t="str">
        <x:v>未提供（单期横截面）</x:v>
      </x:c>
      <x:c r="Q10" s="23" t="n">
        <x:v>1318</x:v>
      </x:c>
    </x:row>
    <x:row r="11">
      <x:c r="A11" s="30" t="n">
        <x:v>350200</x:v>
      </x:c>
      <x:c r="B11" s="22" t="str">
        <x:v>厦门市</x:v>
      </x:c>
      <x:c r="C11" s="31" t="n">
        <x:v>350203</x:v>
      </x:c>
      <x:c r="D11" s="22" t="str">
        <x:v>思明区</x:v>
      </x:c>
      <x:c r="E11" s="22" t="str">
        <x:v>建设用地</x:v>
      </x:c>
      <x:c r="F11" s="22" t="str">
        <x:v>绿地与广场用地</x:v>
      </x:c>
      <x:c r="G11" s="32" t="str">
        <x:v>810</x:v>
      </x:c>
      <x:c r="H11" s="32" t="str">
        <x:v>810</x:v>
      </x:c>
      <x:c r="I11" s="22" t="str">
        <x:v>公园与绿地</x:v>
      </x:c>
      <x:c r="J11" s="22" t="str">
        <x:v>公共空间</x:v>
      </x:c>
      <x:c r="K11" s="32" t="str">
        <x:v>201</x:v>
      </x:c>
      <x:c r="L11" s="22" t="str">
        <x:v>城市范围</x:v>
      </x:c>
      <x:c r="M11" s="33" t="n">
        <x:v>1293455.3699999996</x:v>
      </x:c>
      <x:c r="N11" s="33" t="n">
        <x:v>129.34553699999995</x:v>
      </x:c>
      <x:c r="O11" s="22" t="str">
        <x:v>公顷</x:v>
      </x:c>
      <x:c r="P11" s="22" t="str">
        <x:v>未提供（单期横截面）</x:v>
      </x:c>
      <x:c r="Q11" s="23" t="n">
        <x:v>1319</x:v>
      </x:c>
    </x:row>
    <x:row r="12">
      <x:c r="A12" s="30" t="n">
        <x:v>350200</x:v>
      </x:c>
      <x:c r="B12" s="22" t="str">
        <x:v>厦门市</x:v>
      </x:c>
      <x:c r="C12" s="31" t="n">
        <x:v>350203</x:v>
      </x:c>
      <x:c r="D12" s="22" t="str">
        <x:v>思明区</x:v>
      </x:c>
      <x:c r="E12" s="22" t="str">
        <x:v>建设用地</x:v>
      </x:c>
      <x:c r="F12" s="22" t="str">
        <x:v>绿地与广场用地</x:v>
      </x:c>
      <x:c r="G12" s="32" t="str">
        <x:v>0810A</x:v>
      </x:c>
      <x:c r="H12" s="32" t="str">
        <x:v>0810</x:v>
      </x:c>
      <x:c r="I12" s="22" t="str">
        <x:v>广场用地</x:v>
      </x:c>
      <x:c r="J12" s="22" t="str">
        <x:v>公共空间</x:v>
      </x:c>
      <x:c r="K12" s="32" t="str">
        <x:v>201</x:v>
      </x:c>
      <x:c r="L12" s="22" t="str">
        <x:v>城市范围</x:v>
      </x:c>
      <x:c r="M12" s="33" t="n">
        <x:v>39058.63</x:v>
      </x:c>
      <x:c r="N12" s="33" t="n">
        <x:v>3.9058629999999996</x:v>
      </x:c>
      <x:c r="O12" s="22" t="str">
        <x:v>公顷</x:v>
      </x:c>
      <x:c r="P12" s="22" t="str">
        <x:v>未提供（单期横截面）</x:v>
      </x:c>
      <x:c r="Q12" s="23" t="n">
        <x:v>1320</x:v>
      </x:c>
    </x:row>
    <x:row r="13">
      <x:c r="A13" s="30" t="n">
        <x:v>350200</x:v>
      </x:c>
      <x:c r="B13" s="22" t="str">
        <x:v>厦门市</x:v>
      </x:c>
      <x:c r="C13" s="31" t="n">
        <x:v>350203</x:v>
      </x:c>
      <x:c r="D13" s="22" t="str">
        <x:v>思明区</x:v>
      </x:c>
      <x:c r="E13" s="22" t="str">
        <x:v>建设用地</x:v>
      </x:c>
      <x:c r="F13" s="22" t="str">
        <x:v>公共管理与公共服务用地</x:v>
      </x:c>
      <x:c r="G13" s="32" t="str">
        <x:v>08H1</x:v>
      </x:c>
      <x:c r="H13" s="32" t="str">
        <x:v>08H1</x:v>
      </x:c>
      <x:c r="I13" s="22" t="str">
        <x:v>机关团体新闻出版用地</x:v>
      </x:c>
      <x:c r="J13" s="22" t="str">
        <x:v>公共服务</x:v>
      </x:c>
      <x:c r="K13" s="32" t="str">
        <x:v>201</x:v>
      </x:c>
      <x:c r="L13" s="22" t="str">
        <x:v>城市范围</x:v>
      </x:c>
      <x:c r="M13" s="33" t="n">
        <x:v>896835.2499999995</x:v>
      </x:c>
      <x:c r="N13" s="33" t="n">
        <x:v>89.68352499999996</x:v>
      </x:c>
      <x:c r="O13" s="22" t="str">
        <x:v>公顷</x:v>
      </x:c>
      <x:c r="P13" s="22" t="str">
        <x:v>未提供（单期横截面）</x:v>
      </x:c>
      <x:c r="Q13" s="23" t="n">
        <x:v>1321</x:v>
      </x:c>
    </x:row>
    <x:row r="14">
      <x:c r="A14" s="30" t="n">
        <x:v>350200</x:v>
      </x:c>
      <x:c r="B14" s="22" t="str">
        <x:v>厦门市</x:v>
      </x:c>
      <x:c r="C14" s="31" t="n">
        <x:v>350203</x:v>
      </x:c>
      <x:c r="D14" s="22" t="str">
        <x:v>思明区</x:v>
      </x:c>
      <x:c r="E14" s="22" t="str">
        <x:v>建设用地</x:v>
      </x:c>
      <x:c r="F14" s="22" t="str">
        <x:v>公共管理与公共服务用地</x:v>
      </x:c>
      <x:c r="G14" s="32" t="str">
        <x:v>08H2</x:v>
      </x:c>
      <x:c r="H14" s="32" t="str">
        <x:v>08H2</x:v>
      </x:c>
      <x:c r="I14" s="22" t="str">
        <x:v>科教文卫用地</x:v>
      </x:c>
      <x:c r="J14" s="22" t="str">
        <x:v>公共服务</x:v>
      </x:c>
      <x:c r="K14" s="32" t="str">
        <x:v>201</x:v>
      </x:c>
      <x:c r="L14" s="22" t="str">
        <x:v>城市范围</x:v>
      </x:c>
      <x:c r="M14" s="33" t="n">
        <x:v>3159018.4999999986</x:v>
      </x:c>
      <x:c r="N14" s="33" t="n">
        <x:v>315.90184999999985</x:v>
      </x:c>
      <x:c r="O14" s="22" t="str">
        <x:v>公顷</x:v>
      </x:c>
      <x:c r="P14" s="22" t="str">
        <x:v>未提供（单期横截面）</x:v>
      </x:c>
      <x:c r="Q14" s="23" t="n">
        <x:v>1322</x:v>
      </x:c>
    </x:row>
    <x:row r="15">
      <x:c r="A15" s="30" t="n">
        <x:v>350200</x:v>
      </x:c>
      <x:c r="B15" s="22" t="str">
        <x:v>厦门市</x:v>
      </x:c>
      <x:c r="C15" s="31" t="n">
        <x:v>350203</x:v>
      </x:c>
      <x:c r="D15" s="22" t="str">
        <x:v>思明区</x:v>
      </x:c>
      <x:c r="E15" s="22" t="str">
        <x:v>建设用地</x:v>
      </x:c>
      <x:c r="F15" s="22" t="str">
        <x:v>公共管理与公共服务用地</x:v>
      </x:c>
      <x:c r="G15" s="32" t="str">
        <x:v>08H2A</x:v>
      </x:c>
      <x:c r="H15" s="32" t="str">
        <x:v>08H2</x:v>
      </x:c>
      <x:c r="I15" s="22" t="str">
        <x:v>高教用地</x:v>
      </x:c>
      <x:c r="J15" s="22" t="str">
        <x:v>公共服务</x:v>
      </x:c>
      <x:c r="K15" s="32" t="str">
        <x:v>201</x:v>
      </x:c>
      <x:c r="L15" s="22" t="str">
        <x:v>城市范围</x:v>
      </x:c>
      <x:c r="M15" s="33" t="n">
        <x:v>1725508.2100000002</x:v>
      </x:c>
      <x:c r="N15" s="33" t="n">
        <x:v>172.550821</x:v>
      </x:c>
      <x:c r="O15" s="22" t="str">
        <x:v>公顷</x:v>
      </x:c>
      <x:c r="P15" s="22" t="str">
        <x:v>未提供（单期横截面）</x:v>
      </x:c>
      <x:c r="Q15" s="23" t="n">
        <x:v>1323</x:v>
      </x:c>
    </x:row>
    <x:row r="16">
      <x:c r="A16" s="30" t="n">
        <x:v>350200</x:v>
      </x:c>
      <x:c r="B16" s="22" t="str">
        <x:v>厦门市</x:v>
      </x:c>
      <x:c r="C16" s="31" t="n">
        <x:v>350203</x:v>
      </x:c>
      <x:c r="D16" s="22" t="str">
        <x:v>思明区</x:v>
      </x:c>
      <x:c r="E16" s="22" t="str">
        <x:v>建设用地</x:v>
      </x:c>
      <x:c r="F16" s="22" t="str">
        <x:v>特殊用地</x:v>
      </x:c>
      <x:c r="G16" s="32" t="str">
        <x:v>9</x:v>
      </x:c>
      <x:c r="H16" s="32" t="str">
        <x:v>9</x:v>
      </x:c>
      <x:c r="I16" s="22" t="str">
        <x:v>特殊用地</x:v>
      </x:c>
      <x:c r="J16" s="22" t="str">
        <x:v>其他建设</x:v>
      </x:c>
      <x:c r="K16" s="32" t="str">
        <x:v>201</x:v>
      </x:c>
      <x:c r="L16" s="22" t="str">
        <x:v>城市范围</x:v>
      </x:c>
      <x:c r="M16" s="33" t="n">
        <x:v>2516118.3200000003</x:v>
      </x:c>
      <x:c r="N16" s="33" t="n">
        <x:v>251.61183200000002</x:v>
      </x:c>
      <x:c r="O16" s="22" t="str">
        <x:v>公顷</x:v>
      </x:c>
      <x:c r="P16" s="22" t="str">
        <x:v>未提供（单期横截面）</x:v>
      </x:c>
      <x:c r="Q16" s="23" t="n">
        <x:v>1324</x:v>
      </x:c>
    </x:row>
    <x:row r="17">
      <x:c r="A17" s="30" t="n">
        <x:v>350200</x:v>
      </x:c>
      <x:c r="B17" s="22" t="str">
        <x:v>厦门市</x:v>
      </x:c>
      <x:c r="C17" s="31" t="n">
        <x:v>350203</x:v>
      </x:c>
      <x:c r="D17" s="22" t="str">
        <x:v>思明区</x:v>
      </x:c>
      <x:c r="E17" s="22" t="str">
        <x:v>建设用地</x:v>
      </x:c>
      <x:c r="F17" s="22" t="str">
        <x:v>交通运输用地</x:v>
      </x:c>
      <x:c r="G17" s="32" t="str">
        <x:v>1001</x:v>
      </x:c>
      <x:c r="H17" s="32" t="str">
        <x:v>1001</x:v>
      </x:c>
      <x:c r="I17" s="22" t="str">
        <x:v>铁路用地</x:v>
      </x:c>
      <x:c r="J17" s="22" t="str">
        <x:v>交通门户</x:v>
      </x:c>
      <x:c r="K17" s="32" t="str">
        <x:v>201</x:v>
      </x:c>
      <x:c r="L17" s="22" t="str">
        <x:v>城市范围</x:v>
      </x:c>
      <x:c r="M17" s="33" t="n">
        <x:v>16293.82</x:v>
      </x:c>
      <x:c r="N17" s="33" t="n">
        <x:v>1.6293819999999999</x:v>
      </x:c>
      <x:c r="O17" s="22" t="str">
        <x:v>公顷</x:v>
      </x:c>
      <x:c r="P17" s="22" t="str">
        <x:v>未提供（单期横截面）</x:v>
      </x:c>
      <x:c r="Q17" s="23" t="n">
        <x:v>1325</x:v>
      </x:c>
    </x:row>
    <x:row r="18">
      <x:c r="A18" s="30" t="n">
        <x:v>350200</x:v>
      </x:c>
      <x:c r="B18" s="22" t="str">
        <x:v>厦门市</x:v>
      </x:c>
      <x:c r="C18" s="31" t="n">
        <x:v>350203</x:v>
      </x:c>
      <x:c r="D18" s="22" t="str">
        <x:v>思明区</x:v>
      </x:c>
      <x:c r="E18" s="22" t="str">
        <x:v>建设用地</x:v>
      </x:c>
      <x:c r="F18" s="22" t="str">
        <x:v>交通运输用地</x:v>
      </x:c>
      <x:c r="G18" s="32" t="str">
        <x:v>1002</x:v>
      </x:c>
      <x:c r="H18" s="32" t="str">
        <x:v>1002</x:v>
      </x:c>
      <x:c r="I18" s="22" t="str">
        <x:v>轨道交通用地</x:v>
      </x:c>
      <x:c r="J18" s="22" t="str">
        <x:v>交通门户</x:v>
      </x:c>
      <x:c r="K18" s="32" t="str">
        <x:v>201</x:v>
      </x:c>
      <x:c r="L18" s="22" t="str">
        <x:v>城市范围</x:v>
      </x:c>
      <x:c r="M18" s="33" t="n">
        <x:v>116103.63999999998</x:v>
      </x:c>
      <x:c r="N18" s="33" t="n">
        <x:v>11.610363999999999</x:v>
      </x:c>
      <x:c r="O18" s="22" t="str">
        <x:v>公顷</x:v>
      </x:c>
      <x:c r="P18" s="22" t="str">
        <x:v>未提供（单期横截面）</x:v>
      </x:c>
      <x:c r="Q18" s="23" t="n">
        <x:v>1326</x:v>
      </x:c>
    </x:row>
    <x:row r="19">
      <x:c r="A19" s="30" t="n">
        <x:v>350200</x:v>
      </x:c>
      <x:c r="B19" s="22" t="str">
        <x:v>厦门市</x:v>
      </x:c>
      <x:c r="C19" s="31" t="n">
        <x:v>350203</x:v>
      </x:c>
      <x:c r="D19" s="22" t="str">
        <x:v>思明区</x:v>
      </x:c>
      <x:c r="E19" s="22" t="str">
        <x:v>建设用地</x:v>
      </x:c>
      <x:c r="F19" s="22" t="str">
        <x:v>交通运输用地</x:v>
      </x:c>
      <x:c r="G19" s="32" t="str">
        <x:v>1003</x:v>
      </x:c>
      <x:c r="H19" s="32" t="str">
        <x:v>1003</x:v>
      </x:c>
      <x:c r="I19" s="22" t="str">
        <x:v>公路用地</x:v>
      </x:c>
      <x:c r="J19" s="22" t="str">
        <x:v>交通门户</x:v>
      </x:c>
      <x:c r="K19" s="32" t="str">
        <x:v>201</x:v>
      </x:c>
      <x:c r="L19" s="22" t="str">
        <x:v>城市范围</x:v>
      </x:c>
      <x:c r="M19" s="33" t="n">
        <x:v>6481.91</x:v>
      </x:c>
      <x:c r="N19" s="33" t="n">
        <x:v>0.648191</x:v>
      </x:c>
      <x:c r="O19" s="22" t="str">
        <x:v>公顷</x:v>
      </x:c>
      <x:c r="P19" s="22" t="str">
        <x:v>未提供（单期横截面）</x:v>
      </x:c>
      <x:c r="Q19" s="23" t="n">
        <x:v>1327</x:v>
      </x:c>
    </x:row>
    <x:row r="20">
      <x:c r="A20" s="30" t="n">
        <x:v>350200</x:v>
      </x:c>
      <x:c r="B20" s="22" t="str">
        <x:v>厦门市</x:v>
      </x:c>
      <x:c r="C20" s="31" t="n">
        <x:v>350203</x:v>
      </x:c>
      <x:c r="D20" s="22" t="str">
        <x:v>思明区</x:v>
      </x:c>
      <x:c r="E20" s="22" t="str">
        <x:v>建设用地</x:v>
      </x:c>
      <x:c r="F20" s="22" t="str">
        <x:v>交通运输用地</x:v>
      </x:c>
      <x:c r="G20" s="32" t="str">
        <x:v>1004</x:v>
      </x:c>
      <x:c r="H20" s="32" t="str">
        <x:v>1004</x:v>
      </x:c>
      <x:c r="I20" s="22" t="str">
        <x:v>城镇村道路用地</x:v>
      </x:c>
      <x:c r="J20" s="22" t="str">
        <x:v>交通门户</x:v>
      </x:c>
      <x:c r="K20" s="32" t="str">
        <x:v>201</x:v>
      </x:c>
      <x:c r="L20" s="22" t="str">
        <x:v>城市范围</x:v>
      </x:c>
      <x:c r="M20" s="33" t="n">
        <x:v>7695010.410000002</x:v>
      </x:c>
      <x:c r="N20" s="33" t="n">
        <x:v>769.5010410000002</x:v>
      </x:c>
      <x:c r="O20" s="22" t="str">
        <x:v>公顷</x:v>
      </x:c>
      <x:c r="P20" s="22" t="str">
        <x:v>未提供（单期横截面）</x:v>
      </x:c>
      <x:c r="Q20" s="23" t="n">
        <x:v>1328</x:v>
      </x:c>
    </x:row>
    <x:row r="21">
      <x:c r="A21" s="30" t="n">
        <x:v>350200</x:v>
      </x:c>
      <x:c r="B21" s="22" t="str">
        <x:v>厦门市</x:v>
      </x:c>
      <x:c r="C21" s="31" t="n">
        <x:v>350203</x:v>
      </x:c>
      <x:c r="D21" s="22" t="str">
        <x:v>思明区</x:v>
      </x:c>
      <x:c r="E21" s="22" t="str">
        <x:v>建设用地</x:v>
      </x:c>
      <x:c r="F21" s="22" t="str">
        <x:v>交通运输用地</x:v>
      </x:c>
      <x:c r="G21" s="32" t="str">
        <x:v>1005</x:v>
      </x:c>
      <x:c r="H21" s="32" t="str">
        <x:v>1005</x:v>
      </x:c>
      <x:c r="I21" s="22" t="str">
        <x:v>交通服务场站用地</x:v>
      </x:c>
      <x:c r="J21" s="22" t="str">
        <x:v>交通门户</x:v>
      </x:c>
      <x:c r="K21" s="32" t="str">
        <x:v>201</x:v>
      </x:c>
      <x:c r="L21" s="22" t="str">
        <x:v>城市范围</x:v>
      </x:c>
      <x:c r="M21" s="33" t="n">
        <x:v>1049693.9000000001</x:v>
      </x:c>
      <x:c r="N21" s="33" t="n">
        <x:v>104.96939000000002</x:v>
      </x:c>
      <x:c r="O21" s="22" t="str">
        <x:v>公顷</x:v>
      </x:c>
      <x:c r="P21" s="22" t="str">
        <x:v>未提供（单期横截面）</x:v>
      </x:c>
      <x:c r="Q21" s="23" t="n">
        <x:v>1329</x:v>
      </x:c>
    </x:row>
    <x:row r="22">
      <x:c r="A22" s="30" t="n">
        <x:v>350200</x:v>
      </x:c>
      <x:c r="B22" s="22" t="str">
        <x:v>厦门市</x:v>
      </x:c>
      <x:c r="C22" s="31" t="n">
        <x:v>350203</x:v>
      </x:c>
      <x:c r="D22" s="22" t="str">
        <x:v>思明区</x:v>
      </x:c>
      <x:c r="E22" s="22" t="str">
        <x:v>建设用地</x:v>
      </x:c>
      <x:c r="F22" s="22" t="str">
        <x:v>交通运输用地</x:v>
      </x:c>
      <x:c r="G22" s="32" t="str">
        <x:v>1008</x:v>
      </x:c>
      <x:c r="H22" s="32" t="str">
        <x:v>1008</x:v>
      </x:c>
      <x:c r="I22" s="22" t="str">
        <x:v>港口码头用地</x:v>
      </x:c>
      <x:c r="J22" s="22" t="str">
        <x:v>交通门户</x:v>
      </x:c>
      <x:c r="K22" s="32" t="str">
        <x:v>201</x:v>
      </x:c>
      <x:c r="L22" s="22" t="str">
        <x:v>城市范围</x:v>
      </x:c>
      <x:c r="M22" s="33" t="n">
        <x:v>119654.70000000001</x:v>
      </x:c>
      <x:c r="N22" s="33" t="n">
        <x:v>11.965470000000002</x:v>
      </x:c>
      <x:c r="O22" s="22" t="str">
        <x:v>公顷</x:v>
      </x:c>
      <x:c r="P22" s="22" t="str">
        <x:v>未提供（单期横截面）</x:v>
      </x:c>
      <x:c r="Q22" s="23" t="n">
        <x:v>1330</x:v>
      </x:c>
    </x:row>
    <x:row r="23">
      <x:c r="A23" s="30" t="n">
        <x:v>350200</x:v>
      </x:c>
      <x:c r="B23" s="22" t="str">
        <x:v>厦门市</x:v>
      </x:c>
      <x:c r="C23" s="31" t="n">
        <x:v>350203</x:v>
      </x:c>
      <x:c r="D23" s="22" t="str">
        <x:v>思明区</x:v>
      </x:c>
      <x:c r="E23" s="22" t="str">
        <x:v>建设用地</x:v>
      </x:c>
      <x:c r="F23" s="22" t="str">
        <x:v>水域及水利设施</x:v>
      </x:c>
      <x:c r="G23" s="32" t="str">
        <x:v>1109</x:v>
      </x:c>
      <x:c r="H23" s="32" t="str">
        <x:v>1109</x:v>
      </x:c>
      <x:c r="I23" s="22" t="str">
        <x:v>水工建筑用地</x:v>
      </x:c>
      <x:c r="J23" s="22" t="str">
        <x:v>其他建设</x:v>
      </x:c>
      <x:c r="K23" s="32" t="str">
        <x:v>201</x:v>
      </x:c>
      <x:c r="L23" s="22" t="str">
        <x:v>城市范围</x:v>
      </x:c>
      <x:c r="M23" s="33" t="n">
        <x:v>73262.09</x:v>
      </x:c>
      <x:c r="N23" s="33" t="n">
        <x:v>7.3262089999999995</x:v>
      </x:c>
      <x:c r="O23" s="22" t="str">
        <x:v>公顷</x:v>
      </x:c>
      <x:c r="P23" s="22" t="str">
        <x:v>未提供（单期横截面）</x:v>
      </x:c>
      <x:c r="Q23" s="23" t="n">
        <x:v>1331</x:v>
      </x:c>
    </x:row>
    <x:row r="24">
      <x:c r="A24" s="30" t="n">
        <x:v>350200</x:v>
      </x:c>
      <x:c r="B24" s="22" t="str">
        <x:v>厦门市</x:v>
      </x:c>
      <x:c r="C24" s="31" t="n">
        <x:v>350203</x:v>
      </x:c>
      <x:c r="D24" s="22" t="str">
        <x:v>思明区</x:v>
      </x:c>
      <x:c r="E24" s="22" t="str">
        <x:v>建设用地</x:v>
      </x:c>
      <x:c r="F24" s="22" t="str">
        <x:v>其他建设用地</x:v>
      </x:c>
      <x:c r="G24" s="32" t="str">
        <x:v>1201</x:v>
      </x:c>
      <x:c r="H24" s="32" t="str">
        <x:v>1201</x:v>
      </x:c>
      <x:c r="I24" s="22" t="str">
        <x:v>空闲地</x:v>
      </x:c>
      <x:c r="J24" s="22" t="str">
        <x:v>其他建设</x:v>
      </x:c>
      <x:c r="K24" s="32" t="str">
        <x:v>201</x:v>
      </x:c>
      <x:c r="L24" s="22" t="str">
        <x:v>城市范围</x:v>
      </x:c>
      <x:c r="M24" s="33" t="n">
        <x:v>151068.67</x:v>
      </x:c>
      <x:c r="N24" s="33" t="n">
        <x:v>15.106867000000001</x:v>
      </x:c>
      <x:c r="O24" s="22" t="str">
        <x:v>公顷</x:v>
      </x:c>
      <x:c r="P24" s="22" t="str">
        <x:v>未提供（单期横截面）</x:v>
      </x:c>
      <x:c r="Q24" s="23" t="n">
        <x:v>1332</x:v>
      </x:c>
    </x:row>
    <x:row r="25">
      <x:c r="A25" s="30" t="n">
        <x:v>350200</x:v>
      </x:c>
      <x:c r="B25" s="22" t="str">
        <x:v>厦门市</x:v>
      </x:c>
      <x:c r="C25" s="31" t="n">
        <x:v>350203</x:v>
      </x:c>
      <x:c r="D25" s="22" t="str">
        <x:v>思明区</x:v>
      </x:c>
      <x:c r="E25" s="22" t="str">
        <x:v>建设用地</x:v>
      </x:c>
      <x:c r="F25" s="22" t="str">
        <x:v>公共管理与公共服务用地</x:v>
      </x:c>
      <x:c r="G25" s="32" t="str">
        <x:v>08H1</x:v>
      </x:c>
      <x:c r="H25" s="32" t="str">
        <x:v>08H1</x:v>
      </x:c>
      <x:c r="I25" s="22" t="str">
        <x:v>机关团体新闻出版用地</x:v>
      </x:c>
      <x:c r="J25" s="22" t="str">
        <x:v>公共服务</x:v>
      </x:c>
      <x:c r="K25" s="32" t="str">
        <x:v>203</x:v>
      </x:c>
      <x:c r="L25" s="22" t="str">
        <x:v>村庄范围</x:v>
      </x:c>
      <x:c r="M25" s="33" t="n">
        <x:v>356.35</x:v>
      </x:c>
      <x:c r="N25" s="33" t="n">
        <x:v>0.035635</x:v>
      </x:c>
      <x:c r="O25" s="22" t="str">
        <x:v>公顷</x:v>
      </x:c>
      <x:c r="P25" s="22" t="str">
        <x:v>未提供（单期横截面）</x:v>
      </x:c>
      <x:c r="Q25" s="23" t="n">
        <x:v>1333</x:v>
      </x:c>
    </x:row>
    <x:row r="26">
      <x:c r="A26" s="30" t="n">
        <x:v>350200</x:v>
      </x:c>
      <x:c r="B26" s="22" t="str">
        <x:v>厦门市</x:v>
      </x:c>
      <x:c r="C26" s="31" t="n">
        <x:v>350203</x:v>
      </x:c>
      <x:c r="D26" s="22" t="str">
        <x:v>思明区</x:v>
      </x:c>
      <x:c r="E26" s="22" t="str">
        <x:v>建设用地</x:v>
      </x:c>
      <x:c r="F26" s="22" t="str">
        <x:v>公共管理与公共服务用地</x:v>
      </x:c>
      <x:c r="G26" s="32" t="str">
        <x:v>08H1</x:v>
      </x:c>
      <x:c r="H26" s="32" t="str">
        <x:v>08H1</x:v>
      </x:c>
      <x:c r="I26" s="22" t="str">
        <x:v>机关团体新闻出版用地</x:v>
      </x:c>
      <x:c r="J26" s="22" t="str">
        <x:v>公共服务</x:v>
      </x:c>
      <x:c r="K26" s="32" t="str">
        <x:v>205</x:v>
      </x:c>
      <x:c r="L26" s="22" t="str">
        <x:v>特殊用地</x:v>
      </x:c>
      <x:c r="M26" s="33" t="n">
        <x:v>8185.46</x:v>
      </x:c>
      <x:c r="N26" s="33" t="n">
        <x:v>0.818546</x:v>
      </x:c>
      <x:c r="O26" s="22" t="str">
        <x:v>公顷</x:v>
      </x:c>
      <x:c r="P26" s="22" t="str">
        <x:v>未提供（单期横截面）</x:v>
      </x:c>
      <x:c r="Q26" s="23" t="n">
        <x:v>1334</x:v>
      </x:c>
    </x:row>
    <x:row r="27">
      <x:c r="A27" s="30" t="n">
        <x:v>350200</x:v>
      </x:c>
      <x:c r="B27" s="22" t="str">
        <x:v>厦门市</x:v>
      </x:c>
      <x:c r="C27" s="31" t="n">
        <x:v>350203</x:v>
      </x:c>
      <x:c r="D27" s="22" t="str">
        <x:v>思明区</x:v>
      </x:c>
      <x:c r="E27" s="22" t="str">
        <x:v>建设用地</x:v>
      </x:c>
      <x:c r="F27" s="22" t="str">
        <x:v>特殊用地</x:v>
      </x:c>
      <x:c r="G27" s="32" t="str">
        <x:v>9</x:v>
      </x:c>
      <x:c r="H27" s="32" t="str">
        <x:v>9</x:v>
      </x:c>
      <x:c r="I27" s="22" t="str">
        <x:v>特殊用地</x:v>
      </x:c>
      <x:c r="J27" s="22" t="str">
        <x:v>其他建设</x:v>
      </x:c>
      <x:c r="K27" s="32" t="str">
        <x:v>205</x:v>
      </x:c>
      <x:c r="L27" s="22" t="str">
        <x:v>特殊用地</x:v>
      </x:c>
      <x:c r="M27" s="33" t="n">
        <x:v>545631.2700000001</x:v>
      </x:c>
      <x:c r="N27" s="33" t="n">
        <x:v>54.563127000000016</x:v>
      </x:c>
      <x:c r="O27" s="22" t="str">
        <x:v>公顷</x:v>
      </x:c>
      <x:c r="P27" s="22" t="str">
        <x:v>未提供（单期横截面）</x:v>
      </x:c>
      <x:c r="Q27" s="23" t="n">
        <x:v>1335</x:v>
      </x:c>
    </x:row>
    <x:row r="28">
      <x:c r="A28" s="30" t="n">
        <x:v>350200</x:v>
      </x:c>
      <x:c r="B28" s="22" t="str">
        <x:v>厦门市</x:v>
      </x:c>
      <x:c r="C28" s="31" t="n">
        <x:v>350203</x:v>
      </x:c>
      <x:c r="D28" s="22" t="str">
        <x:v>思明区</x:v>
      </x:c>
      <x:c r="E28" s="22" t="str">
        <x:v>农用地</x:v>
      </x:c>
      <x:c r="F28" s="22" t="str">
        <x:v>耕地</x:v>
      </x:c>
      <x:c r="G28" s="32" t="str">
        <x:v>101</x:v>
      </x:c>
      <x:c r="H28" s="32" t="str">
        <x:v>101</x:v>
      </x:c>
      <x:c r="I28" s="22" t="str">
        <x:v>水田</x:v>
      </x:c>
      <x:c r="J28" s="22" t="str">
        <x:v>农业生态</x:v>
      </x:c>
      <x:c r="K28" s="32" t="str"/>
      <x:c r="L28" s="22" t="str">
        <x:v>不适用/未标注</x:v>
      </x:c>
      <x:c r="M28" s="33" t="n">
        <x:v>20580.9</x:v>
      </x:c>
      <x:c r="N28" s="33" t="n">
        <x:v>2.05809</x:v>
      </x:c>
      <x:c r="O28" s="22" t="str">
        <x:v>公顷</x:v>
      </x:c>
      <x:c r="P28" s="22" t="str">
        <x:v>未提供（单期横截面）</x:v>
      </x:c>
      <x:c r="Q28" s="23" t="n">
        <x:v>1336</x:v>
      </x:c>
    </x:row>
    <x:row r="29">
      <x:c r="A29" s="30" t="n">
        <x:v>350200</x:v>
      </x:c>
      <x:c r="B29" s="22" t="str">
        <x:v>厦门市</x:v>
      </x:c>
      <x:c r="C29" s="31" t="n">
        <x:v>350203</x:v>
      </x:c>
      <x:c r="D29" s="22" t="str">
        <x:v>思明区</x:v>
      </x:c>
      <x:c r="E29" s="22" t="str">
        <x:v>农用地</x:v>
      </x:c>
      <x:c r="F29" s="22" t="str">
        <x:v>耕地</x:v>
      </x:c>
      <x:c r="G29" s="32" t="str">
        <x:v>102</x:v>
      </x:c>
      <x:c r="H29" s="32" t="str">
        <x:v>102</x:v>
      </x:c>
      <x:c r="I29" s="22" t="str">
        <x:v>水浇地</x:v>
      </x:c>
      <x:c r="J29" s="22" t="str">
        <x:v>农业生态</x:v>
      </x:c>
      <x:c r="K29" s="32" t="str"/>
      <x:c r="L29" s="22" t="str">
        <x:v>不适用/未标注</x:v>
      </x:c>
      <x:c r="M29" s="33" t="n">
        <x:v>112456.99999999999</x:v>
      </x:c>
      <x:c r="N29" s="33" t="n">
        <x:v>11.2457</x:v>
      </x:c>
      <x:c r="O29" s="22" t="str">
        <x:v>公顷</x:v>
      </x:c>
      <x:c r="P29" s="22" t="str">
        <x:v>未提供（单期横截面）</x:v>
      </x:c>
      <x:c r="Q29" s="23" t="n">
        <x:v>1337</x:v>
      </x:c>
    </x:row>
    <x:row r="30">
      <x:c r="A30" s="30" t="n">
        <x:v>350200</x:v>
      </x:c>
      <x:c r="B30" s="22" t="str">
        <x:v>厦门市</x:v>
      </x:c>
      <x:c r="C30" s="31" t="n">
        <x:v>350203</x:v>
      </x:c>
      <x:c r="D30" s="22" t="str">
        <x:v>思明区</x:v>
      </x:c>
      <x:c r="E30" s="22" t="str">
        <x:v>农用地</x:v>
      </x:c>
      <x:c r="F30" s="22" t="str">
        <x:v>耕地</x:v>
      </x:c>
      <x:c r="G30" s="32" t="str">
        <x:v>103</x:v>
      </x:c>
      <x:c r="H30" s="32" t="str">
        <x:v>103</x:v>
      </x:c>
      <x:c r="I30" s="22" t="str">
        <x:v>旱地</x:v>
      </x:c>
      <x:c r="J30" s="22" t="str">
        <x:v>农业生态</x:v>
      </x:c>
      <x:c r="K30" s="32" t="str"/>
      <x:c r="L30" s="22" t="str">
        <x:v>不适用/未标注</x:v>
      </x:c>
      <x:c r="M30" s="33" t="n">
        <x:v>34809.60999999999</x:v>
      </x:c>
      <x:c r="N30" s="33" t="n">
        <x:v>3.4809609999999993</x:v>
      </x:c>
      <x:c r="O30" s="22" t="str">
        <x:v>公顷</x:v>
      </x:c>
      <x:c r="P30" s="22" t="str">
        <x:v>未提供（单期横截面）</x:v>
      </x:c>
      <x:c r="Q30" s="23" t="n">
        <x:v>1338</x:v>
      </x:c>
    </x:row>
    <x:row r="31">
      <x:c r="A31" s="30" t="n">
        <x:v>350200</x:v>
      </x:c>
      <x:c r="B31" s="22" t="str">
        <x:v>厦门市</x:v>
      </x:c>
      <x:c r="C31" s="31" t="n">
        <x:v>350203</x:v>
      </x:c>
      <x:c r="D31" s="22" t="str">
        <x:v>思明区</x:v>
      </x:c>
      <x:c r="E31" s="22" t="str">
        <x:v>农用地</x:v>
      </x:c>
      <x:c r="F31" s="22" t="str">
        <x:v>园地</x:v>
      </x:c>
      <x:c r="G31" s="32" t="str">
        <x:v>201</x:v>
      </x:c>
      <x:c r="H31" s="32" t="str">
        <x:v>201</x:v>
      </x:c>
      <x:c r="I31" s="22" t="str">
        <x:v>果园</x:v>
      </x:c>
      <x:c r="J31" s="22" t="str">
        <x:v>农业生态</x:v>
      </x:c>
      <x:c r="K31" s="32" t="str"/>
      <x:c r="L31" s="22" t="str">
        <x:v>不适用/未标注</x:v>
      </x:c>
      <x:c r="M31" s="33" t="n">
        <x:v>1077911.0499999993</x:v>
      </x:c>
      <x:c r="N31" s="33" t="n">
        <x:v>107.79110499999993</x:v>
      </x:c>
      <x:c r="O31" s="22" t="str">
        <x:v>公顷</x:v>
      </x:c>
      <x:c r="P31" s="22" t="str">
        <x:v>未提供（单期横截面）</x:v>
      </x:c>
      <x:c r="Q31" s="23" t="n">
        <x:v>1339</x:v>
      </x:c>
    </x:row>
    <x:row r="32">
      <x:c r="A32" s="30" t="n">
        <x:v>350200</x:v>
      </x:c>
      <x:c r="B32" s="22" t="str">
        <x:v>厦门市</x:v>
      </x:c>
      <x:c r="C32" s="31" t="n">
        <x:v>350203</x:v>
      </x:c>
      <x:c r="D32" s="22" t="str">
        <x:v>思明区</x:v>
      </x:c>
      <x:c r="E32" s="22" t="str">
        <x:v>农用地</x:v>
      </x:c>
      <x:c r="F32" s="22" t="str">
        <x:v>园地</x:v>
      </x:c>
      <x:c r="G32" s="32" t="str">
        <x:v>204</x:v>
      </x:c>
      <x:c r="H32" s="32" t="str">
        <x:v>204</x:v>
      </x:c>
      <x:c r="I32" s="22" t="str">
        <x:v>其他园地</x:v>
      </x:c>
      <x:c r="J32" s="22" t="str">
        <x:v>农业生态</x:v>
      </x:c>
      <x:c r="K32" s="32" t="str"/>
      <x:c r="L32" s="22" t="str">
        <x:v>不适用/未标注</x:v>
      </x:c>
      <x:c r="M32" s="33" t="n">
        <x:v>147573.27</x:v>
      </x:c>
      <x:c r="N32" s="33" t="n">
        <x:v>14.757326999999998</x:v>
      </x:c>
      <x:c r="O32" s="22" t="str">
        <x:v>公顷</x:v>
      </x:c>
      <x:c r="P32" s="22" t="str">
        <x:v>未提供（单期横截面）</x:v>
      </x:c>
      <x:c r="Q32" s="23" t="n">
        <x:v>1340</x:v>
      </x:c>
    </x:row>
    <x:row r="33">
      <x:c r="A33" s="30" t="n">
        <x:v>350200</x:v>
      </x:c>
      <x:c r="B33" s="22" t="str">
        <x:v>厦门市</x:v>
      </x:c>
      <x:c r="C33" s="31" t="n">
        <x:v>350203</x:v>
      </x:c>
      <x:c r="D33" s="22" t="str">
        <x:v>思明区</x:v>
      </x:c>
      <x:c r="E33" s="22" t="str">
        <x:v>农用地</x:v>
      </x:c>
      <x:c r="F33" s="22" t="str">
        <x:v>林地</x:v>
      </x:c>
      <x:c r="G33" s="32" t="str">
        <x:v>301</x:v>
      </x:c>
      <x:c r="H33" s="32" t="str">
        <x:v>301</x:v>
      </x:c>
      <x:c r="I33" s="22" t="str">
        <x:v>乔木林地</x:v>
      </x:c>
      <x:c r="J33" s="22" t="str">
        <x:v>农业生态</x:v>
      </x:c>
      <x:c r="K33" s="32" t="str"/>
      <x:c r="L33" s="22" t="str">
        <x:v>不适用/未标注</x:v>
      </x:c>
      <x:c r="M33" s="33" t="n">
        <x:v>19294527.569999997</x:v>
      </x:c>
      <x:c r="N33" s="33" t="n">
        <x:v>1929.4527569999996</x:v>
      </x:c>
      <x:c r="O33" s="22" t="str">
        <x:v>公顷</x:v>
      </x:c>
      <x:c r="P33" s="22" t="str">
        <x:v>未提供（单期横截面）</x:v>
      </x:c>
      <x:c r="Q33" s="23" t="n">
        <x:v>1341</x:v>
      </x:c>
    </x:row>
    <x:row r="34">
      <x:c r="A34" s="30" t="n">
        <x:v>350200</x:v>
      </x:c>
      <x:c r="B34" s="22" t="str">
        <x:v>厦门市</x:v>
      </x:c>
      <x:c r="C34" s="31" t="n">
        <x:v>350203</x:v>
      </x:c>
      <x:c r="D34" s="22" t="str">
        <x:v>思明区</x:v>
      </x:c>
      <x:c r="E34" s="22" t="str">
        <x:v>农用地</x:v>
      </x:c>
      <x:c r="F34" s="22" t="str">
        <x:v>林地</x:v>
      </x:c>
      <x:c r="G34" s="32" t="str">
        <x:v>302</x:v>
      </x:c>
      <x:c r="H34" s="32" t="str">
        <x:v>302</x:v>
      </x:c>
      <x:c r="I34" s="22" t="str">
        <x:v>竹林地</x:v>
      </x:c>
      <x:c r="J34" s="22" t="str">
        <x:v>农业生态</x:v>
      </x:c>
      <x:c r="K34" s="32" t="str"/>
      <x:c r="L34" s="22" t="str">
        <x:v>不适用/未标注</x:v>
      </x:c>
      <x:c r="M34" s="33" t="n">
        <x:v>4467.87</x:v>
      </x:c>
      <x:c r="N34" s="33" t="n">
        <x:v>0.446787</x:v>
      </x:c>
      <x:c r="O34" s="22" t="str">
        <x:v>公顷</x:v>
      </x:c>
      <x:c r="P34" s="22" t="str">
        <x:v>未提供（单期横截面）</x:v>
      </x:c>
      <x:c r="Q34" s="23" t="n">
        <x:v>1342</x:v>
      </x:c>
    </x:row>
    <x:row r="35">
      <x:c r="A35" s="30" t="n">
        <x:v>350200</x:v>
      </x:c>
      <x:c r="B35" s="22" t="str">
        <x:v>厦门市</x:v>
      </x:c>
      <x:c r="C35" s="31" t="n">
        <x:v>350203</x:v>
      </x:c>
      <x:c r="D35" s="22" t="str">
        <x:v>思明区</x:v>
      </x:c>
      <x:c r="E35" s="22" t="str">
        <x:v>农用地</x:v>
      </x:c>
      <x:c r="F35" s="22" t="str">
        <x:v>林地</x:v>
      </x:c>
      <x:c r="G35" s="32" t="str">
        <x:v>305</x:v>
      </x:c>
      <x:c r="H35" s="32" t="str">
        <x:v>305</x:v>
      </x:c>
      <x:c r="I35" s="22" t="str">
        <x:v>灌木林地</x:v>
      </x:c>
      <x:c r="J35" s="22" t="str">
        <x:v>农业生态</x:v>
      </x:c>
      <x:c r="K35" s="32" t="str"/>
      <x:c r="L35" s="22" t="str">
        <x:v>不适用/未标注</x:v>
      </x:c>
      <x:c r="M35" s="33" t="n">
        <x:v>40585.95</x:v>
      </x:c>
      <x:c r="N35" s="33" t="n">
        <x:v>4.0585949999999995</x:v>
      </x:c>
      <x:c r="O35" s="22" t="str">
        <x:v>公顷</x:v>
      </x:c>
      <x:c r="P35" s="22" t="str">
        <x:v>未提供（单期横截面）</x:v>
      </x:c>
      <x:c r="Q35" s="23" t="n">
        <x:v>1343</x:v>
      </x:c>
    </x:row>
    <x:row r="36">
      <x:c r="A36" s="30" t="n">
        <x:v>350200</x:v>
      </x:c>
      <x:c r="B36" s="22" t="str">
        <x:v>厦门市</x:v>
      </x:c>
      <x:c r="C36" s="31" t="n">
        <x:v>350203</x:v>
      </x:c>
      <x:c r="D36" s="22" t="str">
        <x:v>思明区</x:v>
      </x:c>
      <x:c r="E36" s="22" t="str">
        <x:v>农用地</x:v>
      </x:c>
      <x:c r="F36" s="22" t="str">
        <x:v>林地</x:v>
      </x:c>
      <x:c r="G36" s="32" t="str">
        <x:v>307</x:v>
      </x:c>
      <x:c r="H36" s="32" t="str">
        <x:v>307</x:v>
      </x:c>
      <x:c r="I36" s="22" t="str">
        <x:v>其他林地</x:v>
      </x:c>
      <x:c r="J36" s="22" t="str">
        <x:v>农业生态</x:v>
      </x:c>
      <x:c r="K36" s="32" t="str"/>
      <x:c r="L36" s="22" t="str">
        <x:v>不适用/未标注</x:v>
      </x:c>
      <x:c r="M36" s="33" t="n">
        <x:v>477079.7900000001</x:v>
      </x:c>
      <x:c r="N36" s="33" t="n">
        <x:v>47.70797900000001</x:v>
      </x:c>
      <x:c r="O36" s="22" t="str">
        <x:v>公顷</x:v>
      </x:c>
      <x:c r="P36" s="22" t="str">
        <x:v>未提供（单期横截面）</x:v>
      </x:c>
      <x:c r="Q36" s="23" t="n">
        <x:v>1344</x:v>
      </x:c>
    </x:row>
    <x:row r="37">
      <x:c r="A37" s="30" t="n">
        <x:v>350200</x:v>
      </x:c>
      <x:c r="B37" s="22" t="str">
        <x:v>厦门市</x:v>
      </x:c>
      <x:c r="C37" s="31" t="n">
        <x:v>350203</x:v>
      </x:c>
      <x:c r="D37" s="22" t="str">
        <x:v>思明区</x:v>
      </x:c>
      <x:c r="E37" s="22" t="str">
        <x:v>农用地</x:v>
      </x:c>
      <x:c r="F37" s="22" t="str">
        <x:v>其他农用地</x:v>
      </x:c>
      <x:c r="G37" s="32" t="str">
        <x:v>1006</x:v>
      </x:c>
      <x:c r="H37" s="32" t="str">
        <x:v>1006</x:v>
      </x:c>
      <x:c r="I37" s="22" t="str">
        <x:v>农村道路</x:v>
      </x:c>
      <x:c r="J37" s="22" t="str">
        <x:v>农业生态</x:v>
      </x:c>
      <x:c r="K37" s="32" t="str"/>
      <x:c r="L37" s="22" t="str">
        <x:v>不适用/未标注</x:v>
      </x:c>
      <x:c r="M37" s="33" t="n">
        <x:v>320064.0699999999</x:v>
      </x:c>
      <x:c r="N37" s="33" t="n">
        <x:v>32.00640699999999</x:v>
      </x:c>
      <x:c r="O37" s="22" t="str">
        <x:v>公顷</x:v>
      </x:c>
      <x:c r="P37" s="22" t="str">
        <x:v>未提供（单期横截面）</x:v>
      </x:c>
      <x:c r="Q37" s="23" t="n">
        <x:v>1345</x:v>
      </x:c>
    </x:row>
    <x:row r="38">
      <x:c r="A38" s="30" t="n">
        <x:v>350200</x:v>
      </x:c>
      <x:c r="B38" s="22" t="str">
        <x:v>厦门市</x:v>
      </x:c>
      <x:c r="C38" s="31" t="n">
        <x:v>350203</x:v>
      </x:c>
      <x:c r="D38" s="22" t="str">
        <x:v>思明区</x:v>
      </x:c>
      <x:c r="E38" s="22" t="str">
        <x:v>农用地</x:v>
      </x:c>
      <x:c r="F38" s="22" t="str">
        <x:v>水域及水利设施</x:v>
      </x:c>
      <x:c r="G38" s="32" t="str">
        <x:v>1103</x:v>
      </x:c>
      <x:c r="H38" s="32" t="str">
        <x:v>1103</x:v>
      </x:c>
      <x:c r="I38" s="22" t="str">
        <x:v>水库水面</x:v>
      </x:c>
      <x:c r="J38" s="22" t="str">
        <x:v>农业生态</x:v>
      </x:c>
      <x:c r="K38" s="32" t="str"/>
      <x:c r="L38" s="22" t="str">
        <x:v>不适用/未标注</x:v>
      </x:c>
      <x:c r="M38" s="33" t="n">
        <x:v>189420.75999999998</x:v>
      </x:c>
      <x:c r="N38" s="33" t="n">
        <x:v>18.942075999999997</x:v>
      </x:c>
      <x:c r="O38" s="22" t="str">
        <x:v>公顷</x:v>
      </x:c>
      <x:c r="P38" s="22" t="str">
        <x:v>未提供（单期横截面）</x:v>
      </x:c>
      <x:c r="Q38" s="23" t="n">
        <x:v>1346</x:v>
      </x:c>
    </x:row>
    <x:row r="39">
      <x:c r="A39" s="30" t="n">
        <x:v>350200</x:v>
      </x:c>
      <x:c r="B39" s="22" t="str">
        <x:v>厦门市</x:v>
      </x:c>
      <x:c r="C39" s="31" t="n">
        <x:v>350203</x:v>
      </x:c>
      <x:c r="D39" s="22" t="str">
        <x:v>思明区</x:v>
      </x:c>
      <x:c r="E39" s="22" t="str">
        <x:v>农用地</x:v>
      </x:c>
      <x:c r="F39" s="22" t="str">
        <x:v>水域及水利设施</x:v>
      </x:c>
      <x:c r="G39" s="32" t="str">
        <x:v>1104</x:v>
      </x:c>
      <x:c r="H39" s="32" t="str">
        <x:v>1104</x:v>
      </x:c>
      <x:c r="I39" s="22" t="str">
        <x:v>坑塘水面</x:v>
      </x:c>
      <x:c r="J39" s="22" t="str">
        <x:v>农业生态</x:v>
      </x:c>
      <x:c r="K39" s="32" t="str"/>
      <x:c r="L39" s="22" t="str">
        <x:v>不适用/未标注</x:v>
      </x:c>
      <x:c r="M39" s="33" t="n">
        <x:v>136814.14000000004</x:v>
      </x:c>
      <x:c r="N39" s="33" t="n">
        <x:v>13.681414000000004</x:v>
      </x:c>
      <x:c r="O39" s="22" t="str">
        <x:v>公顷</x:v>
      </x:c>
      <x:c r="P39" s="22" t="str">
        <x:v>未提供（单期横截面）</x:v>
      </x:c>
      <x:c r="Q39" s="23" t="n">
        <x:v>1347</x:v>
      </x:c>
    </x:row>
    <x:row r="40">
      <x:c r="A40" s="30" t="n">
        <x:v>350200</x:v>
      </x:c>
      <x:c r="B40" s="22" t="str">
        <x:v>厦门市</x:v>
      </x:c>
      <x:c r="C40" s="31" t="n">
        <x:v>350203</x:v>
      </x:c>
      <x:c r="D40" s="22" t="str">
        <x:v>思明区</x:v>
      </x:c>
      <x:c r="E40" s="22" t="str">
        <x:v>农用地</x:v>
      </x:c>
      <x:c r="F40" s="22" t="str">
        <x:v>水域及水利设施</x:v>
      </x:c>
      <x:c r="G40" s="32" t="str">
        <x:v>1107</x:v>
      </x:c>
      <x:c r="H40" s="32" t="str">
        <x:v>1107</x:v>
      </x:c>
      <x:c r="I40" s="22" t="str">
        <x:v>沟渠</x:v>
      </x:c>
      <x:c r="J40" s="22" t="str">
        <x:v>农业生态</x:v>
      </x:c>
      <x:c r="K40" s="32" t="str"/>
      <x:c r="L40" s="22" t="str">
        <x:v>不适用/未标注</x:v>
      </x:c>
      <x:c r="M40" s="33" t="n">
        <x:v>6514.88</x:v>
      </x:c>
      <x:c r="N40" s="33" t="n">
        <x:v>0.651488</x:v>
      </x:c>
      <x:c r="O40" s="22" t="str">
        <x:v>公顷</x:v>
      </x:c>
      <x:c r="P40" s="22" t="str">
        <x:v>未提供（单期横截面）</x:v>
      </x:c>
      <x:c r="Q40" s="23" t="n">
        <x:v>1348</x:v>
      </x:c>
    </x:row>
    <x:row r="41">
      <x:c r="A41" s="30" t="n">
        <x:v>350200</x:v>
      </x:c>
      <x:c r="B41" s="22" t="str">
        <x:v>厦门市</x:v>
      </x:c>
      <x:c r="C41" s="31" t="n">
        <x:v>350203</x:v>
      </x:c>
      <x:c r="D41" s="22" t="str">
        <x:v>思明区</x:v>
      </x:c>
      <x:c r="E41" s="22" t="str">
        <x:v>农用地</x:v>
      </x:c>
      <x:c r="F41" s="22" t="str">
        <x:v>其他农用地</x:v>
      </x:c>
      <x:c r="G41" s="32" t="str">
        <x:v>1202</x:v>
      </x:c>
      <x:c r="H41" s="32" t="str">
        <x:v>1202</x:v>
      </x:c>
      <x:c r="I41" s="22" t="str">
        <x:v>设施农用地</x:v>
      </x:c>
      <x:c r="J41" s="22" t="str">
        <x:v>农业生态</x:v>
      </x:c>
      <x:c r="K41" s="32" t="str"/>
      <x:c r="L41" s="22" t="str">
        <x:v>不适用/未标注</x:v>
      </x:c>
      <x:c r="M41" s="33" t="n">
        <x:v>14764.1</x:v>
      </x:c>
      <x:c r="N41" s="33" t="n">
        <x:v>1.47641</x:v>
      </x:c>
      <x:c r="O41" s="22" t="str">
        <x:v>公顷</x:v>
      </x:c>
      <x:c r="P41" s="22" t="str">
        <x:v>未提供（单期横截面）</x:v>
      </x:c>
      <x:c r="Q41" s="23" t="n">
        <x:v>1349</x:v>
      </x:c>
    </x:row>
    <x:row r="42">
      <x:c r="A42" s="30" t="n">
        <x:v>350200</x:v>
      </x:c>
      <x:c r="B42" s="22" t="str">
        <x:v>厦门市</x:v>
      </x:c>
      <x:c r="C42" s="31" t="n">
        <x:v>350203</x:v>
      </x:c>
      <x:c r="D42" s="22" t="str">
        <x:v>思明区</x:v>
      </x:c>
      <x:c r="E42" s="22" t="str">
        <x:v>农用地</x:v>
      </x:c>
      <x:c r="F42" s="22" t="str">
        <x:v>耕地</x:v>
      </x:c>
      <x:c r="G42" s="32" t="str">
        <x:v>101</x:v>
      </x:c>
      <x:c r="H42" s="32" t="str">
        <x:v>101</x:v>
      </x:c>
      <x:c r="I42" s="22" t="str">
        <x:v>水田</x:v>
      </x:c>
      <x:c r="J42" s="22" t="str">
        <x:v>农业生态</x:v>
      </x:c>
      <x:c r="K42" s="32" t="str">
        <x:v>201</x:v>
      </x:c>
      <x:c r="L42" s="22" t="str">
        <x:v>城市范围</x:v>
      </x:c>
      <x:c r="M42" s="33" t="n">
        <x:v>6872.08</x:v>
      </x:c>
      <x:c r="N42" s="33" t="n">
        <x:v>0.687208</x:v>
      </x:c>
      <x:c r="O42" s="22" t="str">
        <x:v>公顷</x:v>
      </x:c>
      <x:c r="P42" s="22" t="str">
        <x:v>未提供（单期横截面）</x:v>
      </x:c>
      <x:c r="Q42" s="23" t="n">
        <x:v>1350</x:v>
      </x:c>
    </x:row>
    <x:row r="43">
      <x:c r="A43" s="30" t="n">
        <x:v>350200</x:v>
      </x:c>
      <x:c r="B43" s="22" t="str">
        <x:v>厦门市</x:v>
      </x:c>
      <x:c r="C43" s="31" t="n">
        <x:v>350203</x:v>
      </x:c>
      <x:c r="D43" s="22" t="str">
        <x:v>思明区</x:v>
      </x:c>
      <x:c r="E43" s="22" t="str">
        <x:v>农用地</x:v>
      </x:c>
      <x:c r="F43" s="22" t="str">
        <x:v>耕地</x:v>
      </x:c>
      <x:c r="G43" s="32" t="str">
        <x:v>102</x:v>
      </x:c>
      <x:c r="H43" s="32" t="str">
        <x:v>102</x:v>
      </x:c>
      <x:c r="I43" s="22" t="str">
        <x:v>水浇地</x:v>
      </x:c>
      <x:c r="J43" s="22" t="str">
        <x:v>农业生态</x:v>
      </x:c>
      <x:c r="K43" s="32" t="str">
        <x:v>201</x:v>
      </x:c>
      <x:c r="L43" s="22" t="str">
        <x:v>城市范围</x:v>
      </x:c>
      <x:c r="M43" s="33" t="n">
        <x:v>38181.89</x:v>
      </x:c>
      <x:c r="N43" s="33" t="n">
        <x:v>3.818189</x:v>
      </x:c>
      <x:c r="O43" s="22" t="str">
        <x:v>公顷</x:v>
      </x:c>
      <x:c r="P43" s="22" t="str">
        <x:v>未提供（单期横截面）</x:v>
      </x:c>
      <x:c r="Q43" s="23" t="n">
        <x:v>1351</x:v>
      </x:c>
    </x:row>
    <x:row r="44">
      <x:c r="A44" s="30" t="n">
        <x:v>350200</x:v>
      </x:c>
      <x:c r="B44" s="22" t="str">
        <x:v>厦门市</x:v>
      </x:c>
      <x:c r="C44" s="31" t="n">
        <x:v>350203</x:v>
      </x:c>
      <x:c r="D44" s="22" t="str">
        <x:v>思明区</x:v>
      </x:c>
      <x:c r="E44" s="22" t="str">
        <x:v>农用地</x:v>
      </x:c>
      <x:c r="F44" s="22" t="str">
        <x:v>耕地</x:v>
      </x:c>
      <x:c r="G44" s="32" t="str">
        <x:v>103</x:v>
      </x:c>
      <x:c r="H44" s="32" t="str">
        <x:v>103</x:v>
      </x:c>
      <x:c r="I44" s="22" t="str">
        <x:v>旱地</x:v>
      </x:c>
      <x:c r="J44" s="22" t="str">
        <x:v>农业生态</x:v>
      </x:c>
      <x:c r="K44" s="32" t="str">
        <x:v>201</x:v>
      </x:c>
      <x:c r="L44" s="22" t="str">
        <x:v>城市范围</x:v>
      </x:c>
      <x:c r="M44" s="33" t="n">
        <x:v>70227.51</x:v>
      </x:c>
      <x:c r="N44" s="33" t="n">
        <x:v>7.0227509999999995</x:v>
      </x:c>
      <x:c r="O44" s="22" t="str">
        <x:v>公顷</x:v>
      </x:c>
      <x:c r="P44" s="22" t="str">
        <x:v>未提供（单期横截面）</x:v>
      </x:c>
      <x:c r="Q44" s="23" t="n">
        <x:v>1352</x:v>
      </x:c>
    </x:row>
    <x:row r="45">
      <x:c r="A45" s="30" t="n">
        <x:v>350200</x:v>
      </x:c>
      <x:c r="B45" s="22" t="str">
        <x:v>厦门市</x:v>
      </x:c>
      <x:c r="C45" s="31" t="n">
        <x:v>350203</x:v>
      </x:c>
      <x:c r="D45" s="22" t="str">
        <x:v>思明区</x:v>
      </x:c>
      <x:c r="E45" s="22" t="str">
        <x:v>农用地</x:v>
      </x:c>
      <x:c r="F45" s="22" t="str">
        <x:v>园地</x:v>
      </x:c>
      <x:c r="G45" s="32" t="str">
        <x:v>201</x:v>
      </x:c>
      <x:c r="H45" s="32" t="str">
        <x:v>201</x:v>
      </x:c>
      <x:c r="I45" s="22" t="str">
        <x:v>果园</x:v>
      </x:c>
      <x:c r="J45" s="22" t="str">
        <x:v>农业生态</x:v>
      </x:c>
      <x:c r="K45" s="32" t="str">
        <x:v>201</x:v>
      </x:c>
      <x:c r="L45" s="22" t="str">
        <x:v>城市范围</x:v>
      </x:c>
      <x:c r="M45" s="33" t="n">
        <x:v>72964.7</x:v>
      </x:c>
      <x:c r="N45" s="33" t="n">
        <x:v>7.296469999999999</x:v>
      </x:c>
      <x:c r="O45" s="22" t="str">
        <x:v>公顷</x:v>
      </x:c>
      <x:c r="P45" s="22" t="str">
        <x:v>未提供（单期横截面）</x:v>
      </x:c>
      <x:c r="Q45" s="23" t="n">
        <x:v>1353</x:v>
      </x:c>
    </x:row>
    <x:row r="46">
      <x:c r="A46" s="30" t="n">
        <x:v>350200</x:v>
      </x:c>
      <x:c r="B46" s="22" t="str">
        <x:v>厦门市</x:v>
      </x:c>
      <x:c r="C46" s="31" t="n">
        <x:v>350203</x:v>
      </x:c>
      <x:c r="D46" s="22" t="str">
        <x:v>思明区</x:v>
      </x:c>
      <x:c r="E46" s="22" t="str">
        <x:v>农用地</x:v>
      </x:c>
      <x:c r="F46" s="22" t="str">
        <x:v>园地</x:v>
      </x:c>
      <x:c r="G46" s="32" t="str">
        <x:v>204</x:v>
      </x:c>
      <x:c r="H46" s="32" t="str">
        <x:v>204</x:v>
      </x:c>
      <x:c r="I46" s="22" t="str">
        <x:v>其他园地</x:v>
      </x:c>
      <x:c r="J46" s="22" t="str">
        <x:v>农业生态</x:v>
      </x:c>
      <x:c r="K46" s="32" t="str">
        <x:v>201</x:v>
      </x:c>
      <x:c r="L46" s="22" t="str">
        <x:v>城市范围</x:v>
      </x:c>
      <x:c r="M46" s="33" t="n">
        <x:v>18312.07</x:v>
      </x:c>
      <x:c r="N46" s="33" t="n">
        <x:v>1.831207</x:v>
      </x:c>
      <x:c r="O46" s="22" t="str">
        <x:v>公顷</x:v>
      </x:c>
      <x:c r="P46" s="22" t="str">
        <x:v>未提供（单期横截面）</x:v>
      </x:c>
      <x:c r="Q46" s="23" t="n">
        <x:v>1354</x:v>
      </x:c>
    </x:row>
    <x:row r="47">
      <x:c r="A47" s="30" t="n">
        <x:v>350200</x:v>
      </x:c>
      <x:c r="B47" s="22" t="str">
        <x:v>厦门市</x:v>
      </x:c>
      <x:c r="C47" s="31" t="n">
        <x:v>350203</x:v>
      </x:c>
      <x:c r="D47" s="22" t="str">
        <x:v>思明区</x:v>
      </x:c>
      <x:c r="E47" s="22" t="str">
        <x:v>农用地</x:v>
      </x:c>
      <x:c r="F47" s="22" t="str">
        <x:v>林地</x:v>
      </x:c>
      <x:c r="G47" s="32" t="str">
        <x:v>301</x:v>
      </x:c>
      <x:c r="H47" s="32" t="str">
        <x:v>301</x:v>
      </x:c>
      <x:c r="I47" s="22" t="str">
        <x:v>乔木林地</x:v>
      </x:c>
      <x:c r="J47" s="22" t="str">
        <x:v>农业生态</x:v>
      </x:c>
      <x:c r="K47" s="32" t="str">
        <x:v>201</x:v>
      </x:c>
      <x:c r="L47" s="22" t="str">
        <x:v>城市范围</x:v>
      </x:c>
      <x:c r="M47" s="33" t="n">
        <x:v>1929061.3599999996</x:v>
      </x:c>
      <x:c r="N47" s="33" t="n">
        <x:v>192.90613599999998</x:v>
      </x:c>
      <x:c r="O47" s="22" t="str">
        <x:v>公顷</x:v>
      </x:c>
      <x:c r="P47" s="22" t="str">
        <x:v>未提供（单期横截面）</x:v>
      </x:c>
      <x:c r="Q47" s="23" t="n">
        <x:v>1355</x:v>
      </x:c>
    </x:row>
    <x:row r="48">
      <x:c r="A48" s="30" t="n">
        <x:v>350200</x:v>
      </x:c>
      <x:c r="B48" s="22" t="str">
        <x:v>厦门市</x:v>
      </x:c>
      <x:c r="C48" s="31" t="n">
        <x:v>350203</x:v>
      </x:c>
      <x:c r="D48" s="22" t="str">
        <x:v>思明区</x:v>
      </x:c>
      <x:c r="E48" s="22" t="str">
        <x:v>农用地</x:v>
      </x:c>
      <x:c r="F48" s="22" t="str">
        <x:v>林地</x:v>
      </x:c>
      <x:c r="G48" s="32" t="str">
        <x:v>305</x:v>
      </x:c>
      <x:c r="H48" s="32" t="str">
        <x:v>305</x:v>
      </x:c>
      <x:c r="I48" s="22" t="str">
        <x:v>灌木林地</x:v>
      </x:c>
      <x:c r="J48" s="22" t="str">
        <x:v>农业生态</x:v>
      </x:c>
      <x:c r="K48" s="32" t="str">
        <x:v>201</x:v>
      </x:c>
      <x:c r="L48" s="22" t="str">
        <x:v>城市范围</x:v>
      </x:c>
      <x:c r="M48" s="33" t="n">
        <x:v>73002.82</x:v>
      </x:c>
      <x:c r="N48" s="33" t="n">
        <x:v>7.300282000000001</x:v>
      </x:c>
      <x:c r="O48" s="22" t="str">
        <x:v>公顷</x:v>
      </x:c>
      <x:c r="P48" s="22" t="str">
        <x:v>未提供（单期横截面）</x:v>
      </x:c>
      <x:c r="Q48" s="23" t="n">
        <x:v>1356</x:v>
      </x:c>
    </x:row>
    <x:row r="49">
      <x:c r="A49" s="30" t="n">
        <x:v>350200</x:v>
      </x:c>
      <x:c r="B49" s="22" t="str">
        <x:v>厦门市</x:v>
      </x:c>
      <x:c r="C49" s="31" t="n">
        <x:v>350203</x:v>
      </x:c>
      <x:c r="D49" s="22" t="str">
        <x:v>思明区</x:v>
      </x:c>
      <x:c r="E49" s="22" t="str">
        <x:v>农用地</x:v>
      </x:c>
      <x:c r="F49" s="22" t="str">
        <x:v>林地</x:v>
      </x:c>
      <x:c r="G49" s="32" t="str">
        <x:v>307</x:v>
      </x:c>
      <x:c r="H49" s="32" t="str">
        <x:v>307</x:v>
      </x:c>
      <x:c r="I49" s="22" t="str">
        <x:v>其他林地</x:v>
      </x:c>
      <x:c r="J49" s="22" t="str">
        <x:v>农业生态</x:v>
      </x:c>
      <x:c r="K49" s="32" t="str">
        <x:v>201</x:v>
      </x:c>
      <x:c r="L49" s="22" t="str">
        <x:v>城市范围</x:v>
      </x:c>
      <x:c r="M49" s="33" t="n">
        <x:v>277420.39</x:v>
      </x:c>
      <x:c r="N49" s="33" t="n">
        <x:v>27.742039000000002</x:v>
      </x:c>
      <x:c r="O49" s="22" t="str">
        <x:v>公顷</x:v>
      </x:c>
      <x:c r="P49" s="22" t="str">
        <x:v>未提供（单期横截面）</x:v>
      </x:c>
      <x:c r="Q49" s="23" t="n">
        <x:v>1357</x:v>
      </x:c>
    </x:row>
    <x:row r="50">
      <x:c r="A50" s="30" t="n">
        <x:v>350200</x:v>
      </x:c>
      <x:c r="B50" s="22" t="str">
        <x:v>厦门市</x:v>
      </x:c>
      <x:c r="C50" s="31" t="n">
        <x:v>350203</x:v>
      </x:c>
      <x:c r="D50" s="22" t="str">
        <x:v>思明区</x:v>
      </x:c>
      <x:c r="E50" s="22" t="str">
        <x:v>农用地</x:v>
      </x:c>
      <x:c r="F50" s="22" t="str">
        <x:v>其他农用地</x:v>
      </x:c>
      <x:c r="G50" s="32" t="str">
        <x:v>1006</x:v>
      </x:c>
      <x:c r="H50" s="32" t="str">
        <x:v>1006</x:v>
      </x:c>
      <x:c r="I50" s="22" t="str">
        <x:v>农村道路</x:v>
      </x:c>
      <x:c r="J50" s="22" t="str">
        <x:v>农业生态</x:v>
      </x:c>
      <x:c r="K50" s="32" t="str">
        <x:v>201</x:v>
      </x:c>
      <x:c r="L50" s="22" t="str">
        <x:v>城市范围</x:v>
      </x:c>
      <x:c r="M50" s="33" t="n">
        <x:v>480.65</x:v>
      </x:c>
      <x:c r="N50" s="33" t="n">
        <x:v>0.048065</x:v>
      </x:c>
      <x:c r="O50" s="22" t="str">
        <x:v>公顷</x:v>
      </x:c>
      <x:c r="P50" s="22" t="str">
        <x:v>未提供（单期横截面）</x:v>
      </x:c>
      <x:c r="Q50" s="23" t="n">
        <x:v>1358</x:v>
      </x:c>
    </x:row>
    <x:row r="51">
      <x:c r="A51" s="30" t="n">
        <x:v>350200</x:v>
      </x:c>
      <x:c r="B51" s="22" t="str">
        <x:v>厦门市</x:v>
      </x:c>
      <x:c r="C51" s="31" t="n">
        <x:v>350203</x:v>
      </x:c>
      <x:c r="D51" s="22" t="str">
        <x:v>思明区</x:v>
      </x:c>
      <x:c r="E51" s="22" t="str">
        <x:v>农用地</x:v>
      </x:c>
      <x:c r="F51" s="22" t="str">
        <x:v>水域及水利设施</x:v>
      </x:c>
      <x:c r="G51" s="32" t="str">
        <x:v>1104</x:v>
      </x:c>
      <x:c r="H51" s="32" t="str">
        <x:v>1104</x:v>
      </x:c>
      <x:c r="I51" s="22" t="str">
        <x:v>坑塘水面</x:v>
      </x:c>
      <x:c r="J51" s="22" t="str">
        <x:v>农业生态</x:v>
      </x:c>
      <x:c r="K51" s="32" t="str">
        <x:v>201</x:v>
      </x:c>
      <x:c r="L51" s="22" t="str">
        <x:v>城市范围</x:v>
      </x:c>
      <x:c r="M51" s="33" t="n">
        <x:v>141370.50000000003</x:v>
      </x:c>
      <x:c r="N51" s="33" t="n">
        <x:v>14.137050000000002</x:v>
      </x:c>
      <x:c r="O51" s="22" t="str">
        <x:v>公顷</x:v>
      </x:c>
      <x:c r="P51" s="22" t="str">
        <x:v>未提供（单期横截面）</x:v>
      </x:c>
      <x:c r="Q51" s="23" t="n">
        <x:v>1359</x:v>
      </x:c>
    </x:row>
    <x:row r="52">
      <x:c r="A52" s="30" t="n">
        <x:v>350200</x:v>
      </x:c>
      <x:c r="B52" s="22" t="str">
        <x:v>厦门市</x:v>
      </x:c>
      <x:c r="C52" s="31" t="n">
        <x:v>350203</x:v>
      </x:c>
      <x:c r="D52" s="22" t="str">
        <x:v>思明区</x:v>
      </x:c>
      <x:c r="E52" s="22" t="str">
        <x:v>农用地</x:v>
      </x:c>
      <x:c r="F52" s="22" t="str">
        <x:v>水域及水利设施</x:v>
      </x:c>
      <x:c r="G52" s="32" t="str">
        <x:v>1107</x:v>
      </x:c>
      <x:c r="H52" s="32" t="str">
        <x:v>1107</x:v>
      </x:c>
      <x:c r="I52" s="22" t="str">
        <x:v>沟渠</x:v>
      </x:c>
      <x:c r="J52" s="22" t="str">
        <x:v>农业生态</x:v>
      </x:c>
      <x:c r="K52" s="32" t="str">
        <x:v>201</x:v>
      </x:c>
      <x:c r="L52" s="22" t="str">
        <x:v>城市范围</x:v>
      </x:c>
      <x:c r="M52" s="33" t="n">
        <x:v>30659.98</x:v>
      </x:c>
      <x:c r="N52" s="33" t="n">
        <x:v>3.065998</x:v>
      </x:c>
      <x:c r="O52" s="22" t="str">
        <x:v>公顷</x:v>
      </x:c>
      <x:c r="P52" s="22" t="str">
        <x:v>未提供（单期横截面）</x:v>
      </x:c>
      <x:c r="Q52" s="23" t="n">
        <x:v>1360</x:v>
      </x:c>
    </x:row>
    <x:row r="53">
      <x:c r="A53" s="30" t="n">
        <x:v>350200</x:v>
      </x:c>
      <x:c r="B53" s="22" t="str">
        <x:v>厦门市</x:v>
      </x:c>
      <x:c r="C53" s="31" t="n">
        <x:v>350203</x:v>
      </x:c>
      <x:c r="D53" s="22" t="str">
        <x:v>思明区</x:v>
      </x:c>
      <x:c r="E53" s="22" t="str">
        <x:v>农用地</x:v>
      </x:c>
      <x:c r="F53" s="22" t="str">
        <x:v>其他农用地</x:v>
      </x:c>
      <x:c r="G53" s="32" t="str">
        <x:v>1202</x:v>
      </x:c>
      <x:c r="H53" s="32" t="str">
        <x:v>1202</x:v>
      </x:c>
      <x:c r="I53" s="22" t="str">
        <x:v>设施农用地</x:v>
      </x:c>
      <x:c r="J53" s="22" t="str">
        <x:v>农业生态</x:v>
      </x:c>
      <x:c r="K53" s="32" t="str">
        <x:v>201</x:v>
      </x:c>
      <x:c r="L53" s="22" t="str">
        <x:v>城市范围</x:v>
      </x:c>
      <x:c r="M53" s="33" t="n">
        <x:v>5377.000000000001</x:v>
      </x:c>
      <x:c r="N53" s="33" t="n">
        <x:v>0.5377000000000001</x:v>
      </x:c>
      <x:c r="O53" s="22" t="str">
        <x:v>公顷</x:v>
      </x:c>
      <x:c r="P53" s="22" t="str">
        <x:v>未提供（单期横截面）</x:v>
      </x:c>
      <x:c r="Q53" s="23" t="n">
        <x:v>1361</x:v>
      </x:c>
    </x:row>
    <x:row r="54">
      <x:c r="A54" s="30" t="n">
        <x:v>350200</x:v>
      </x:c>
      <x:c r="B54" s="22" t="str">
        <x:v>厦门市</x:v>
      </x:c>
      <x:c r="C54" s="31" t="n">
        <x:v>350203</x:v>
      </x:c>
      <x:c r="D54" s="22" t="str">
        <x:v>思明区</x:v>
      </x:c>
      <x:c r="E54" s="22" t="str">
        <x:v>未利用地</x:v>
      </x:c>
      <x:c r="F54" s="22" t="str">
        <x:v>草地</x:v>
      </x:c>
      <x:c r="G54" s="32" t="str">
        <x:v>404</x:v>
      </x:c>
      <x:c r="H54" s="32" t="str">
        <x:v>404</x:v>
      </x:c>
      <x:c r="I54" s="22" t="str">
        <x:v>其他草地</x:v>
      </x:c>
      <x:c r="J54" s="22" t="str">
        <x:v>农业生态</x:v>
      </x:c>
      <x:c r="K54" s="32" t="str"/>
      <x:c r="L54" s="22" t="str">
        <x:v>不适用/未标注</x:v>
      </x:c>
      <x:c r="M54" s="33" t="n">
        <x:v>506279.22000000015</x:v>
      </x:c>
      <x:c r="N54" s="33" t="n">
        <x:v>50.62792200000001</x:v>
      </x:c>
      <x:c r="O54" s="22" t="str">
        <x:v>公顷</x:v>
      </x:c>
      <x:c r="P54" s="22" t="str">
        <x:v>未提供（单期横截面）</x:v>
      </x:c>
      <x:c r="Q54" s="23" t="n">
        <x:v>1362</x:v>
      </x:c>
    </x:row>
    <x:row r="55">
      <x:c r="A55" s="30" t="n">
        <x:v>350200</x:v>
      </x:c>
      <x:c r="B55" s="22" t="str">
        <x:v>厦门市</x:v>
      </x:c>
      <x:c r="C55" s="31" t="n">
        <x:v>350203</x:v>
      </x:c>
      <x:c r="D55" s="22" t="str">
        <x:v>思明区</x:v>
      </x:c>
      <x:c r="E55" s="22" t="str">
        <x:v>未利用地</x:v>
      </x:c>
      <x:c r="F55" s="22" t="str">
        <x:v>水域及水利设施</x:v>
      </x:c>
      <x:c r="G55" s="32" t="str">
        <x:v>1102</x:v>
      </x:c>
      <x:c r="H55" s="32" t="str">
        <x:v>1102</x:v>
      </x:c>
      <x:c r="I55" s="22" t="str">
        <x:v>湖泊水面</x:v>
      </x:c>
      <x:c r="J55" s="22" t="str">
        <x:v>农业生态</x:v>
      </x:c>
      <x:c r="K55" s="32" t="str"/>
      <x:c r="L55" s="22" t="str">
        <x:v>不适用/未标注</x:v>
      </x:c>
      <x:c r="M55" s="33" t="n">
        <x:v>1677821.6800000002</x:v>
      </x:c>
      <x:c r="N55" s="33" t="n">
        <x:v>167.782168</x:v>
      </x:c>
      <x:c r="O55" s="22" t="str">
        <x:v>公顷</x:v>
      </x:c>
      <x:c r="P55" s="22" t="str">
        <x:v>未提供（单期横截面）</x:v>
      </x:c>
      <x:c r="Q55" s="23" t="n">
        <x:v>1363</x:v>
      </x:c>
    </x:row>
    <x:row r="56">
      <x:c r="A56" s="30" t="n">
        <x:v>350200</x:v>
      </x:c>
      <x:c r="B56" s="22" t="str">
        <x:v>厦门市</x:v>
      </x:c>
      <x:c r="C56" s="31" t="n">
        <x:v>350203</x:v>
      </x:c>
      <x:c r="D56" s="22" t="str">
        <x:v>思明区</x:v>
      </x:c>
      <x:c r="E56" s="22" t="str">
        <x:v>未利用地</x:v>
      </x:c>
      <x:c r="F56" s="22" t="str">
        <x:v>水域及水利设施</x:v>
      </x:c>
      <x:c r="G56" s="32" t="str">
        <x:v>1105</x:v>
      </x:c>
      <x:c r="H56" s="32" t="str">
        <x:v>1105</x:v>
      </x:c>
      <x:c r="I56" s="22" t="str">
        <x:v>沿海滩涂</x:v>
      </x:c>
      <x:c r="J56" s="22" t="str">
        <x:v>农业生态</x:v>
      </x:c>
      <x:c r="K56" s="32" t="str"/>
      <x:c r="L56" s="22" t="str">
        <x:v>不适用/未标注</x:v>
      </x:c>
      <x:c r="M56" s="33" t="n">
        <x:v>8675909.54</x:v>
      </x:c>
      <x:c r="N56" s="33" t="n">
        <x:v>867.5909539999999</x:v>
      </x:c>
      <x:c r="O56" s="22" t="str">
        <x:v>公顷</x:v>
      </x:c>
      <x:c r="P56" s="22" t="str">
        <x:v>未提供（单期横截面）</x:v>
      </x:c>
      <x:c r="Q56" s="23" t="n">
        <x:v>1364</x:v>
      </x:c>
    </x:row>
    <x:row r="57">
      <x:c r="A57" s="30" t="n">
        <x:v>350200</x:v>
      </x:c>
      <x:c r="B57" s="22" t="str">
        <x:v>厦门市</x:v>
      </x:c>
      <x:c r="C57" s="31" t="n">
        <x:v>350203</x:v>
      </x:c>
      <x:c r="D57" s="22" t="str">
        <x:v>思明区</x:v>
      </x:c>
      <x:c r="E57" s="22" t="str">
        <x:v>未利用地</x:v>
      </x:c>
      <x:c r="F57" s="22" t="str">
        <x:v>未利用地</x:v>
      </x:c>
      <x:c r="G57" s="32" t="str">
        <x:v>1207</x:v>
      </x:c>
      <x:c r="H57" s="32" t="str">
        <x:v>1207</x:v>
      </x:c>
      <x:c r="I57" s="22" t="str">
        <x:v>裸岩石砾地</x:v>
      </x:c>
      <x:c r="J57" s="22" t="str">
        <x:v>未利用地</x:v>
      </x:c>
      <x:c r="K57" s="32" t="str"/>
      <x:c r="L57" s="22" t="str">
        <x:v>不适用/未标注</x:v>
      </x:c>
      <x:c r="M57" s="33" t="n">
        <x:v>351360.5600000001</x:v>
      </x:c>
      <x:c r="N57" s="33" t="n">
        <x:v>35.13605600000001</x:v>
      </x:c>
      <x:c r="O57" s="22" t="str">
        <x:v>公顷</x:v>
      </x:c>
      <x:c r="P57" s="22" t="str">
        <x:v>未提供（单期横截面）</x:v>
      </x:c>
      <x:c r="Q57" s="23" t="n">
        <x:v>1365</x:v>
      </x:c>
    </x:row>
    <x:row r="58">
      <x:c r="A58" s="30" t="n">
        <x:v>350200</x:v>
      </x:c>
      <x:c r="B58" s="22" t="str">
        <x:v>厦门市</x:v>
      </x:c>
      <x:c r="C58" s="31" t="n">
        <x:v>350203</x:v>
      </x:c>
      <x:c r="D58" s="22" t="str">
        <x:v>思明区</x:v>
      </x:c>
      <x:c r="E58" s="22" t="str">
        <x:v>未利用地</x:v>
      </x:c>
      <x:c r="F58" s="22" t="str">
        <x:v>草地</x:v>
      </x:c>
      <x:c r="G58" s="32" t="str">
        <x:v>404</x:v>
      </x:c>
      <x:c r="H58" s="32" t="str">
        <x:v>404</x:v>
      </x:c>
      <x:c r="I58" s="22" t="str">
        <x:v>其他草地</x:v>
      </x:c>
      <x:c r="J58" s="22" t="str">
        <x:v>农业生态</x:v>
      </x:c>
      <x:c r="K58" s="32" t="str">
        <x:v>201</x:v>
      </x:c>
      <x:c r="L58" s="22" t="str">
        <x:v>城市范围</x:v>
      </x:c>
      <x:c r="M58" s="33" t="n">
        <x:v>192706.18999999994</x:v>
      </x:c>
      <x:c r="N58" s="33" t="n">
        <x:v>19.270618999999993</x:v>
      </x:c>
      <x:c r="O58" s="22" t="str">
        <x:v>公顷</x:v>
      </x:c>
      <x:c r="P58" s="22" t="str">
        <x:v>未提供（单期横截面）</x:v>
      </x:c>
      <x:c r="Q58" s="23" t="n">
        <x:v>1366</x:v>
      </x:c>
    </x:row>
    <x:row r="59">
      <x:c r="A59" s="30" t="n">
        <x:v>350200</x:v>
      </x:c>
      <x:c r="B59" s="22" t="str">
        <x:v>厦门市</x:v>
      </x:c>
      <x:c r="C59" s="31" t="n">
        <x:v>350203</x:v>
      </x:c>
      <x:c r="D59" s="22" t="str">
        <x:v>思明区</x:v>
      </x:c>
      <x:c r="E59" s="22" t="str">
        <x:v>未利用地</x:v>
      </x:c>
      <x:c r="F59" s="22" t="str">
        <x:v>水域及水利设施</x:v>
      </x:c>
      <x:c r="G59" s="32" t="str">
        <x:v>1102</x:v>
      </x:c>
      <x:c r="H59" s="32" t="str">
        <x:v>1102</x:v>
      </x:c>
      <x:c r="I59" s="22" t="str">
        <x:v>湖泊水面</x:v>
      </x:c>
      <x:c r="J59" s="22" t="str">
        <x:v>农业生态</x:v>
      </x:c>
      <x:c r="K59" s="32" t="str">
        <x:v>201</x:v>
      </x:c>
      <x:c r="L59" s="22" t="str">
        <x:v>城市范围</x:v>
      </x:c>
      <x:c r="M59" s="33" t="n">
        <x:v>230180.89999999997</x:v>
      </x:c>
      <x:c r="N59" s="33" t="n">
        <x:v>23.018089999999997</x:v>
      </x:c>
      <x:c r="O59" s="22" t="str">
        <x:v>公顷</x:v>
      </x:c>
      <x:c r="P59" s="22" t="str">
        <x:v>未提供（单期横截面）</x:v>
      </x:c>
      <x:c r="Q59" s="23" t="n">
        <x:v>1367</x:v>
      </x:c>
    </x:row>
    <x:row r="60">
      <x:c r="A60" s="30" t="n">
        <x:v>350200</x:v>
      </x:c>
      <x:c r="B60" s="22" t="str">
        <x:v>厦门市</x:v>
      </x:c>
      <x:c r="C60" s="31" t="n">
        <x:v>350203</x:v>
      </x:c>
      <x:c r="D60" s="22" t="str">
        <x:v>思明区</x:v>
      </x:c>
      <x:c r="E60" s="22" t="str">
        <x:v>未利用地</x:v>
      </x:c>
      <x:c r="F60" s="22" t="str">
        <x:v>水域及水利设施</x:v>
      </x:c>
      <x:c r="G60" s="32" t="str">
        <x:v>1105</x:v>
      </x:c>
      <x:c r="H60" s="32" t="str">
        <x:v>1105</x:v>
      </x:c>
      <x:c r="I60" s="22" t="str">
        <x:v>沿海滩涂</x:v>
      </x:c>
      <x:c r="J60" s="22" t="str">
        <x:v>农业生态</x:v>
      </x:c>
      <x:c r="K60" s="32" t="str">
        <x:v>201</x:v>
      </x:c>
      <x:c r="L60" s="22" t="str">
        <x:v>城市范围</x:v>
      </x:c>
      <x:c r="M60" s="33" t="n">
        <x:v>2022.25</x:v>
      </x:c>
      <x:c r="N60" s="33" t="n">
        <x:v>0.202225</x:v>
      </x:c>
      <x:c r="O60" s="22" t="str">
        <x:v>公顷</x:v>
      </x:c>
      <x:c r="P60" s="22" t="str">
        <x:v>未提供（单期横截面）</x:v>
      </x:c>
      <x:c r="Q60" s="23" t="n">
        <x:v>1368</x:v>
      </x:c>
    </x:row>
    <x:row r="61">
      <x:c r="A61" s="30" t="n">
        <x:v>350200</x:v>
      </x:c>
      <x:c r="B61" s="22" t="str">
        <x:v>厦门市</x:v>
      </x:c>
      <x:c r="C61" s="31" t="n">
        <x:v>350203</x:v>
      </x:c>
      <x:c r="D61" s="22" t="str">
        <x:v>思明区</x:v>
      </x:c>
      <x:c r="E61" s="22" t="str">
        <x:v>未利用地</x:v>
      </x:c>
      <x:c r="F61" s="22" t="str">
        <x:v>未利用地</x:v>
      </x:c>
      <x:c r="G61" s="32" t="str">
        <x:v>1207</x:v>
      </x:c>
      <x:c r="H61" s="32" t="str">
        <x:v>1207</x:v>
      </x:c>
      <x:c r="I61" s="22" t="str">
        <x:v>裸岩石砾地</x:v>
      </x:c>
      <x:c r="J61" s="22" t="str">
        <x:v>未利用地</x:v>
      </x:c>
      <x:c r="K61" s="32" t="str">
        <x:v>201</x:v>
      </x:c>
      <x:c r="L61" s="22" t="str">
        <x:v>城市范围</x:v>
      </x:c>
      <x:c r="M61" s="33" t="n">
        <x:v>10488.55</x:v>
      </x:c>
      <x:c r="N61" s="33" t="n">
        <x:v>1.0488549999999999</x:v>
      </x:c>
      <x:c r="O61" s="22" t="str">
        <x:v>公顷</x:v>
      </x:c>
      <x:c r="P61" s="22" t="str">
        <x:v>未提供（单期横截面）</x:v>
      </x:c>
      <x:c r="Q61" s="23" t="n">
        <x:v>1369</x:v>
      </x:c>
    </x:row>
    <x:row r="62">
      <x:c r="A62" s="30" t="n">
        <x:v>350200</x:v>
      </x:c>
      <x:c r="B62" s="22" t="str">
        <x:v>厦门市</x:v>
      </x:c>
      <x:c r="C62" s="31" t="n">
        <x:v>350205</x:v>
      </x:c>
      <x:c r="D62" s="22" t="str">
        <x:v>海沧区</x:v>
      </x:c>
      <x:c r="E62" s="22" t="str">
        <x:v>建设用地</x:v>
      </x:c>
      <x:c r="F62" s="22" t="str">
        <x:v>交通运输用地</x:v>
      </x:c>
      <x:c r="G62" s="32" t="str">
        <x:v>1001</x:v>
      </x:c>
      <x:c r="H62" s="32" t="str">
        <x:v>1001</x:v>
      </x:c>
      <x:c r="I62" s="22" t="str">
        <x:v>铁路用地</x:v>
      </x:c>
      <x:c r="J62" s="22" t="str">
        <x:v>交通门户</x:v>
      </x:c>
      <x:c r="K62" s="32" t="str"/>
      <x:c r="L62" s="22" t="str">
        <x:v>不适用/未标注</x:v>
      </x:c>
      <x:c r="M62" s="33" t="n">
        <x:v>2150011.24</x:v>
      </x:c>
      <x:c r="N62" s="33" t="n">
        <x:v>215.00112400000003</x:v>
      </x:c>
      <x:c r="O62" s="22" t="str">
        <x:v>公顷</x:v>
      </x:c>
      <x:c r="P62" s="22" t="str">
        <x:v>未提供（单期横截面）</x:v>
      </x:c>
      <x:c r="Q62" s="23" t="n">
        <x:v>1370</x:v>
      </x:c>
    </x:row>
    <x:row r="63">
      <x:c r="A63" s="30" t="n">
        <x:v>350200</x:v>
      </x:c>
      <x:c r="B63" s="22" t="str">
        <x:v>厦门市</x:v>
      </x:c>
      <x:c r="C63" s="31" t="n">
        <x:v>350205</x:v>
      </x:c>
      <x:c r="D63" s="22" t="str">
        <x:v>海沧区</x:v>
      </x:c>
      <x:c r="E63" s="22" t="str">
        <x:v>建设用地</x:v>
      </x:c>
      <x:c r="F63" s="22" t="str">
        <x:v>交通运输用地</x:v>
      </x:c>
      <x:c r="G63" s="32" t="str">
        <x:v>1002</x:v>
      </x:c>
      <x:c r="H63" s="32" t="str">
        <x:v>1002</x:v>
      </x:c>
      <x:c r="I63" s="22" t="str">
        <x:v>轨道交通用地</x:v>
      </x:c>
      <x:c r="J63" s="22" t="str">
        <x:v>交通门户</x:v>
      </x:c>
      <x:c r="K63" s="32" t="str"/>
      <x:c r="L63" s="22" t="str">
        <x:v>不适用/未标注</x:v>
      </x:c>
      <x:c r="M63" s="33" t="n">
        <x:v>233151.91000000006</x:v>
      </x:c>
      <x:c r="N63" s="33" t="n">
        <x:v>23.315191000000006</x:v>
      </x:c>
      <x:c r="O63" s="22" t="str">
        <x:v>公顷</x:v>
      </x:c>
      <x:c r="P63" s="22" t="str">
        <x:v>未提供（单期横截面）</x:v>
      </x:c>
      <x:c r="Q63" s="23" t="n">
        <x:v>1371</x:v>
      </x:c>
    </x:row>
    <x:row r="64">
      <x:c r="A64" s="30" t="n">
        <x:v>350200</x:v>
      </x:c>
      <x:c r="B64" s="22" t="str">
        <x:v>厦门市</x:v>
      </x:c>
      <x:c r="C64" s="31" t="n">
        <x:v>350205</x:v>
      </x:c>
      <x:c r="D64" s="22" t="str">
        <x:v>海沧区</x:v>
      </x:c>
      <x:c r="E64" s="22" t="str">
        <x:v>建设用地</x:v>
      </x:c>
      <x:c r="F64" s="22" t="str">
        <x:v>交通运输用地</x:v>
      </x:c>
      <x:c r="G64" s="32" t="str">
        <x:v>1003</x:v>
      </x:c>
      <x:c r="H64" s="32" t="str">
        <x:v>1003</x:v>
      </x:c>
      <x:c r="I64" s="22" t="str">
        <x:v>公路用地</x:v>
      </x:c>
      <x:c r="J64" s="22" t="str">
        <x:v>交通门户</x:v>
      </x:c>
      <x:c r="K64" s="32" t="str"/>
      <x:c r="L64" s="22" t="str">
        <x:v>不适用/未标注</x:v>
      </x:c>
      <x:c r="M64" s="33" t="n">
        <x:v>10342183.809999991</x:v>
      </x:c>
      <x:c r="N64" s="33" t="n">
        <x:v>1034.2183809999992</x:v>
      </x:c>
      <x:c r="O64" s="22" t="str">
        <x:v>公顷</x:v>
      </x:c>
      <x:c r="P64" s="22" t="str">
        <x:v>未提供（单期横截面）</x:v>
      </x:c>
      <x:c r="Q64" s="23" t="n">
        <x:v>1372</x:v>
      </x:c>
    </x:row>
    <x:row r="65">
      <x:c r="A65" s="30" t="n">
        <x:v>350200</x:v>
      </x:c>
      <x:c r="B65" s="22" t="str">
        <x:v>厦门市</x:v>
      </x:c>
      <x:c r="C65" s="31" t="n">
        <x:v>350205</x:v>
      </x:c>
      <x:c r="D65" s="22" t="str">
        <x:v>海沧区</x:v>
      </x:c>
      <x:c r="E65" s="22" t="str">
        <x:v>建设用地</x:v>
      </x:c>
      <x:c r="F65" s="22" t="str">
        <x:v>水域及水利设施</x:v>
      </x:c>
      <x:c r="G65" s="32" t="str">
        <x:v>1109</x:v>
      </x:c>
      <x:c r="H65" s="32" t="str">
        <x:v>1109</x:v>
      </x:c>
      <x:c r="I65" s="22" t="str">
        <x:v>水工建筑用地</x:v>
      </x:c>
      <x:c r="J65" s="22" t="str">
        <x:v>其他建设</x:v>
      </x:c>
      <x:c r="K65" s="32" t="str"/>
      <x:c r="L65" s="22" t="str">
        <x:v>不适用/未标注</x:v>
      </x:c>
      <x:c r="M65" s="33" t="n">
        <x:v>220199.28000000003</x:v>
      </x:c>
      <x:c r="N65" s="33" t="n">
        <x:v>22.019928000000004</x:v>
      </x:c>
      <x:c r="O65" s="22" t="str">
        <x:v>公顷</x:v>
      </x:c>
      <x:c r="P65" s="22" t="str">
        <x:v>未提供（单期横截面）</x:v>
      </x:c>
      <x:c r="Q65" s="23" t="n">
        <x:v>1373</x:v>
      </x:c>
    </x:row>
    <x:row r="66">
      <x:c r="A66" s="30" t="n">
        <x:v>350200</x:v>
      </x:c>
      <x:c r="B66" s="22" t="str">
        <x:v>厦门市</x:v>
      </x:c>
      <x:c r="C66" s="31" t="n">
        <x:v>350205</x:v>
      </x:c>
      <x:c r="D66" s="22" t="str">
        <x:v>海沧区</x:v>
      </x:c>
      <x:c r="E66" s="22" t="str">
        <x:v>建设用地</x:v>
      </x:c>
      <x:c r="F66" s="22" t="str">
        <x:v>工矿仓储用地</x:v>
      </x:c>
      <x:c r="G66" s="32" t="str">
        <x:v>508</x:v>
      </x:c>
      <x:c r="H66" s="32" t="str">
        <x:v>508</x:v>
      </x:c>
      <x:c r="I66" s="22" t="str">
        <x:v>物流仓储用地</x:v>
      </x:c>
      <x:c r="J66" s="22" t="str">
        <x:v>产业功能</x:v>
      </x:c>
      <x:c r="K66" s="32" t="str">
        <x:v>201</x:v>
      </x:c>
      <x:c r="L66" s="22" t="str">
        <x:v>城市范围</x:v>
      </x:c>
      <x:c r="M66" s="33" t="n">
        <x:v>4184764.350000001</x:v>
      </x:c>
      <x:c r="N66" s="33" t="n">
        <x:v>418.4764350000001</x:v>
      </x:c>
      <x:c r="O66" s="22" t="str">
        <x:v>公顷</x:v>
      </x:c>
      <x:c r="P66" s="22" t="str">
        <x:v>未提供（单期横截面）</x:v>
      </x:c>
      <x:c r="Q66" s="23" t="n">
        <x:v>1374</x:v>
      </x:c>
    </x:row>
    <x:row r="67">
      <x:c r="A67" s="30" t="n">
        <x:v>350200</x:v>
      </x:c>
      <x:c r="B67" s="22" t="str">
        <x:v>厦门市</x:v>
      </x:c>
      <x:c r="C67" s="31" t="n">
        <x:v>350205</x:v>
      </x:c>
      <x:c r="D67" s="22" t="str">
        <x:v>海沧区</x:v>
      </x:c>
      <x:c r="E67" s="22" t="str">
        <x:v>建设用地</x:v>
      </x:c>
      <x:c r="F67" s="22" t="str">
        <x:v>商业服务业用地</x:v>
      </x:c>
      <x:c r="G67" s="32" t="str">
        <x:v>05H1</x:v>
      </x:c>
      <x:c r="H67" s="32" t="str">
        <x:v>05H1</x:v>
      </x:c>
      <x:c r="I67" s="22" t="str">
        <x:v>商业服务业设施用地</x:v>
      </x:c>
      <x:c r="J67" s="22" t="str">
        <x:v>商业服务</x:v>
      </x:c>
      <x:c r="K67" s="32" t="str">
        <x:v>201</x:v>
      </x:c>
      <x:c r="L67" s="22" t="str">
        <x:v>城市范围</x:v>
      </x:c>
      <x:c r="M67" s="33" t="n">
        <x:v>3321563.519999999</x:v>
      </x:c>
      <x:c r="N67" s="33" t="n">
        <x:v>332.1563519999999</x:v>
      </x:c>
      <x:c r="O67" s="22" t="str">
        <x:v>公顷</x:v>
      </x:c>
      <x:c r="P67" s="22" t="str">
        <x:v>未提供（单期横截面）</x:v>
      </x:c>
      <x:c r="Q67" s="23" t="n">
        <x:v>1375</x:v>
      </x:c>
    </x:row>
    <x:row r="68">
      <x:c r="A68" s="30" t="n">
        <x:v>350200</x:v>
      </x:c>
      <x:c r="B68" s="22" t="str">
        <x:v>厦门市</x:v>
      </x:c>
      <x:c r="C68" s="31" t="n">
        <x:v>350205</x:v>
      </x:c>
      <x:c r="D68" s="22" t="str">
        <x:v>海沧区</x:v>
      </x:c>
      <x:c r="E68" s="22" t="str">
        <x:v>建设用地</x:v>
      </x:c>
      <x:c r="F68" s="22" t="str">
        <x:v>工矿仓储用地</x:v>
      </x:c>
      <x:c r="G68" s="32" t="str">
        <x:v>601</x:v>
      </x:c>
      <x:c r="H68" s="32" t="str">
        <x:v>601</x:v>
      </x:c>
      <x:c r="I68" s="22" t="str">
        <x:v>工业用地</x:v>
      </x:c>
      <x:c r="J68" s="22" t="str">
        <x:v>产业功能</x:v>
      </x:c>
      <x:c r="K68" s="32" t="str">
        <x:v>201</x:v>
      </x:c>
      <x:c r="L68" s="22" t="str">
        <x:v>城市范围</x:v>
      </x:c>
      <x:c r="M68" s="33" t="n">
        <x:v>14873549.979999993</x:v>
      </x:c>
      <x:c r="N68" s="33" t="n">
        <x:v>1487.3549979999993</x:v>
      </x:c>
      <x:c r="O68" s="22" t="str">
        <x:v>公顷</x:v>
      </x:c>
      <x:c r="P68" s="22" t="str">
        <x:v>未提供（单期横截面）</x:v>
      </x:c>
      <x:c r="Q68" s="23" t="n">
        <x:v>1376</x:v>
      </x:c>
    </x:row>
    <x:row r="69">
      <x:c r="A69" s="30" t="n">
        <x:v>350200</x:v>
      </x:c>
      <x:c r="B69" s="22" t="str">
        <x:v>厦门市</x:v>
      </x:c>
      <x:c r="C69" s="31" t="n">
        <x:v>350205</x:v>
      </x:c>
      <x:c r="D69" s="22" t="str">
        <x:v>海沧区</x:v>
      </x:c>
      <x:c r="E69" s="22" t="str">
        <x:v>建设用地</x:v>
      </x:c>
      <x:c r="F69" s="22" t="str">
        <x:v>工矿仓储用地</x:v>
      </x:c>
      <x:c r="G69" s="32" t="str">
        <x:v>602</x:v>
      </x:c>
      <x:c r="H69" s="32" t="str">
        <x:v>602</x:v>
      </x:c>
      <x:c r="I69" s="22" t="str">
        <x:v>采矿用地</x:v>
      </x:c>
      <x:c r="J69" s="22" t="str">
        <x:v>产业功能</x:v>
      </x:c>
      <x:c r="K69" s="32" t="str">
        <x:v>201</x:v>
      </x:c>
      <x:c r="L69" s="22" t="str">
        <x:v>城市范围</x:v>
      </x:c>
      <x:c r="M69" s="33" t="n">
        <x:v>199098.93</x:v>
      </x:c>
      <x:c r="N69" s="33" t="n">
        <x:v>19.909893</x:v>
      </x:c>
      <x:c r="O69" s="22" t="str">
        <x:v>公顷</x:v>
      </x:c>
      <x:c r="P69" s="22" t="str">
        <x:v>未提供（单期横截面）</x:v>
      </x:c>
      <x:c r="Q69" s="23" t="n">
        <x:v>1377</x:v>
      </x:c>
    </x:row>
    <x:row r="70">
      <x:c r="A70" s="30" t="n">
        <x:v>350200</x:v>
      </x:c>
      <x:c r="B70" s="22" t="str">
        <x:v>厦门市</x:v>
      </x:c>
      <x:c r="C70" s="31" t="n">
        <x:v>350205</x:v>
      </x:c>
      <x:c r="D70" s="22" t="str">
        <x:v>海沧区</x:v>
      </x:c>
      <x:c r="E70" s="22" t="str">
        <x:v>建设用地</x:v>
      </x:c>
      <x:c r="F70" s="22" t="str">
        <x:v>居住用地</x:v>
      </x:c>
      <x:c r="G70" s="32" t="str">
        <x:v>701</x:v>
      </x:c>
      <x:c r="H70" s="32" t="str">
        <x:v>701</x:v>
      </x:c>
      <x:c r="I70" s="22" t="str">
        <x:v>城镇住宅用地</x:v>
      </x:c>
      <x:c r="J70" s="22" t="str">
        <x:v>居住功能</x:v>
      </x:c>
      <x:c r="K70" s="32" t="str">
        <x:v>201</x:v>
      </x:c>
      <x:c r="L70" s="22" t="str">
        <x:v>城市范围</x:v>
      </x:c>
      <x:c r="M70" s="33" t="n">
        <x:v>6502757.419999998</x:v>
      </x:c>
      <x:c r="N70" s="33" t="n">
        <x:v>650.2757419999998</x:v>
      </x:c>
      <x:c r="O70" s="22" t="str">
        <x:v>公顷</x:v>
      </x:c>
      <x:c r="P70" s="22" t="str">
        <x:v>未提供（单期横截面）</x:v>
      </x:c>
      <x:c r="Q70" s="23" t="n">
        <x:v>1378</x:v>
      </x:c>
    </x:row>
    <x:row r="71">
      <x:c r="A71" s="30" t="n">
        <x:v>350200</x:v>
      </x:c>
      <x:c r="B71" s="22" t="str">
        <x:v>厦门市</x:v>
      </x:c>
      <x:c r="C71" s="31" t="n">
        <x:v>350205</x:v>
      </x:c>
      <x:c r="D71" s="22" t="str">
        <x:v>海沧区</x:v>
      </x:c>
      <x:c r="E71" s="22" t="str">
        <x:v>建设用地</x:v>
      </x:c>
      <x:c r="F71" s="22" t="str">
        <x:v>居住用地</x:v>
      </x:c>
      <x:c r="G71" s="32" t="str">
        <x:v>702</x:v>
      </x:c>
      <x:c r="H71" s="32" t="str">
        <x:v>702</x:v>
      </x:c>
      <x:c r="I71" s="22" t="str">
        <x:v>农村宅基地</x:v>
      </x:c>
      <x:c r="J71" s="22" t="str">
        <x:v>居住功能</x:v>
      </x:c>
      <x:c r="K71" s="32" t="str">
        <x:v>201</x:v>
      </x:c>
      <x:c r="L71" s="22" t="str">
        <x:v>城市范围</x:v>
      </x:c>
      <x:c r="M71" s="33" t="n">
        <x:v>5911081.710000001</x:v>
      </x:c>
      <x:c r="N71" s="33" t="n">
        <x:v>591.1081710000001</x:v>
      </x:c>
      <x:c r="O71" s="22" t="str">
        <x:v>公顷</x:v>
      </x:c>
      <x:c r="P71" s="22" t="str">
        <x:v>未提供（单期横截面）</x:v>
      </x:c>
      <x:c r="Q71" s="23" t="n">
        <x:v>1379</x:v>
      </x:c>
    </x:row>
    <x:row r="72">
      <x:c r="A72" s="30" t="n">
        <x:v>350200</x:v>
      </x:c>
      <x:c r="B72" s="22" t="str">
        <x:v>厦门市</x:v>
      </x:c>
      <x:c r="C72" s="31" t="n">
        <x:v>350205</x:v>
      </x:c>
      <x:c r="D72" s="22" t="str">
        <x:v>海沧区</x:v>
      </x:c>
      <x:c r="E72" s="22" t="str">
        <x:v>建设用地</x:v>
      </x:c>
      <x:c r="F72" s="22" t="str">
        <x:v>公用设施用地</x:v>
      </x:c>
      <x:c r="G72" s="32" t="str">
        <x:v>809</x:v>
      </x:c>
      <x:c r="H72" s="32" t="str">
        <x:v>809</x:v>
      </x:c>
      <x:c r="I72" s="22" t="str">
        <x:v>公用设施用地</x:v>
      </x:c>
      <x:c r="J72" s="22" t="str">
        <x:v>其他建设</x:v>
      </x:c>
      <x:c r="K72" s="32" t="str">
        <x:v>201</x:v>
      </x:c>
      <x:c r="L72" s="22" t="str">
        <x:v>城市范围</x:v>
      </x:c>
      <x:c r="M72" s="33" t="n">
        <x:v>649193.41</x:v>
      </x:c>
      <x:c r="N72" s="33" t="n">
        <x:v>64.919341</x:v>
      </x:c>
      <x:c r="O72" s="22" t="str">
        <x:v>公顷</x:v>
      </x:c>
      <x:c r="P72" s="22" t="str">
        <x:v>未提供（单期横截面）</x:v>
      </x:c>
      <x:c r="Q72" s="23" t="n">
        <x:v>1380</x:v>
      </x:c>
    </x:row>
    <x:row r="73">
      <x:c r="A73" s="30" t="n">
        <x:v>350200</x:v>
      </x:c>
      <x:c r="B73" s="22" t="str">
        <x:v>厦门市</x:v>
      </x:c>
      <x:c r="C73" s="31" t="n">
        <x:v>350205</x:v>
      </x:c>
      <x:c r="D73" s="22" t="str">
        <x:v>海沧区</x:v>
      </x:c>
      <x:c r="E73" s="22" t="str">
        <x:v>建设用地</x:v>
      </x:c>
      <x:c r="F73" s="22" t="str">
        <x:v>绿地与广场用地</x:v>
      </x:c>
      <x:c r="G73" s="32" t="str">
        <x:v>810</x:v>
      </x:c>
      <x:c r="H73" s="32" t="str">
        <x:v>810</x:v>
      </x:c>
      <x:c r="I73" s="22" t="str">
        <x:v>公园与绿地</x:v>
      </x:c>
      <x:c r="J73" s="22" t="str">
        <x:v>公共空间</x:v>
      </x:c>
      <x:c r="K73" s="32" t="str">
        <x:v>201</x:v>
      </x:c>
      <x:c r="L73" s="22" t="str">
        <x:v>城市范围</x:v>
      </x:c>
      <x:c r="M73" s="33" t="n">
        <x:v>1577435.3099999998</x:v>
      </x:c>
      <x:c r="N73" s="33" t="n">
        <x:v>157.743531</x:v>
      </x:c>
      <x:c r="O73" s="22" t="str">
        <x:v>公顷</x:v>
      </x:c>
      <x:c r="P73" s="22" t="str">
        <x:v>未提供（单期横截面）</x:v>
      </x:c>
      <x:c r="Q73" s="23" t="n">
        <x:v>1381</x:v>
      </x:c>
    </x:row>
    <x:row r="74">
      <x:c r="A74" s="30" t="n">
        <x:v>350200</x:v>
      </x:c>
      <x:c r="B74" s="22" t="str">
        <x:v>厦门市</x:v>
      </x:c>
      <x:c r="C74" s="31" t="n">
        <x:v>350205</x:v>
      </x:c>
      <x:c r="D74" s="22" t="str">
        <x:v>海沧区</x:v>
      </x:c>
      <x:c r="E74" s="22" t="str">
        <x:v>建设用地</x:v>
      </x:c>
      <x:c r="F74" s="22" t="str">
        <x:v>绿地与广场用地</x:v>
      </x:c>
      <x:c r="G74" s="32" t="str">
        <x:v>0810A</x:v>
      </x:c>
      <x:c r="H74" s="32" t="str">
        <x:v>0810</x:v>
      </x:c>
      <x:c r="I74" s="22" t="str">
        <x:v>广场用地</x:v>
      </x:c>
      <x:c r="J74" s="22" t="str">
        <x:v>公共空间</x:v>
      </x:c>
      <x:c r="K74" s="32" t="str">
        <x:v>201</x:v>
      </x:c>
      <x:c r="L74" s="22" t="str">
        <x:v>城市范围</x:v>
      </x:c>
      <x:c r="M74" s="33" t="n">
        <x:v>30126.140000000003</x:v>
      </x:c>
      <x:c r="N74" s="33" t="n">
        <x:v>3.012614</x:v>
      </x:c>
      <x:c r="O74" s="22" t="str">
        <x:v>公顷</x:v>
      </x:c>
      <x:c r="P74" s="22" t="str">
        <x:v>未提供（单期横截面）</x:v>
      </x:c>
      <x:c r="Q74" s="23" t="n">
        <x:v>1382</x:v>
      </x:c>
    </x:row>
    <x:row r="75">
      <x:c r="A75" s="30" t="n">
        <x:v>350200</x:v>
      </x:c>
      <x:c r="B75" s="22" t="str">
        <x:v>厦门市</x:v>
      </x:c>
      <x:c r="C75" s="31" t="n">
        <x:v>350205</x:v>
      </x:c>
      <x:c r="D75" s="22" t="str">
        <x:v>海沧区</x:v>
      </x:c>
      <x:c r="E75" s="22" t="str">
        <x:v>建设用地</x:v>
      </x:c>
      <x:c r="F75" s="22" t="str">
        <x:v>公共管理与公共服务用地</x:v>
      </x:c>
      <x:c r="G75" s="32" t="str">
        <x:v>08H1</x:v>
      </x:c>
      <x:c r="H75" s="32" t="str">
        <x:v>08H1</x:v>
      </x:c>
      <x:c r="I75" s="22" t="str">
        <x:v>机关团体新闻出版用地</x:v>
      </x:c>
      <x:c r="J75" s="22" t="str">
        <x:v>公共服务</x:v>
      </x:c>
      <x:c r="K75" s="32" t="str">
        <x:v>201</x:v>
      </x:c>
      <x:c r="L75" s="22" t="str">
        <x:v>城市范围</x:v>
      </x:c>
      <x:c r="M75" s="33" t="n">
        <x:v>636989.2799999997</x:v>
      </x:c>
      <x:c r="N75" s="33" t="n">
        <x:v>63.69892799999997</x:v>
      </x:c>
      <x:c r="O75" s="22" t="str">
        <x:v>公顷</x:v>
      </x:c>
      <x:c r="P75" s="22" t="str">
        <x:v>未提供（单期横截面）</x:v>
      </x:c>
      <x:c r="Q75" s="23" t="n">
        <x:v>1383</x:v>
      </x:c>
    </x:row>
    <x:row r="76">
      <x:c r="A76" s="30" t="n">
        <x:v>350200</x:v>
      </x:c>
      <x:c r="B76" s="22" t="str">
        <x:v>厦门市</x:v>
      </x:c>
      <x:c r="C76" s="31" t="n">
        <x:v>350205</x:v>
      </x:c>
      <x:c r="D76" s="22" t="str">
        <x:v>海沧区</x:v>
      </x:c>
      <x:c r="E76" s="22" t="str">
        <x:v>建设用地</x:v>
      </x:c>
      <x:c r="F76" s="22" t="str">
        <x:v>公共管理与公共服务用地</x:v>
      </x:c>
      <x:c r="G76" s="32" t="str">
        <x:v>08H2</x:v>
      </x:c>
      <x:c r="H76" s="32" t="str">
        <x:v>08H2</x:v>
      </x:c>
      <x:c r="I76" s="22" t="str">
        <x:v>科教文卫用地</x:v>
      </x:c>
      <x:c r="J76" s="22" t="str">
        <x:v>公共服务</x:v>
      </x:c>
      <x:c r="K76" s="32" t="str">
        <x:v>201</x:v>
      </x:c>
      <x:c r="L76" s="22" t="str">
        <x:v>城市范围</x:v>
      </x:c>
      <x:c r="M76" s="33" t="n">
        <x:v>2297894.7100000004</x:v>
      </x:c>
      <x:c r="N76" s="33" t="n">
        <x:v>229.78947100000005</x:v>
      </x:c>
      <x:c r="O76" s="22" t="str">
        <x:v>公顷</x:v>
      </x:c>
      <x:c r="P76" s="22" t="str">
        <x:v>未提供（单期横截面）</x:v>
      </x:c>
      <x:c r="Q76" s="23" t="n">
        <x:v>1384</x:v>
      </x:c>
    </x:row>
    <x:row r="77">
      <x:c r="A77" s="30" t="n">
        <x:v>350200</x:v>
      </x:c>
      <x:c r="B77" s="22" t="str">
        <x:v>厦门市</x:v>
      </x:c>
      <x:c r="C77" s="31" t="n">
        <x:v>350205</x:v>
      </x:c>
      <x:c r="D77" s="22" t="str">
        <x:v>海沧区</x:v>
      </x:c>
      <x:c r="E77" s="22" t="str">
        <x:v>建设用地</x:v>
      </x:c>
      <x:c r="F77" s="22" t="str">
        <x:v>特殊用地</x:v>
      </x:c>
      <x:c r="G77" s="32" t="str">
        <x:v>9</x:v>
      </x:c>
      <x:c r="H77" s="32" t="str">
        <x:v>9</x:v>
      </x:c>
      <x:c r="I77" s="22" t="str">
        <x:v>特殊用地</x:v>
      </x:c>
      <x:c r="J77" s="22" t="str">
        <x:v>其他建设</x:v>
      </x:c>
      <x:c r="K77" s="32" t="str">
        <x:v>201</x:v>
      </x:c>
      <x:c r="L77" s="22" t="str">
        <x:v>城市范围</x:v>
      </x:c>
      <x:c r="M77" s="33" t="n">
        <x:v>422420.4</x:v>
      </x:c>
      <x:c r="N77" s="33" t="n">
        <x:v>42.24204</x:v>
      </x:c>
      <x:c r="O77" s="22" t="str">
        <x:v>公顷</x:v>
      </x:c>
      <x:c r="P77" s="22" t="str">
        <x:v>未提供（单期横截面）</x:v>
      </x:c>
      <x:c r="Q77" s="23" t="n">
        <x:v>1385</x:v>
      </x:c>
    </x:row>
    <x:row r="78">
      <x:c r="A78" s="30" t="n">
        <x:v>350200</x:v>
      </x:c>
      <x:c r="B78" s="22" t="str">
        <x:v>厦门市</x:v>
      </x:c>
      <x:c r="C78" s="31" t="n">
        <x:v>350205</x:v>
      </x:c>
      <x:c r="D78" s="22" t="str">
        <x:v>海沧区</x:v>
      </x:c>
      <x:c r="E78" s="22" t="str">
        <x:v>建设用地</x:v>
      </x:c>
      <x:c r="F78" s="22" t="str">
        <x:v>交通运输用地</x:v>
      </x:c>
      <x:c r="G78" s="32" t="str">
        <x:v>1002</x:v>
      </x:c>
      <x:c r="H78" s="32" t="str">
        <x:v>1002</x:v>
      </x:c>
      <x:c r="I78" s="22" t="str">
        <x:v>轨道交通用地</x:v>
      </x:c>
      <x:c r="J78" s="22" t="str">
        <x:v>交通门户</x:v>
      </x:c>
      <x:c r="K78" s="32" t="str">
        <x:v>201</x:v>
      </x:c>
      <x:c r="L78" s="22" t="str">
        <x:v>城市范围</x:v>
      </x:c>
      <x:c r="M78" s="33" t="n">
        <x:v>33744.21</x:v>
      </x:c>
      <x:c r="N78" s="33" t="n">
        <x:v>3.374421</x:v>
      </x:c>
      <x:c r="O78" s="22" t="str">
        <x:v>公顷</x:v>
      </x:c>
      <x:c r="P78" s="22" t="str">
        <x:v>未提供（单期横截面）</x:v>
      </x:c>
      <x:c r="Q78" s="23" t="n">
        <x:v>1386</x:v>
      </x:c>
    </x:row>
    <x:row r="79">
      <x:c r="A79" s="30" t="n">
        <x:v>350200</x:v>
      </x:c>
      <x:c r="B79" s="22" t="str">
        <x:v>厦门市</x:v>
      </x:c>
      <x:c r="C79" s="31" t="n">
        <x:v>350205</x:v>
      </x:c>
      <x:c r="D79" s="22" t="str">
        <x:v>海沧区</x:v>
      </x:c>
      <x:c r="E79" s="22" t="str">
        <x:v>建设用地</x:v>
      </x:c>
      <x:c r="F79" s="22" t="str">
        <x:v>交通运输用地</x:v>
      </x:c>
      <x:c r="G79" s="32" t="str">
        <x:v>1003</x:v>
      </x:c>
      <x:c r="H79" s="32" t="str">
        <x:v>1003</x:v>
      </x:c>
      <x:c r="I79" s="22" t="str">
        <x:v>公路用地</x:v>
      </x:c>
      <x:c r="J79" s="22" t="str">
        <x:v>交通门户</x:v>
      </x:c>
      <x:c r="K79" s="32" t="str">
        <x:v>201</x:v>
      </x:c>
      <x:c r="L79" s="22" t="str">
        <x:v>城市范围</x:v>
      </x:c>
      <x:c r="M79" s="33" t="n">
        <x:v>14909.409999999998</x:v>
      </x:c>
      <x:c r="N79" s="33" t="n">
        <x:v>1.4909409999999998</x:v>
      </x:c>
      <x:c r="O79" s="22" t="str">
        <x:v>公顷</x:v>
      </x:c>
      <x:c r="P79" s="22" t="str">
        <x:v>未提供（单期横截面）</x:v>
      </x:c>
      <x:c r="Q79" s="23" t="n">
        <x:v>1387</x:v>
      </x:c>
    </x:row>
    <x:row r="80">
      <x:c r="A80" s="30" t="n">
        <x:v>350200</x:v>
      </x:c>
      <x:c r="B80" s="22" t="str">
        <x:v>厦门市</x:v>
      </x:c>
      <x:c r="C80" s="31" t="n">
        <x:v>350205</x:v>
      </x:c>
      <x:c r="D80" s="22" t="str">
        <x:v>海沧区</x:v>
      </x:c>
      <x:c r="E80" s="22" t="str">
        <x:v>建设用地</x:v>
      </x:c>
      <x:c r="F80" s="22" t="str">
        <x:v>交通运输用地</x:v>
      </x:c>
      <x:c r="G80" s="32" t="str">
        <x:v>1004</x:v>
      </x:c>
      <x:c r="H80" s="32" t="str">
        <x:v>1004</x:v>
      </x:c>
      <x:c r="I80" s="22" t="str">
        <x:v>城镇村道路用地</x:v>
      </x:c>
      <x:c r="J80" s="22" t="str">
        <x:v>交通门户</x:v>
      </x:c>
      <x:c r="K80" s="32" t="str">
        <x:v>201</x:v>
      </x:c>
      <x:c r="L80" s="22" t="str">
        <x:v>城市范围</x:v>
      </x:c>
      <x:c r="M80" s="33" t="n">
        <x:v>5059843.279999998</x:v>
      </x:c>
      <x:c r="N80" s="33" t="n">
        <x:v>505.98432799999983</x:v>
      </x:c>
      <x:c r="O80" s="22" t="str">
        <x:v>公顷</x:v>
      </x:c>
      <x:c r="P80" s="22" t="str">
        <x:v>未提供（单期横截面）</x:v>
      </x:c>
      <x:c r="Q80" s="23" t="n">
        <x:v>1388</x:v>
      </x:c>
    </x:row>
    <x:row r="81">
      <x:c r="A81" s="30" t="n">
        <x:v>350200</x:v>
      </x:c>
      <x:c r="B81" s="22" t="str">
        <x:v>厦门市</x:v>
      </x:c>
      <x:c r="C81" s="31" t="n">
        <x:v>350205</x:v>
      </x:c>
      <x:c r="D81" s="22" t="str">
        <x:v>海沧区</x:v>
      </x:c>
      <x:c r="E81" s="22" t="str">
        <x:v>建设用地</x:v>
      </x:c>
      <x:c r="F81" s="22" t="str">
        <x:v>交通运输用地</x:v>
      </x:c>
      <x:c r="G81" s="32" t="str">
        <x:v>1005</x:v>
      </x:c>
      <x:c r="H81" s="32" t="str">
        <x:v>1005</x:v>
      </x:c>
      <x:c r="I81" s="22" t="str">
        <x:v>交通服务场站用地</x:v>
      </x:c>
      <x:c r="J81" s="22" t="str">
        <x:v>交通门户</x:v>
      </x:c>
      <x:c r="K81" s="32" t="str">
        <x:v>201</x:v>
      </x:c>
      <x:c r="L81" s="22" t="str">
        <x:v>城市范围</x:v>
      </x:c>
      <x:c r="M81" s="33" t="n">
        <x:v>1399390.63</x:v>
      </x:c>
      <x:c r="N81" s="33" t="n">
        <x:v>139.93906299999998</x:v>
      </x:c>
      <x:c r="O81" s="22" t="str">
        <x:v>公顷</x:v>
      </x:c>
      <x:c r="P81" s="22" t="str">
        <x:v>未提供（单期横截面）</x:v>
      </x:c>
      <x:c r="Q81" s="23" t="n">
        <x:v>1389</x:v>
      </x:c>
    </x:row>
    <x:row r="82">
      <x:c r="A82" s="30" t="n">
        <x:v>350200</x:v>
      </x:c>
      <x:c r="B82" s="22" t="str">
        <x:v>厦门市</x:v>
      </x:c>
      <x:c r="C82" s="31" t="n">
        <x:v>350205</x:v>
      </x:c>
      <x:c r="D82" s="22" t="str">
        <x:v>海沧区</x:v>
      </x:c>
      <x:c r="E82" s="22" t="str">
        <x:v>建设用地</x:v>
      </x:c>
      <x:c r="F82" s="22" t="str">
        <x:v>交通运输用地</x:v>
      </x:c>
      <x:c r="G82" s="32" t="str">
        <x:v>1008</x:v>
      </x:c>
      <x:c r="H82" s="32" t="str">
        <x:v>1008</x:v>
      </x:c>
      <x:c r="I82" s="22" t="str">
        <x:v>港口码头用地</x:v>
      </x:c>
      <x:c r="J82" s="22" t="str">
        <x:v>交通门户</x:v>
      </x:c>
      <x:c r="K82" s="32" t="str">
        <x:v>201</x:v>
      </x:c>
      <x:c r="L82" s="22" t="str">
        <x:v>城市范围</x:v>
      </x:c>
      <x:c r="M82" s="33" t="n">
        <x:v>4699212.32</x:v>
      </x:c>
      <x:c r="N82" s="33" t="n">
        <x:v>469.92123200000003</x:v>
      </x:c>
      <x:c r="O82" s="22" t="str">
        <x:v>公顷</x:v>
      </x:c>
      <x:c r="P82" s="22" t="str">
        <x:v>未提供（单期横截面）</x:v>
      </x:c>
      <x:c r="Q82" s="23" t="n">
        <x:v>1390</x:v>
      </x:c>
    </x:row>
    <x:row r="83">
      <x:c r="A83" s="30" t="n">
        <x:v>350200</x:v>
      </x:c>
      <x:c r="B83" s="22" t="str">
        <x:v>厦门市</x:v>
      </x:c>
      <x:c r="C83" s="31" t="n">
        <x:v>350205</x:v>
      </x:c>
      <x:c r="D83" s="22" t="str">
        <x:v>海沧区</x:v>
      </x:c>
      <x:c r="E83" s="22" t="str">
        <x:v>建设用地</x:v>
      </x:c>
      <x:c r="F83" s="22" t="str">
        <x:v>交通运输用地</x:v>
      </x:c>
      <x:c r="G83" s="32" t="str">
        <x:v>1009</x:v>
      </x:c>
      <x:c r="H83" s="32" t="str">
        <x:v>1009</x:v>
      </x:c>
      <x:c r="I83" s="22" t="str">
        <x:v>管道运输用地</x:v>
      </x:c>
      <x:c r="J83" s="22" t="str">
        <x:v>交通门户</x:v>
      </x:c>
      <x:c r="K83" s="32" t="str">
        <x:v>201</x:v>
      </x:c>
      <x:c r="L83" s="22" t="str">
        <x:v>城市范围</x:v>
      </x:c>
      <x:c r="M83" s="33" t="n">
        <x:v>19850.79</x:v>
      </x:c>
      <x:c r="N83" s="33" t="n">
        <x:v>1.985079</x:v>
      </x:c>
      <x:c r="O83" s="22" t="str">
        <x:v>公顷</x:v>
      </x:c>
      <x:c r="P83" s="22" t="str">
        <x:v>未提供（单期横截面）</x:v>
      </x:c>
      <x:c r="Q83" s="23" t="n">
        <x:v>1391</x:v>
      </x:c>
    </x:row>
    <x:row r="84">
      <x:c r="A84" s="30" t="n">
        <x:v>350200</x:v>
      </x:c>
      <x:c r="B84" s="22" t="str">
        <x:v>厦门市</x:v>
      </x:c>
      <x:c r="C84" s="31" t="n">
        <x:v>350205</x:v>
      </x:c>
      <x:c r="D84" s="22" t="str">
        <x:v>海沧区</x:v>
      </x:c>
      <x:c r="E84" s="22" t="str">
        <x:v>建设用地</x:v>
      </x:c>
      <x:c r="F84" s="22" t="str">
        <x:v>水域及水利设施</x:v>
      </x:c>
      <x:c r="G84" s="32" t="str">
        <x:v>1109</x:v>
      </x:c>
      <x:c r="H84" s="32" t="str">
        <x:v>1109</x:v>
      </x:c>
      <x:c r="I84" s="22" t="str">
        <x:v>水工建筑用地</x:v>
      </x:c>
      <x:c r="J84" s="22" t="str">
        <x:v>其他建设</x:v>
      </x:c>
      <x:c r="K84" s="32" t="str">
        <x:v>201</x:v>
      </x:c>
      <x:c r="L84" s="22" t="str">
        <x:v>城市范围</x:v>
      </x:c>
      <x:c r="M84" s="33" t="n">
        <x:v>308.08</x:v>
      </x:c>
      <x:c r="N84" s="33" t="n">
        <x:v>0.030808</x:v>
      </x:c>
      <x:c r="O84" s="22" t="str">
        <x:v>公顷</x:v>
      </x:c>
      <x:c r="P84" s="22" t="str">
        <x:v>未提供（单期横截面）</x:v>
      </x:c>
      <x:c r="Q84" s="23" t="n">
        <x:v>1392</x:v>
      </x:c>
    </x:row>
    <x:row r="85">
      <x:c r="A85" s="30" t="n">
        <x:v>350200</x:v>
      </x:c>
      <x:c r="B85" s="22" t="str">
        <x:v>厦门市</x:v>
      </x:c>
      <x:c r="C85" s="31" t="n">
        <x:v>350205</x:v>
      </x:c>
      <x:c r="D85" s="22" t="str">
        <x:v>海沧区</x:v>
      </x:c>
      <x:c r="E85" s="22" t="str">
        <x:v>建设用地</x:v>
      </x:c>
      <x:c r="F85" s="22" t="str">
        <x:v>其他建设用地</x:v>
      </x:c>
      <x:c r="G85" s="32" t="str">
        <x:v>1201</x:v>
      </x:c>
      <x:c r="H85" s="32" t="str">
        <x:v>1201</x:v>
      </x:c>
      <x:c r="I85" s="22" t="str">
        <x:v>空闲地</x:v>
      </x:c>
      <x:c r="J85" s="22" t="str">
        <x:v>其他建设</x:v>
      </x:c>
      <x:c r="K85" s="32" t="str">
        <x:v>201</x:v>
      </x:c>
      <x:c r="L85" s="22" t="str">
        <x:v>城市范围</x:v>
      </x:c>
      <x:c r="M85" s="33" t="n">
        <x:v>232283.98</x:v>
      </x:c>
      <x:c r="N85" s="33" t="n">
        <x:v>23.228398000000002</x:v>
      </x:c>
      <x:c r="O85" s="22" t="str">
        <x:v>公顷</x:v>
      </x:c>
      <x:c r="P85" s="22" t="str">
        <x:v>未提供（单期横截面）</x:v>
      </x:c>
      <x:c r="Q85" s="23" t="n">
        <x:v>1393</x:v>
      </x:c>
    </x:row>
    <x:row r="86">
      <x:c r="A86" s="30" t="n">
        <x:v>350200</x:v>
      </x:c>
      <x:c r="B86" s="22" t="str">
        <x:v>厦门市</x:v>
      </x:c>
      <x:c r="C86" s="31" t="n">
        <x:v>350205</x:v>
      </x:c>
      <x:c r="D86" s="22" t="str">
        <x:v>海沧区</x:v>
      </x:c>
      <x:c r="E86" s="22" t="str">
        <x:v>建设用地</x:v>
      </x:c>
      <x:c r="F86" s="22" t="str">
        <x:v>工矿仓储用地</x:v>
      </x:c>
      <x:c r="G86" s="32" t="str">
        <x:v>601</x:v>
      </x:c>
      <x:c r="H86" s="32" t="str">
        <x:v>601</x:v>
      </x:c>
      <x:c r="I86" s="22" t="str">
        <x:v>工业用地</x:v>
      </x:c>
      <x:c r="J86" s="22" t="str">
        <x:v>产业功能</x:v>
      </x:c>
      <x:c r="K86" s="32" t="str">
        <x:v>201A</x:v>
      </x:c>
      <x:c r="L86" s="22" t="str">
        <x:v>城市独立工业用地</x:v>
      </x:c>
      <x:c r="M86" s="33" t="n">
        <x:v>9123.119999999999</x:v>
      </x:c>
      <x:c r="N86" s="33" t="n">
        <x:v>0.9123119999999999</x:v>
      </x:c>
      <x:c r="O86" s="22" t="str">
        <x:v>公顷</x:v>
      </x:c>
      <x:c r="P86" s="22" t="str">
        <x:v>未提供（单期横截面）</x:v>
      </x:c>
      <x:c r="Q86" s="23" t="n">
        <x:v>1394</x:v>
      </x:c>
    </x:row>
    <x:row r="87">
      <x:c r="A87" s="30" t="n">
        <x:v>350200</x:v>
      </x:c>
      <x:c r="B87" s="22" t="str">
        <x:v>厦门市</x:v>
      </x:c>
      <x:c r="C87" s="31" t="n">
        <x:v>350205</x:v>
      </x:c>
      <x:c r="D87" s="22" t="str">
        <x:v>海沧区</x:v>
      </x:c>
      <x:c r="E87" s="22" t="str">
        <x:v>建设用地</x:v>
      </x:c>
      <x:c r="F87" s="22" t="str">
        <x:v>工矿仓储用地</x:v>
      </x:c>
      <x:c r="G87" s="32" t="str">
        <x:v>508</x:v>
      </x:c>
      <x:c r="H87" s="32" t="str">
        <x:v>508</x:v>
      </x:c>
      <x:c r="I87" s="22" t="str">
        <x:v>物流仓储用地</x:v>
      </x:c>
      <x:c r="J87" s="22" t="str">
        <x:v>产业功能</x:v>
      </x:c>
      <x:c r="K87" s="32" t="str">
        <x:v>202</x:v>
      </x:c>
      <x:c r="L87" s="22" t="str">
        <x:v>建制镇范围</x:v>
      </x:c>
      <x:c r="M87" s="33" t="n">
        <x:v>493068.67999999993</x:v>
      </x:c>
      <x:c r="N87" s="33" t="n">
        <x:v>49.306867999999994</x:v>
      </x:c>
      <x:c r="O87" s="22" t="str">
        <x:v>公顷</x:v>
      </x:c>
      <x:c r="P87" s="22" t="str">
        <x:v>未提供（单期横截面）</x:v>
      </x:c>
      <x:c r="Q87" s="23" t="n">
        <x:v>1395</x:v>
      </x:c>
    </x:row>
    <x:row r="88">
      <x:c r="A88" s="30" t="n">
        <x:v>350200</x:v>
      </x:c>
      <x:c r="B88" s="22" t="str">
        <x:v>厦门市</x:v>
      </x:c>
      <x:c r="C88" s="31" t="n">
        <x:v>350205</x:v>
      </x:c>
      <x:c r="D88" s="22" t="str">
        <x:v>海沧区</x:v>
      </x:c>
      <x:c r="E88" s="22" t="str">
        <x:v>建设用地</x:v>
      </x:c>
      <x:c r="F88" s="22" t="str">
        <x:v>商业服务业用地</x:v>
      </x:c>
      <x:c r="G88" s="32" t="str">
        <x:v>05H1</x:v>
      </x:c>
      <x:c r="H88" s="32" t="str">
        <x:v>05H1</x:v>
      </x:c>
      <x:c r="I88" s="22" t="str">
        <x:v>商业服务业设施用地</x:v>
      </x:c>
      <x:c r="J88" s="22" t="str">
        <x:v>商业服务</x:v>
      </x:c>
      <x:c r="K88" s="32" t="str">
        <x:v>202</x:v>
      </x:c>
      <x:c r="L88" s="22" t="str">
        <x:v>建制镇范围</x:v>
      </x:c>
      <x:c r="M88" s="33" t="n">
        <x:v>333682.87999999995</x:v>
      </x:c>
      <x:c r="N88" s="33" t="n">
        <x:v>33.36828799999999</x:v>
      </x:c>
      <x:c r="O88" s="22" t="str">
        <x:v>公顷</x:v>
      </x:c>
      <x:c r="P88" s="22" t="str">
        <x:v>未提供（单期横截面）</x:v>
      </x:c>
      <x:c r="Q88" s="23" t="n">
        <x:v>1396</x:v>
      </x:c>
    </x:row>
    <x:row r="89">
      <x:c r="A89" s="30" t="n">
        <x:v>350200</x:v>
      </x:c>
      <x:c r="B89" s="22" t="str">
        <x:v>厦门市</x:v>
      </x:c>
      <x:c r="C89" s="31" t="n">
        <x:v>350205</x:v>
      </x:c>
      <x:c r="D89" s="22" t="str">
        <x:v>海沧区</x:v>
      </x:c>
      <x:c r="E89" s="22" t="str">
        <x:v>建设用地</x:v>
      </x:c>
      <x:c r="F89" s="22" t="str">
        <x:v>工矿仓储用地</x:v>
      </x:c>
      <x:c r="G89" s="32" t="str">
        <x:v>601</x:v>
      </x:c>
      <x:c r="H89" s="32" t="str">
        <x:v>601</x:v>
      </x:c>
      <x:c r="I89" s="22" t="str">
        <x:v>工业用地</x:v>
      </x:c>
      <x:c r="J89" s="22" t="str">
        <x:v>产业功能</x:v>
      </x:c>
      <x:c r="K89" s="32" t="str">
        <x:v>202</x:v>
      </x:c>
      <x:c r="L89" s="22" t="str">
        <x:v>建制镇范围</x:v>
      </x:c>
      <x:c r="M89" s="33" t="n">
        <x:v>2551609.660000001</x:v>
      </x:c>
      <x:c r="N89" s="33" t="n">
        <x:v>255.16096600000012</x:v>
      </x:c>
      <x:c r="O89" s="22" t="str">
        <x:v>公顷</x:v>
      </x:c>
      <x:c r="P89" s="22" t="str">
        <x:v>未提供（单期横截面）</x:v>
      </x:c>
      <x:c r="Q89" s="23" t="n">
        <x:v>1397</x:v>
      </x:c>
    </x:row>
    <x:row r="90">
      <x:c r="A90" s="30" t="n">
        <x:v>350200</x:v>
      </x:c>
      <x:c r="B90" s="22" t="str">
        <x:v>厦门市</x:v>
      </x:c>
      <x:c r="C90" s="31" t="n">
        <x:v>350205</x:v>
      </x:c>
      <x:c r="D90" s="22" t="str">
        <x:v>海沧区</x:v>
      </x:c>
      <x:c r="E90" s="22" t="str">
        <x:v>建设用地</x:v>
      </x:c>
      <x:c r="F90" s="22" t="str">
        <x:v>工矿仓储用地</x:v>
      </x:c>
      <x:c r="G90" s="32" t="str">
        <x:v>602</x:v>
      </x:c>
      <x:c r="H90" s="32" t="str">
        <x:v>602</x:v>
      </x:c>
      <x:c r="I90" s="22" t="str">
        <x:v>采矿用地</x:v>
      </x:c>
      <x:c r="J90" s="22" t="str">
        <x:v>产业功能</x:v>
      </x:c>
      <x:c r="K90" s="32" t="str">
        <x:v>202</x:v>
      </x:c>
      <x:c r="L90" s="22" t="str">
        <x:v>建制镇范围</x:v>
      </x:c>
      <x:c r="M90" s="33" t="n">
        <x:v>1383.42</x:v>
      </x:c>
      <x:c r="N90" s="33" t="n">
        <x:v>0.13834200000000002</x:v>
      </x:c>
      <x:c r="O90" s="22" t="str">
        <x:v>公顷</x:v>
      </x:c>
      <x:c r="P90" s="22" t="str">
        <x:v>未提供（单期横截面）</x:v>
      </x:c>
      <x:c r="Q90" s="23" t="n">
        <x:v>1398</x:v>
      </x:c>
    </x:row>
    <x:row r="91">
      <x:c r="A91" s="30" t="n">
        <x:v>350200</x:v>
      </x:c>
      <x:c r="B91" s="22" t="str">
        <x:v>厦门市</x:v>
      </x:c>
      <x:c r="C91" s="31" t="n">
        <x:v>350205</x:v>
      </x:c>
      <x:c r="D91" s="22" t="str">
        <x:v>海沧区</x:v>
      </x:c>
      <x:c r="E91" s="22" t="str">
        <x:v>建设用地</x:v>
      </x:c>
      <x:c r="F91" s="22" t="str">
        <x:v>居住用地</x:v>
      </x:c>
      <x:c r="G91" s="32" t="str">
        <x:v>701</x:v>
      </x:c>
      <x:c r="H91" s="32" t="str">
        <x:v>701</x:v>
      </x:c>
      <x:c r="I91" s="22" t="str">
        <x:v>城镇住宅用地</x:v>
      </x:c>
      <x:c r="J91" s="22" t="str">
        <x:v>居住功能</x:v>
      </x:c>
      <x:c r="K91" s="32" t="str">
        <x:v>202</x:v>
      </x:c>
      <x:c r="L91" s="22" t="str">
        <x:v>建制镇范围</x:v>
      </x:c>
      <x:c r="M91" s="33" t="n">
        <x:v>428818.42000000004</x:v>
      </x:c>
      <x:c r="N91" s="33" t="n">
        <x:v>42.881842000000006</x:v>
      </x:c>
      <x:c r="O91" s="22" t="str">
        <x:v>公顷</x:v>
      </x:c>
      <x:c r="P91" s="22" t="str">
        <x:v>未提供（单期横截面）</x:v>
      </x:c>
      <x:c r="Q91" s="23" t="n">
        <x:v>1399</x:v>
      </x:c>
    </x:row>
    <x:row r="92">
      <x:c r="A92" s="30" t="n">
        <x:v>350200</x:v>
      </x:c>
      <x:c r="B92" s="22" t="str">
        <x:v>厦门市</x:v>
      </x:c>
      <x:c r="C92" s="31" t="n">
        <x:v>350205</x:v>
      </x:c>
      <x:c r="D92" s="22" t="str">
        <x:v>海沧区</x:v>
      </x:c>
      <x:c r="E92" s="22" t="str">
        <x:v>建设用地</x:v>
      </x:c>
      <x:c r="F92" s="22" t="str">
        <x:v>居住用地</x:v>
      </x:c>
      <x:c r="G92" s="32" t="str">
        <x:v>702</x:v>
      </x:c>
      <x:c r="H92" s="32" t="str">
        <x:v>702</x:v>
      </x:c>
      <x:c r="I92" s="22" t="str">
        <x:v>农村宅基地</x:v>
      </x:c>
      <x:c r="J92" s="22" t="str">
        <x:v>居住功能</x:v>
      </x:c>
      <x:c r="K92" s="32" t="str">
        <x:v>202</x:v>
      </x:c>
      <x:c r="L92" s="22" t="str">
        <x:v>建制镇范围</x:v>
      </x:c>
      <x:c r="M92" s="33" t="n">
        <x:v>1321455.2599999995</x:v>
      </x:c>
      <x:c r="N92" s="33" t="n">
        <x:v>132.14552599999996</x:v>
      </x:c>
      <x:c r="O92" s="22" t="str">
        <x:v>公顷</x:v>
      </x:c>
      <x:c r="P92" s="22" t="str">
        <x:v>未提供（单期横截面）</x:v>
      </x:c>
      <x:c r="Q92" s="23" t="n">
        <x:v>1400</x:v>
      </x:c>
    </x:row>
    <x:row r="93">
      <x:c r="A93" s="30" t="n">
        <x:v>350200</x:v>
      </x:c>
      <x:c r="B93" s="22" t="str">
        <x:v>厦门市</x:v>
      </x:c>
      <x:c r="C93" s="31" t="n">
        <x:v>350205</x:v>
      </x:c>
      <x:c r="D93" s="22" t="str">
        <x:v>海沧区</x:v>
      </x:c>
      <x:c r="E93" s="22" t="str">
        <x:v>建设用地</x:v>
      </x:c>
      <x:c r="F93" s="22" t="str">
        <x:v>公用设施用地</x:v>
      </x:c>
      <x:c r="G93" s="32" t="str">
        <x:v>809</x:v>
      </x:c>
      <x:c r="H93" s="32" t="str">
        <x:v>809</x:v>
      </x:c>
      <x:c r="I93" s="22" t="str">
        <x:v>公用设施用地</x:v>
      </x:c>
      <x:c r="J93" s="22" t="str">
        <x:v>其他建设</x:v>
      </x:c>
      <x:c r="K93" s="32" t="str">
        <x:v>202</x:v>
      </x:c>
      <x:c r="L93" s="22" t="str">
        <x:v>建制镇范围</x:v>
      </x:c>
      <x:c r="M93" s="33" t="n">
        <x:v>87608.70999999999</x:v>
      </x:c>
      <x:c r="N93" s="33" t="n">
        <x:v>8.760871</x:v>
      </x:c>
      <x:c r="O93" s="22" t="str">
        <x:v>公顷</x:v>
      </x:c>
      <x:c r="P93" s="22" t="str">
        <x:v>未提供（单期横截面）</x:v>
      </x:c>
      <x:c r="Q93" s="23" t="n">
        <x:v>1401</x:v>
      </x:c>
    </x:row>
    <x:row r="94">
      <x:c r="A94" s="30" t="n">
        <x:v>350200</x:v>
      </x:c>
      <x:c r="B94" s="22" t="str">
        <x:v>厦门市</x:v>
      </x:c>
      <x:c r="C94" s="31" t="n">
        <x:v>350205</x:v>
      </x:c>
      <x:c r="D94" s="22" t="str">
        <x:v>海沧区</x:v>
      </x:c>
      <x:c r="E94" s="22" t="str">
        <x:v>建设用地</x:v>
      </x:c>
      <x:c r="F94" s="22" t="str">
        <x:v>绿地与广场用地</x:v>
      </x:c>
      <x:c r="G94" s="32" t="str">
        <x:v>810</x:v>
      </x:c>
      <x:c r="H94" s="32" t="str">
        <x:v>810</x:v>
      </x:c>
      <x:c r="I94" s="22" t="str">
        <x:v>公园与绿地</x:v>
      </x:c>
      <x:c r="J94" s="22" t="str">
        <x:v>公共空间</x:v>
      </x:c>
      <x:c r="K94" s="32" t="str">
        <x:v>202</x:v>
      </x:c>
      <x:c r="L94" s="22" t="str">
        <x:v>建制镇范围</x:v>
      </x:c>
      <x:c r="M94" s="33" t="n">
        <x:v>201486.18</x:v>
      </x:c>
      <x:c r="N94" s="33" t="n">
        <x:v>20.148618</x:v>
      </x:c>
      <x:c r="O94" s="22" t="str">
        <x:v>公顷</x:v>
      </x:c>
      <x:c r="P94" s="22" t="str">
        <x:v>未提供（单期横截面）</x:v>
      </x:c>
      <x:c r="Q94" s="23" t="n">
        <x:v>1402</x:v>
      </x:c>
    </x:row>
    <x:row r="95">
      <x:c r="A95" s="30" t="n">
        <x:v>350200</x:v>
      </x:c>
      <x:c r="B95" s="22" t="str">
        <x:v>厦门市</x:v>
      </x:c>
      <x:c r="C95" s="31" t="n">
        <x:v>350205</x:v>
      </x:c>
      <x:c r="D95" s="22" t="str">
        <x:v>海沧区</x:v>
      </x:c>
      <x:c r="E95" s="22" t="str">
        <x:v>建设用地</x:v>
      </x:c>
      <x:c r="F95" s="22" t="str">
        <x:v>绿地与广场用地</x:v>
      </x:c>
      <x:c r="G95" s="32" t="str">
        <x:v>0810A</x:v>
      </x:c>
      <x:c r="H95" s="32" t="str">
        <x:v>0810</x:v>
      </x:c>
      <x:c r="I95" s="22" t="str">
        <x:v>广场用地</x:v>
      </x:c>
      <x:c r="J95" s="22" t="str">
        <x:v>公共空间</x:v>
      </x:c>
      <x:c r="K95" s="32" t="str">
        <x:v>202</x:v>
      </x:c>
      <x:c r="L95" s="22" t="str">
        <x:v>建制镇范围</x:v>
      </x:c>
      <x:c r="M95" s="33" t="n">
        <x:v>1532.25</x:v>
      </x:c>
      <x:c r="N95" s="33" t="n">
        <x:v>0.153225</x:v>
      </x:c>
      <x:c r="O95" s="22" t="str">
        <x:v>公顷</x:v>
      </x:c>
      <x:c r="P95" s="22" t="str">
        <x:v>未提供（单期横截面）</x:v>
      </x:c>
      <x:c r="Q95" s="23" t="n">
        <x:v>1403</x:v>
      </x:c>
    </x:row>
    <x:row r="96">
      <x:c r="A96" s="30" t="n">
        <x:v>350200</x:v>
      </x:c>
      <x:c r="B96" s="22" t="str">
        <x:v>厦门市</x:v>
      </x:c>
      <x:c r="C96" s="31" t="n">
        <x:v>350205</x:v>
      </x:c>
      <x:c r="D96" s="22" t="str">
        <x:v>海沧区</x:v>
      </x:c>
      <x:c r="E96" s="22" t="str">
        <x:v>建设用地</x:v>
      </x:c>
      <x:c r="F96" s="22" t="str">
        <x:v>公共管理与公共服务用地</x:v>
      </x:c>
      <x:c r="G96" s="32" t="str">
        <x:v>08H1</x:v>
      </x:c>
      <x:c r="H96" s="32" t="str">
        <x:v>08H1</x:v>
      </x:c>
      <x:c r="I96" s="22" t="str">
        <x:v>机关团体新闻出版用地</x:v>
      </x:c>
      <x:c r="J96" s="22" t="str">
        <x:v>公共服务</x:v>
      </x:c>
      <x:c r="K96" s="32" t="str">
        <x:v>202</x:v>
      </x:c>
      <x:c r="L96" s="22" t="str">
        <x:v>建制镇范围</x:v>
      </x:c>
      <x:c r="M96" s="33" t="n">
        <x:v>51960.72000000001</x:v>
      </x:c>
      <x:c r="N96" s="33" t="n">
        <x:v>5.196072000000001</x:v>
      </x:c>
      <x:c r="O96" s="22" t="str">
        <x:v>公顷</x:v>
      </x:c>
      <x:c r="P96" s="22" t="str">
        <x:v>未提供（单期横截面）</x:v>
      </x:c>
      <x:c r="Q96" s="23" t="n">
        <x:v>1404</x:v>
      </x:c>
    </x:row>
    <x:row r="97">
      <x:c r="A97" s="30" t="n">
        <x:v>350200</x:v>
      </x:c>
      <x:c r="B97" s="22" t="str">
        <x:v>厦门市</x:v>
      </x:c>
      <x:c r="C97" s="31" t="n">
        <x:v>350205</x:v>
      </x:c>
      <x:c r="D97" s="22" t="str">
        <x:v>海沧区</x:v>
      </x:c>
      <x:c r="E97" s="22" t="str">
        <x:v>建设用地</x:v>
      </x:c>
      <x:c r="F97" s="22" t="str">
        <x:v>公共管理与公共服务用地</x:v>
      </x:c>
      <x:c r="G97" s="32" t="str">
        <x:v>08H2</x:v>
      </x:c>
      <x:c r="H97" s="32" t="str">
        <x:v>08H2</x:v>
      </x:c>
      <x:c r="I97" s="22" t="str">
        <x:v>科教文卫用地</x:v>
      </x:c>
      <x:c r="J97" s="22" t="str">
        <x:v>公共服务</x:v>
      </x:c>
      <x:c r="K97" s="32" t="str">
        <x:v>202</x:v>
      </x:c>
      <x:c r="L97" s="22" t="str">
        <x:v>建制镇范围</x:v>
      </x:c>
      <x:c r="M97" s="33" t="n">
        <x:v>340342.9900000001</x:v>
      </x:c>
      <x:c r="N97" s="33" t="n">
        <x:v>34.03429900000001</x:v>
      </x:c>
      <x:c r="O97" s="22" t="str">
        <x:v>公顷</x:v>
      </x:c>
      <x:c r="P97" s="22" t="str">
        <x:v>未提供（单期横截面）</x:v>
      </x:c>
      <x:c r="Q97" s="23" t="n">
        <x:v>1405</x:v>
      </x:c>
    </x:row>
    <x:row r="98">
      <x:c r="A98" s="30" t="n">
        <x:v>350200</x:v>
      </x:c>
      <x:c r="B98" s="22" t="str">
        <x:v>厦门市</x:v>
      </x:c>
      <x:c r="C98" s="31" t="n">
        <x:v>350205</x:v>
      </x:c>
      <x:c r="D98" s="22" t="str">
        <x:v>海沧区</x:v>
      </x:c>
      <x:c r="E98" s="22" t="str">
        <x:v>建设用地</x:v>
      </x:c>
      <x:c r="F98" s="22" t="str">
        <x:v>特殊用地</x:v>
      </x:c>
      <x:c r="G98" s="32" t="str">
        <x:v>9</x:v>
      </x:c>
      <x:c r="H98" s="32" t="str">
        <x:v>9</x:v>
      </x:c>
      <x:c r="I98" s="22" t="str">
        <x:v>特殊用地</x:v>
      </x:c>
      <x:c r="J98" s="22" t="str">
        <x:v>其他建设</x:v>
      </x:c>
      <x:c r="K98" s="32" t="str">
        <x:v>202</x:v>
      </x:c>
      <x:c r="L98" s="22" t="str">
        <x:v>建制镇范围</x:v>
      </x:c>
      <x:c r="M98" s="33" t="n">
        <x:v>63280.90000000001</x:v>
      </x:c>
      <x:c r="N98" s="33" t="n">
        <x:v>6.32809</x:v>
      </x:c>
      <x:c r="O98" s="22" t="str">
        <x:v>公顷</x:v>
      </x:c>
      <x:c r="P98" s="22" t="str">
        <x:v>未提供（单期横截面）</x:v>
      </x:c>
      <x:c r="Q98" s="23" t="n">
        <x:v>1406</x:v>
      </x:c>
    </x:row>
    <x:row r="99">
      <x:c r="A99" s="30" t="n">
        <x:v>350200</x:v>
      </x:c>
      <x:c r="B99" s="22" t="str">
        <x:v>厦门市</x:v>
      </x:c>
      <x:c r="C99" s="31" t="n">
        <x:v>350205</x:v>
      </x:c>
      <x:c r="D99" s="22" t="str">
        <x:v>海沧区</x:v>
      </x:c>
      <x:c r="E99" s="22" t="str">
        <x:v>建设用地</x:v>
      </x:c>
      <x:c r="F99" s="22" t="str">
        <x:v>交通运输用地</x:v>
      </x:c>
      <x:c r="G99" s="32" t="str">
        <x:v>1002</x:v>
      </x:c>
      <x:c r="H99" s="32" t="str">
        <x:v>1002</x:v>
      </x:c>
      <x:c r="I99" s="22" t="str">
        <x:v>轨道交通用地</x:v>
      </x:c>
      <x:c r="J99" s="22" t="str">
        <x:v>交通门户</x:v>
      </x:c>
      <x:c r="K99" s="32" t="str">
        <x:v>202</x:v>
      </x:c>
      <x:c r="L99" s="22" t="str">
        <x:v>建制镇范围</x:v>
      </x:c>
      <x:c r="M99" s="33" t="n">
        <x:v>986.6700000000001</x:v>
      </x:c>
      <x:c r="N99" s="33" t="n">
        <x:v>0.098667</x:v>
      </x:c>
      <x:c r="O99" s="22" t="str">
        <x:v>公顷</x:v>
      </x:c>
      <x:c r="P99" s="22" t="str">
        <x:v>未提供（单期横截面）</x:v>
      </x:c>
      <x:c r="Q99" s="23" t="n">
        <x:v>1407</x:v>
      </x:c>
    </x:row>
    <x:row r="100">
      <x:c r="A100" s="30" t="n">
        <x:v>350200</x:v>
      </x:c>
      <x:c r="B100" s="22" t="str">
        <x:v>厦门市</x:v>
      </x:c>
      <x:c r="C100" s="31" t="n">
        <x:v>350205</x:v>
      </x:c>
      <x:c r="D100" s="22" t="str">
        <x:v>海沧区</x:v>
      </x:c>
      <x:c r="E100" s="22" t="str">
        <x:v>建设用地</x:v>
      </x:c>
      <x:c r="F100" s="22" t="str">
        <x:v>交通运输用地</x:v>
      </x:c>
      <x:c r="G100" s="32" t="str">
        <x:v>1003</x:v>
      </x:c>
      <x:c r="H100" s="32" t="str">
        <x:v>1003</x:v>
      </x:c>
      <x:c r="I100" s="22" t="str">
        <x:v>公路用地</x:v>
      </x:c>
      <x:c r="J100" s="22" t="str">
        <x:v>交通门户</x:v>
      </x:c>
      <x:c r="K100" s="32" t="str">
        <x:v>202</x:v>
      </x:c>
      <x:c r="L100" s="22" t="str">
        <x:v>建制镇范围</x:v>
      </x:c>
      <x:c r="M100" s="33" t="n">
        <x:v>3734.91</x:v>
      </x:c>
      <x:c r="N100" s="33" t="n">
        <x:v>0.37349099999999996</x:v>
      </x:c>
      <x:c r="O100" s="22" t="str">
        <x:v>公顷</x:v>
      </x:c>
      <x:c r="P100" s="22" t="str">
        <x:v>未提供（单期横截面）</x:v>
      </x:c>
      <x:c r="Q100" s="23" t="n">
        <x:v>1408</x:v>
      </x:c>
    </x:row>
    <x:row r="101">
      <x:c r="A101" s="30" t="n">
        <x:v>350200</x:v>
      </x:c>
      <x:c r="B101" s="22" t="str">
        <x:v>厦门市</x:v>
      </x:c>
      <x:c r="C101" s="31" t="n">
        <x:v>350205</x:v>
      </x:c>
      <x:c r="D101" s="22" t="str">
        <x:v>海沧区</x:v>
      </x:c>
      <x:c r="E101" s="22" t="str">
        <x:v>建设用地</x:v>
      </x:c>
      <x:c r="F101" s="22" t="str">
        <x:v>交通运输用地</x:v>
      </x:c>
      <x:c r="G101" s="32" t="str">
        <x:v>1004</x:v>
      </x:c>
      <x:c r="H101" s="32" t="str">
        <x:v>1004</x:v>
      </x:c>
      <x:c r="I101" s="22" t="str">
        <x:v>城镇村道路用地</x:v>
      </x:c>
      <x:c r="J101" s="22" t="str">
        <x:v>交通门户</x:v>
      </x:c>
      <x:c r="K101" s="32" t="str">
        <x:v>202</x:v>
      </x:c>
      <x:c r="L101" s="22" t="str">
        <x:v>建制镇范围</x:v>
      </x:c>
      <x:c r="M101" s="33" t="n">
        <x:v>416080.74000000017</x:v>
      </x:c>
      <x:c r="N101" s="33" t="n">
        <x:v>41.608074000000016</x:v>
      </x:c>
      <x:c r="O101" s="22" t="str">
        <x:v>公顷</x:v>
      </x:c>
      <x:c r="P101" s="22" t="str">
        <x:v>未提供（单期横截面）</x:v>
      </x:c>
      <x:c r="Q101" s="23" t="n">
        <x:v>1409</x:v>
      </x:c>
    </x:row>
    <x:row r="102">
      <x:c r="A102" s="30" t="n">
        <x:v>350200</x:v>
      </x:c>
      <x:c r="B102" s="22" t="str">
        <x:v>厦门市</x:v>
      </x:c>
      <x:c r="C102" s="31" t="n">
        <x:v>350205</x:v>
      </x:c>
      <x:c r="D102" s="22" t="str">
        <x:v>海沧区</x:v>
      </x:c>
      <x:c r="E102" s="22" t="str">
        <x:v>建设用地</x:v>
      </x:c>
      <x:c r="F102" s="22" t="str">
        <x:v>交通运输用地</x:v>
      </x:c>
      <x:c r="G102" s="32" t="str">
        <x:v>1005</x:v>
      </x:c>
      <x:c r="H102" s="32" t="str">
        <x:v>1005</x:v>
      </x:c>
      <x:c r="I102" s="22" t="str">
        <x:v>交通服务场站用地</x:v>
      </x:c>
      <x:c r="J102" s="22" t="str">
        <x:v>交通门户</x:v>
      </x:c>
      <x:c r="K102" s="32" t="str">
        <x:v>202</x:v>
      </x:c>
      <x:c r="L102" s="22" t="str">
        <x:v>建制镇范围</x:v>
      </x:c>
      <x:c r="M102" s="33" t="n">
        <x:v>64643.82</x:v>
      </x:c>
      <x:c r="N102" s="33" t="n">
        <x:v>6.464382</x:v>
      </x:c>
      <x:c r="O102" s="22" t="str">
        <x:v>公顷</x:v>
      </x:c>
      <x:c r="P102" s="22" t="str">
        <x:v>未提供（单期横截面）</x:v>
      </x:c>
      <x:c r="Q102" s="23" t="n">
        <x:v>1410</x:v>
      </x:c>
    </x:row>
    <x:row r="103">
      <x:c r="A103" s="30" t="n">
        <x:v>350200</x:v>
      </x:c>
      <x:c r="B103" s="22" t="str">
        <x:v>厦门市</x:v>
      </x:c>
      <x:c r="C103" s="31" t="n">
        <x:v>350205</x:v>
      </x:c>
      <x:c r="D103" s="22" t="str">
        <x:v>海沧区</x:v>
      </x:c>
      <x:c r="E103" s="22" t="str">
        <x:v>建设用地</x:v>
      </x:c>
      <x:c r="F103" s="22" t="str">
        <x:v>工矿仓储用地</x:v>
      </x:c>
      <x:c r="G103" s="32" t="str">
        <x:v>601</x:v>
      </x:c>
      <x:c r="H103" s="32" t="str">
        <x:v>601</x:v>
      </x:c>
      <x:c r="I103" s="22" t="str">
        <x:v>工业用地</x:v>
      </x:c>
      <x:c r="J103" s="22" t="str">
        <x:v>产业功能</x:v>
      </x:c>
      <x:c r="K103" s="32" t="str">
        <x:v>202A</x:v>
      </x:c>
      <x:c r="L103" s="22" t="str">
        <x:v>建制镇独立工业用地</x:v>
      </x:c>
      <x:c r="M103" s="33" t="n">
        <x:v>8823.33</x:v>
      </x:c>
      <x:c r="N103" s="33" t="n">
        <x:v>0.882333</x:v>
      </x:c>
      <x:c r="O103" s="22" t="str">
        <x:v>公顷</x:v>
      </x:c>
      <x:c r="P103" s="22" t="str">
        <x:v>未提供（单期横截面）</x:v>
      </x:c>
      <x:c r="Q103" s="23" t="n">
        <x:v>1411</x:v>
      </x:c>
    </x:row>
    <x:row r="104">
      <x:c r="A104" s="30" t="n">
        <x:v>350200</x:v>
      </x:c>
      <x:c r="B104" s="22" t="str">
        <x:v>厦门市</x:v>
      </x:c>
      <x:c r="C104" s="31" t="n">
        <x:v>350205</x:v>
      </x:c>
      <x:c r="D104" s="22" t="str">
        <x:v>海沧区</x:v>
      </x:c>
      <x:c r="E104" s="22" t="str">
        <x:v>建设用地</x:v>
      </x:c>
      <x:c r="F104" s="22" t="str">
        <x:v>工矿仓储用地</x:v>
      </x:c>
      <x:c r="G104" s="32" t="str">
        <x:v>508</x:v>
      </x:c>
      <x:c r="H104" s="32" t="str">
        <x:v>508</x:v>
      </x:c>
      <x:c r="I104" s="22" t="str">
        <x:v>物流仓储用地</x:v>
      </x:c>
      <x:c r="J104" s="22" t="str">
        <x:v>产业功能</x:v>
      </x:c>
      <x:c r="K104" s="32" t="str">
        <x:v>203</x:v>
      </x:c>
      <x:c r="L104" s="22" t="str">
        <x:v>村庄范围</x:v>
      </x:c>
      <x:c r="M104" s="33" t="n">
        <x:v>239159.36</x:v>
      </x:c>
      <x:c r="N104" s="33" t="n">
        <x:v>23.915936</x:v>
      </x:c>
      <x:c r="O104" s="22" t="str">
        <x:v>公顷</x:v>
      </x:c>
      <x:c r="P104" s="22" t="str">
        <x:v>未提供（单期横截面）</x:v>
      </x:c>
      <x:c r="Q104" s="23" t="n">
        <x:v>1412</x:v>
      </x:c>
    </x:row>
    <x:row r="105">
      <x:c r="A105" s="30" t="n">
        <x:v>350200</x:v>
      </x:c>
      <x:c r="B105" s="22" t="str">
        <x:v>厦门市</x:v>
      </x:c>
      <x:c r="C105" s="31" t="n">
        <x:v>350205</x:v>
      </x:c>
      <x:c r="D105" s="22" t="str">
        <x:v>海沧区</x:v>
      </x:c>
      <x:c r="E105" s="22" t="str">
        <x:v>建设用地</x:v>
      </x:c>
      <x:c r="F105" s="22" t="str">
        <x:v>商业服务业用地</x:v>
      </x:c>
      <x:c r="G105" s="32" t="str">
        <x:v>05H1</x:v>
      </x:c>
      <x:c r="H105" s="32" t="str">
        <x:v>05H1</x:v>
      </x:c>
      <x:c r="I105" s="22" t="str">
        <x:v>商业服务业设施用地</x:v>
      </x:c>
      <x:c r="J105" s="22" t="str">
        <x:v>商业服务</x:v>
      </x:c>
      <x:c r="K105" s="32" t="str">
        <x:v>203</x:v>
      </x:c>
      <x:c r="L105" s="22" t="str">
        <x:v>村庄范围</x:v>
      </x:c>
      <x:c r="M105" s="33" t="n">
        <x:v>174779.3</x:v>
      </x:c>
      <x:c r="N105" s="33" t="n">
        <x:v>17.477929999999997</x:v>
      </x:c>
      <x:c r="O105" s="22" t="str">
        <x:v>公顷</x:v>
      </x:c>
      <x:c r="P105" s="22" t="str">
        <x:v>未提供（单期横截面）</x:v>
      </x:c>
      <x:c r="Q105" s="23" t="n">
        <x:v>1413</x:v>
      </x:c>
    </x:row>
    <x:row r="106">
      <x:c r="A106" s="30" t="n">
        <x:v>350200</x:v>
      </x:c>
      <x:c r="B106" s="22" t="str">
        <x:v>厦门市</x:v>
      </x:c>
      <x:c r="C106" s="31" t="n">
        <x:v>350205</x:v>
      </x:c>
      <x:c r="D106" s="22" t="str">
        <x:v>海沧区</x:v>
      </x:c>
      <x:c r="E106" s="22" t="str">
        <x:v>建设用地</x:v>
      </x:c>
      <x:c r="F106" s="22" t="str">
        <x:v>工矿仓储用地</x:v>
      </x:c>
      <x:c r="G106" s="32" t="str">
        <x:v>601</x:v>
      </x:c>
      <x:c r="H106" s="32" t="str">
        <x:v>601</x:v>
      </x:c>
      <x:c r="I106" s="22" t="str">
        <x:v>工业用地</x:v>
      </x:c>
      <x:c r="J106" s="22" t="str">
        <x:v>产业功能</x:v>
      </x:c>
      <x:c r="K106" s="32" t="str">
        <x:v>203</x:v>
      </x:c>
      <x:c r="L106" s="22" t="str">
        <x:v>村庄范围</x:v>
      </x:c>
      <x:c r="M106" s="33" t="n">
        <x:v>1340439.33</x:v>
      </x:c>
      <x:c r="N106" s="33" t="n">
        <x:v>134.043933</x:v>
      </x:c>
      <x:c r="O106" s="22" t="str">
        <x:v>公顷</x:v>
      </x:c>
      <x:c r="P106" s="22" t="str">
        <x:v>未提供（单期横截面）</x:v>
      </x:c>
      <x:c r="Q106" s="23" t="n">
        <x:v>1414</x:v>
      </x:c>
    </x:row>
    <x:row r="107">
      <x:c r="A107" s="30" t="n">
        <x:v>350200</x:v>
      </x:c>
      <x:c r="B107" s="22" t="str">
        <x:v>厦门市</x:v>
      </x:c>
      <x:c r="C107" s="31" t="n">
        <x:v>350205</x:v>
      </x:c>
      <x:c r="D107" s="22" t="str">
        <x:v>海沧区</x:v>
      </x:c>
      <x:c r="E107" s="22" t="str">
        <x:v>建设用地</x:v>
      </x:c>
      <x:c r="F107" s="22" t="str">
        <x:v>工矿仓储用地</x:v>
      </x:c>
      <x:c r="G107" s="32" t="str">
        <x:v>602</x:v>
      </x:c>
      <x:c r="H107" s="32" t="str">
        <x:v>602</x:v>
      </x:c>
      <x:c r="I107" s="22" t="str">
        <x:v>采矿用地</x:v>
      </x:c>
      <x:c r="J107" s="22" t="str">
        <x:v>产业功能</x:v>
      </x:c>
      <x:c r="K107" s="32" t="str">
        <x:v>203</x:v>
      </x:c>
      <x:c r="L107" s="22" t="str">
        <x:v>村庄范围</x:v>
      </x:c>
      <x:c r="M107" s="33" t="n">
        <x:v>100698.77</x:v>
      </x:c>
      <x:c r="N107" s="33" t="n">
        <x:v>10.069877</x:v>
      </x:c>
      <x:c r="O107" s="22" t="str">
        <x:v>公顷</x:v>
      </x:c>
      <x:c r="P107" s="22" t="str">
        <x:v>未提供（单期横截面）</x:v>
      </x:c>
      <x:c r="Q107" s="23" t="n">
        <x:v>1415</x:v>
      </x:c>
    </x:row>
    <x:row r="108">
      <x:c r="A108" s="30" t="n">
        <x:v>350200</x:v>
      </x:c>
      <x:c r="B108" s="22" t="str">
        <x:v>厦门市</x:v>
      </x:c>
      <x:c r="C108" s="31" t="n">
        <x:v>350205</x:v>
      </x:c>
      <x:c r="D108" s="22" t="str">
        <x:v>海沧区</x:v>
      </x:c>
      <x:c r="E108" s="22" t="str">
        <x:v>建设用地</x:v>
      </x:c>
      <x:c r="F108" s="22" t="str">
        <x:v>居住用地</x:v>
      </x:c>
      <x:c r="G108" s="32" t="str">
        <x:v>701</x:v>
      </x:c>
      <x:c r="H108" s="32" t="str">
        <x:v>701</x:v>
      </x:c>
      <x:c r="I108" s="22" t="str">
        <x:v>城镇住宅用地</x:v>
      </x:c>
      <x:c r="J108" s="22" t="str">
        <x:v>居住功能</x:v>
      </x:c>
      <x:c r="K108" s="32" t="str">
        <x:v>203</x:v>
      </x:c>
      <x:c r="L108" s="22" t="str">
        <x:v>村庄范围</x:v>
      </x:c>
      <x:c r="M108" s="33" t="n">
        <x:v>4988.88</x:v>
      </x:c>
      <x:c r="N108" s="33" t="n">
        <x:v>0.498888</x:v>
      </x:c>
      <x:c r="O108" s="22" t="str">
        <x:v>公顷</x:v>
      </x:c>
      <x:c r="P108" s="22" t="str">
        <x:v>未提供（单期横截面）</x:v>
      </x:c>
      <x:c r="Q108" s="23" t="n">
        <x:v>1416</x:v>
      </x:c>
    </x:row>
    <x:row r="109">
      <x:c r="A109" s="30" t="n">
        <x:v>350200</x:v>
      </x:c>
      <x:c r="B109" s="22" t="str">
        <x:v>厦门市</x:v>
      </x:c>
      <x:c r="C109" s="31" t="n">
        <x:v>350205</x:v>
      </x:c>
      <x:c r="D109" s="22" t="str">
        <x:v>海沧区</x:v>
      </x:c>
      <x:c r="E109" s="22" t="str">
        <x:v>建设用地</x:v>
      </x:c>
      <x:c r="F109" s="22" t="str">
        <x:v>居住用地</x:v>
      </x:c>
      <x:c r="G109" s="32" t="str">
        <x:v>702</x:v>
      </x:c>
      <x:c r="H109" s="32" t="str">
        <x:v>702</x:v>
      </x:c>
      <x:c r="I109" s="22" t="str">
        <x:v>农村宅基地</x:v>
      </x:c>
      <x:c r="J109" s="22" t="str">
        <x:v>居住功能</x:v>
      </x:c>
      <x:c r="K109" s="32" t="str">
        <x:v>203</x:v>
      </x:c>
      <x:c r="L109" s="22" t="str">
        <x:v>村庄范围</x:v>
      </x:c>
      <x:c r="M109" s="33" t="n">
        <x:v>3655072.1500000027</x:v>
      </x:c>
      <x:c r="N109" s="33" t="n">
        <x:v>365.50721500000026</x:v>
      </x:c>
      <x:c r="O109" s="22" t="str">
        <x:v>公顷</x:v>
      </x:c>
      <x:c r="P109" s="22" t="str">
        <x:v>未提供（单期横截面）</x:v>
      </x:c>
      <x:c r="Q109" s="23" t="n">
        <x:v>1417</x:v>
      </x:c>
    </x:row>
    <x:row r="110">
      <x:c r="A110" s="30" t="n">
        <x:v>350200</x:v>
      </x:c>
      <x:c r="B110" s="22" t="str">
        <x:v>厦门市</x:v>
      </x:c>
      <x:c r="C110" s="31" t="n">
        <x:v>350205</x:v>
      </x:c>
      <x:c r="D110" s="22" t="str">
        <x:v>海沧区</x:v>
      </x:c>
      <x:c r="E110" s="22" t="str">
        <x:v>建设用地</x:v>
      </x:c>
      <x:c r="F110" s="22" t="str">
        <x:v>公用设施用地</x:v>
      </x:c>
      <x:c r="G110" s="32" t="str">
        <x:v>809</x:v>
      </x:c>
      <x:c r="H110" s="32" t="str">
        <x:v>809</x:v>
      </x:c>
      <x:c r="I110" s="22" t="str">
        <x:v>公用设施用地</x:v>
      </x:c>
      <x:c r="J110" s="22" t="str">
        <x:v>其他建设</x:v>
      </x:c>
      <x:c r="K110" s="32" t="str">
        <x:v>203</x:v>
      </x:c>
      <x:c r="L110" s="22" t="str">
        <x:v>村庄范围</x:v>
      </x:c>
      <x:c r="M110" s="33" t="n">
        <x:v>193778.11999999994</x:v>
      </x:c>
      <x:c r="N110" s="33" t="n">
        <x:v>19.377811999999995</x:v>
      </x:c>
      <x:c r="O110" s="22" t="str">
        <x:v>公顷</x:v>
      </x:c>
      <x:c r="P110" s="22" t="str">
        <x:v>未提供（单期横截面）</x:v>
      </x:c>
      <x:c r="Q110" s="23" t="n">
        <x:v>1418</x:v>
      </x:c>
    </x:row>
    <x:row r="111">
      <x:c r="A111" s="30" t="n">
        <x:v>350200</x:v>
      </x:c>
      <x:c r="B111" s="22" t="str">
        <x:v>厦门市</x:v>
      </x:c>
      <x:c r="C111" s="31" t="n">
        <x:v>350205</x:v>
      </x:c>
      <x:c r="D111" s="22" t="str">
        <x:v>海沧区</x:v>
      </x:c>
      <x:c r="E111" s="22" t="str">
        <x:v>建设用地</x:v>
      </x:c>
      <x:c r="F111" s="22" t="str">
        <x:v>绿地与广场用地</x:v>
      </x:c>
      <x:c r="G111" s="32" t="str">
        <x:v>810</x:v>
      </x:c>
      <x:c r="H111" s="32" t="str">
        <x:v>810</x:v>
      </x:c>
      <x:c r="I111" s="22" t="str">
        <x:v>公园与绿地</x:v>
      </x:c>
      <x:c r="J111" s="22" t="str">
        <x:v>公共空间</x:v>
      </x:c>
      <x:c r="K111" s="32" t="str">
        <x:v>203</x:v>
      </x:c>
      <x:c r="L111" s="22" t="str">
        <x:v>村庄范围</x:v>
      </x:c>
      <x:c r="M111" s="33" t="n">
        <x:v>173511.19</x:v>
      </x:c>
      <x:c r="N111" s="33" t="n">
        <x:v>17.351119</x:v>
      </x:c>
      <x:c r="O111" s="22" t="str">
        <x:v>公顷</x:v>
      </x:c>
      <x:c r="P111" s="22" t="str">
        <x:v>未提供（单期横截面）</x:v>
      </x:c>
      <x:c r="Q111" s="23" t="n">
        <x:v>1419</x:v>
      </x:c>
    </x:row>
    <x:row r="112">
      <x:c r="A112" s="30" t="n">
        <x:v>350200</x:v>
      </x:c>
      <x:c r="B112" s="22" t="str">
        <x:v>厦门市</x:v>
      </x:c>
      <x:c r="C112" s="31" t="n">
        <x:v>350205</x:v>
      </x:c>
      <x:c r="D112" s="22" t="str">
        <x:v>海沧区</x:v>
      </x:c>
      <x:c r="E112" s="22" t="str">
        <x:v>建设用地</x:v>
      </x:c>
      <x:c r="F112" s="22" t="str">
        <x:v>绿地与广场用地</x:v>
      </x:c>
      <x:c r="G112" s="32" t="str">
        <x:v>0810A</x:v>
      </x:c>
      <x:c r="H112" s="32" t="str">
        <x:v>0810</x:v>
      </x:c>
      <x:c r="I112" s="22" t="str">
        <x:v>广场用地</x:v>
      </x:c>
      <x:c r="J112" s="22" t="str">
        <x:v>公共空间</x:v>
      </x:c>
      <x:c r="K112" s="32" t="str">
        <x:v>203</x:v>
      </x:c>
      <x:c r="L112" s="22" t="str">
        <x:v>村庄范围</x:v>
      </x:c>
      <x:c r="M112" s="33" t="n">
        <x:v>1650.75</x:v>
      </x:c>
      <x:c r="N112" s="33" t="n">
        <x:v>0.165075</x:v>
      </x:c>
      <x:c r="O112" s="22" t="str">
        <x:v>公顷</x:v>
      </x:c>
      <x:c r="P112" s="22" t="str">
        <x:v>未提供（单期横截面）</x:v>
      </x:c>
      <x:c r="Q112" s="23" t="n">
        <x:v>1420</x:v>
      </x:c>
    </x:row>
    <x:row r="113">
      <x:c r="A113" s="30" t="n">
        <x:v>350200</x:v>
      </x:c>
      <x:c r="B113" s="22" t="str">
        <x:v>厦门市</x:v>
      </x:c>
      <x:c r="C113" s="31" t="n">
        <x:v>350205</x:v>
      </x:c>
      <x:c r="D113" s="22" t="str">
        <x:v>海沧区</x:v>
      </x:c>
      <x:c r="E113" s="22" t="str">
        <x:v>建设用地</x:v>
      </x:c>
      <x:c r="F113" s="22" t="str">
        <x:v>公共管理与公共服务用地</x:v>
      </x:c>
      <x:c r="G113" s="32" t="str">
        <x:v>08H1</x:v>
      </x:c>
      <x:c r="H113" s="32" t="str">
        <x:v>08H1</x:v>
      </x:c>
      <x:c r="I113" s="22" t="str">
        <x:v>机关团体新闻出版用地</x:v>
      </x:c>
      <x:c r="J113" s="22" t="str">
        <x:v>公共服务</x:v>
      </x:c>
      <x:c r="K113" s="32" t="str">
        <x:v>203</x:v>
      </x:c>
      <x:c r="L113" s="22" t="str">
        <x:v>村庄范围</x:v>
      </x:c>
      <x:c r="M113" s="33" t="n">
        <x:v>13921.67</x:v>
      </x:c>
      <x:c r="N113" s="33" t="n">
        <x:v>1.392167</x:v>
      </x:c>
      <x:c r="O113" s="22" t="str">
        <x:v>公顷</x:v>
      </x:c>
      <x:c r="P113" s="22" t="str">
        <x:v>未提供（单期横截面）</x:v>
      </x:c>
      <x:c r="Q113" s="23" t="n">
        <x:v>1421</x:v>
      </x:c>
    </x:row>
    <x:row r="114">
      <x:c r="A114" s="30" t="n">
        <x:v>350200</x:v>
      </x:c>
      <x:c r="B114" s="22" t="str">
        <x:v>厦门市</x:v>
      </x:c>
      <x:c r="C114" s="31" t="n">
        <x:v>350205</x:v>
      </x:c>
      <x:c r="D114" s="22" t="str">
        <x:v>海沧区</x:v>
      </x:c>
      <x:c r="E114" s="22" t="str">
        <x:v>建设用地</x:v>
      </x:c>
      <x:c r="F114" s="22" t="str">
        <x:v>公共管理与公共服务用地</x:v>
      </x:c>
      <x:c r="G114" s="32" t="str">
        <x:v>08H2</x:v>
      </x:c>
      <x:c r="H114" s="32" t="str">
        <x:v>08H2</x:v>
      </x:c>
      <x:c r="I114" s="22" t="str">
        <x:v>科教文卫用地</x:v>
      </x:c>
      <x:c r="J114" s="22" t="str">
        <x:v>公共服务</x:v>
      </x:c>
      <x:c r="K114" s="32" t="str">
        <x:v>203</x:v>
      </x:c>
      <x:c r="L114" s="22" t="str">
        <x:v>村庄范围</x:v>
      </x:c>
      <x:c r="M114" s="33" t="n">
        <x:v>282365.68</x:v>
      </x:c>
      <x:c r="N114" s="33" t="n">
        <x:v>28.236568</x:v>
      </x:c>
      <x:c r="O114" s="22" t="str">
        <x:v>公顷</x:v>
      </x:c>
      <x:c r="P114" s="22" t="str">
        <x:v>未提供（单期横截面）</x:v>
      </x:c>
      <x:c r="Q114" s="23" t="n">
        <x:v>1422</x:v>
      </x:c>
    </x:row>
    <x:row r="115">
      <x:c r="A115" s="30" t="n">
        <x:v>350200</x:v>
      </x:c>
      <x:c r="B115" s="22" t="str">
        <x:v>厦门市</x:v>
      </x:c>
      <x:c r="C115" s="31" t="n">
        <x:v>350205</x:v>
      </x:c>
      <x:c r="D115" s="22" t="str">
        <x:v>海沧区</x:v>
      </x:c>
      <x:c r="E115" s="22" t="str">
        <x:v>建设用地</x:v>
      </x:c>
      <x:c r="F115" s="22" t="str">
        <x:v>特殊用地</x:v>
      </x:c>
      <x:c r="G115" s="32" t="str">
        <x:v>9</x:v>
      </x:c>
      <x:c r="H115" s="32" t="str">
        <x:v>9</x:v>
      </x:c>
      <x:c r="I115" s="22" t="str">
        <x:v>特殊用地</x:v>
      </x:c>
      <x:c r="J115" s="22" t="str">
        <x:v>其他建设</x:v>
      </x:c>
      <x:c r="K115" s="32" t="str">
        <x:v>203</x:v>
      </x:c>
      <x:c r="L115" s="22" t="str">
        <x:v>村庄范围</x:v>
      </x:c>
      <x:c r="M115" s="33" t="n">
        <x:v>22888.210000000003</x:v>
      </x:c>
      <x:c r="N115" s="33" t="n">
        <x:v>2.2888210000000004</x:v>
      </x:c>
      <x:c r="O115" s="22" t="str">
        <x:v>公顷</x:v>
      </x:c>
      <x:c r="P115" s="22" t="str">
        <x:v>未提供（单期横截面）</x:v>
      </x:c>
      <x:c r="Q115" s="23" t="n">
        <x:v>1423</x:v>
      </x:c>
    </x:row>
    <x:row r="116">
      <x:c r="A116" s="30" t="n">
        <x:v>350200</x:v>
      </x:c>
      <x:c r="B116" s="22" t="str">
        <x:v>厦门市</x:v>
      </x:c>
      <x:c r="C116" s="31" t="n">
        <x:v>350205</x:v>
      </x:c>
      <x:c r="D116" s="22" t="str">
        <x:v>海沧区</x:v>
      </x:c>
      <x:c r="E116" s="22" t="str">
        <x:v>建设用地</x:v>
      </x:c>
      <x:c r="F116" s="22" t="str">
        <x:v>交通运输用地</x:v>
      </x:c>
      <x:c r="G116" s="32" t="str">
        <x:v>1002</x:v>
      </x:c>
      <x:c r="H116" s="32" t="str">
        <x:v>1002</x:v>
      </x:c>
      <x:c r="I116" s="22" t="str">
        <x:v>轨道交通用地</x:v>
      </x:c>
      <x:c r="J116" s="22" t="str">
        <x:v>交通门户</x:v>
      </x:c>
      <x:c r="K116" s="32" t="str">
        <x:v>203</x:v>
      </x:c>
      <x:c r="L116" s="22" t="str">
        <x:v>村庄范围</x:v>
      </x:c>
      <x:c r="M116" s="33" t="n">
        <x:v>218799.66999999998</x:v>
      </x:c>
      <x:c r="N116" s="33" t="n">
        <x:v>21.879966999999997</x:v>
      </x:c>
      <x:c r="O116" s="22" t="str">
        <x:v>公顷</x:v>
      </x:c>
      <x:c r="P116" s="22" t="str">
        <x:v>未提供（单期横截面）</x:v>
      </x:c>
      <x:c r="Q116" s="23" t="n">
        <x:v>1424</x:v>
      </x:c>
    </x:row>
    <x:row r="117">
      <x:c r="A117" s="30" t="n">
        <x:v>350200</x:v>
      </x:c>
      <x:c r="B117" s="22" t="str">
        <x:v>厦门市</x:v>
      </x:c>
      <x:c r="C117" s="31" t="n">
        <x:v>350205</x:v>
      </x:c>
      <x:c r="D117" s="22" t="str">
        <x:v>海沧区</x:v>
      </x:c>
      <x:c r="E117" s="22" t="str">
        <x:v>建设用地</x:v>
      </x:c>
      <x:c r="F117" s="22" t="str">
        <x:v>交通运输用地</x:v>
      </x:c>
      <x:c r="G117" s="32" t="str">
        <x:v>1003</x:v>
      </x:c>
      <x:c r="H117" s="32" t="str">
        <x:v>1003</x:v>
      </x:c>
      <x:c r="I117" s="22" t="str">
        <x:v>公路用地</x:v>
      </x:c>
      <x:c r="J117" s="22" t="str">
        <x:v>交通门户</x:v>
      </x:c>
      <x:c r="K117" s="32" t="str">
        <x:v>203</x:v>
      </x:c>
      <x:c r="L117" s="22" t="str">
        <x:v>村庄范围</x:v>
      </x:c>
      <x:c r="M117" s="33" t="n">
        <x:v>1983.19</x:v>
      </x:c>
      <x:c r="N117" s="33" t="n">
        <x:v>0.198319</x:v>
      </x:c>
      <x:c r="O117" s="22" t="str">
        <x:v>公顷</x:v>
      </x:c>
      <x:c r="P117" s="22" t="str">
        <x:v>未提供（单期横截面）</x:v>
      </x:c>
      <x:c r="Q117" s="23" t="n">
        <x:v>1425</x:v>
      </x:c>
    </x:row>
    <x:row r="118">
      <x:c r="A118" s="30" t="n">
        <x:v>350200</x:v>
      </x:c>
      <x:c r="B118" s="22" t="str">
        <x:v>厦门市</x:v>
      </x:c>
      <x:c r="C118" s="31" t="n">
        <x:v>350205</x:v>
      </x:c>
      <x:c r="D118" s="22" t="str">
        <x:v>海沧区</x:v>
      </x:c>
      <x:c r="E118" s="22" t="str">
        <x:v>建设用地</x:v>
      </x:c>
      <x:c r="F118" s="22" t="str">
        <x:v>交通运输用地</x:v>
      </x:c>
      <x:c r="G118" s="32" t="str">
        <x:v>1004</x:v>
      </x:c>
      <x:c r="H118" s="32" t="str">
        <x:v>1004</x:v>
      </x:c>
      <x:c r="I118" s="22" t="str">
        <x:v>城镇村道路用地</x:v>
      </x:c>
      <x:c r="J118" s="22" t="str">
        <x:v>交通门户</x:v>
      </x:c>
      <x:c r="K118" s="32" t="str">
        <x:v>203</x:v>
      </x:c>
      <x:c r="L118" s="22" t="str">
        <x:v>村庄范围</x:v>
      </x:c>
      <x:c r="M118" s="33" t="n">
        <x:v>215409.29000000004</x:v>
      </x:c>
      <x:c r="N118" s="33" t="n">
        <x:v>21.540929000000002</x:v>
      </x:c>
      <x:c r="O118" s="22" t="str">
        <x:v>公顷</x:v>
      </x:c>
      <x:c r="P118" s="22" t="str">
        <x:v>未提供（单期横截面）</x:v>
      </x:c>
      <x:c r="Q118" s="23" t="n">
        <x:v>1426</x:v>
      </x:c>
    </x:row>
    <x:row r="119">
      <x:c r="A119" s="30" t="n">
        <x:v>350200</x:v>
      </x:c>
      <x:c r="B119" s="22" t="str">
        <x:v>厦门市</x:v>
      </x:c>
      <x:c r="C119" s="31" t="n">
        <x:v>350205</x:v>
      </x:c>
      <x:c r="D119" s="22" t="str">
        <x:v>海沧区</x:v>
      </x:c>
      <x:c r="E119" s="22" t="str">
        <x:v>建设用地</x:v>
      </x:c>
      <x:c r="F119" s="22" t="str">
        <x:v>交通运输用地</x:v>
      </x:c>
      <x:c r="G119" s="32" t="str">
        <x:v>1005</x:v>
      </x:c>
      <x:c r="H119" s="32" t="str">
        <x:v>1005</x:v>
      </x:c>
      <x:c r="I119" s="22" t="str">
        <x:v>交通服务场站用地</x:v>
      </x:c>
      <x:c r="J119" s="22" t="str">
        <x:v>交通门户</x:v>
      </x:c>
      <x:c r="K119" s="32" t="str">
        <x:v>203</x:v>
      </x:c>
      <x:c r="L119" s="22" t="str">
        <x:v>村庄范围</x:v>
      </x:c>
      <x:c r="M119" s="33" t="n">
        <x:v>180380.74</x:v>
      </x:c>
      <x:c r="N119" s="33" t="n">
        <x:v>18.038073999999998</x:v>
      </x:c>
      <x:c r="O119" s="22" t="str">
        <x:v>公顷</x:v>
      </x:c>
      <x:c r="P119" s="22" t="str">
        <x:v>未提供（单期横截面）</x:v>
      </x:c>
      <x:c r="Q119" s="23" t="n">
        <x:v>1427</x:v>
      </x:c>
    </x:row>
    <x:row r="120">
      <x:c r="A120" s="30" t="n">
        <x:v>350200</x:v>
      </x:c>
      <x:c r="B120" s="22" t="str">
        <x:v>厦门市</x:v>
      </x:c>
      <x:c r="C120" s="31" t="n">
        <x:v>350205</x:v>
      </x:c>
      <x:c r="D120" s="22" t="str">
        <x:v>海沧区</x:v>
      </x:c>
      <x:c r="E120" s="22" t="str">
        <x:v>建设用地</x:v>
      </x:c>
      <x:c r="F120" s="22" t="str">
        <x:v>水域及水利设施</x:v>
      </x:c>
      <x:c r="G120" s="32" t="str">
        <x:v>1109</x:v>
      </x:c>
      <x:c r="H120" s="32" t="str">
        <x:v>1109</x:v>
      </x:c>
      <x:c r="I120" s="22" t="str">
        <x:v>水工建筑用地</x:v>
      </x:c>
      <x:c r="J120" s="22" t="str">
        <x:v>其他建设</x:v>
      </x:c>
      <x:c r="K120" s="32" t="str">
        <x:v>203</x:v>
      </x:c>
      <x:c r="L120" s="22" t="str">
        <x:v>村庄范围</x:v>
      </x:c>
      <x:c r="M120" s="33" t="n">
        <x:v>836.33</x:v>
      </x:c>
      <x:c r="N120" s="33" t="n">
        <x:v>0.083633</x:v>
      </x:c>
      <x:c r="O120" s="22" t="str">
        <x:v>公顷</x:v>
      </x:c>
      <x:c r="P120" s="22" t="str">
        <x:v>未提供（单期横截面）</x:v>
      </x:c>
      <x:c r="Q120" s="23" t="n">
        <x:v>1428</x:v>
      </x:c>
    </x:row>
    <x:row r="121">
      <x:c r="A121" s="30" t="n">
        <x:v>350200</x:v>
      </x:c>
      <x:c r="B121" s="22" t="str">
        <x:v>厦门市</x:v>
      </x:c>
      <x:c r="C121" s="31" t="n">
        <x:v>350205</x:v>
      </x:c>
      <x:c r="D121" s="22" t="str">
        <x:v>海沧区</x:v>
      </x:c>
      <x:c r="E121" s="22" t="str">
        <x:v>建设用地</x:v>
      </x:c>
      <x:c r="F121" s="22" t="str">
        <x:v>其他建设用地</x:v>
      </x:c>
      <x:c r="G121" s="32" t="str">
        <x:v>1201</x:v>
      </x:c>
      <x:c r="H121" s="32" t="str">
        <x:v>1201</x:v>
      </x:c>
      <x:c r="I121" s="22" t="str">
        <x:v>空闲地</x:v>
      </x:c>
      <x:c r="J121" s="22" t="str">
        <x:v>其他建设</x:v>
      </x:c>
      <x:c r="K121" s="32" t="str">
        <x:v>203</x:v>
      </x:c>
      <x:c r="L121" s="22" t="str">
        <x:v>村庄范围</x:v>
      </x:c>
      <x:c r="M121" s="33" t="n">
        <x:v>3273.12</x:v>
      </x:c>
      <x:c r="N121" s="33" t="n">
        <x:v>0.327312</x:v>
      </x:c>
      <x:c r="O121" s="22" t="str">
        <x:v>公顷</x:v>
      </x:c>
      <x:c r="P121" s="22" t="str">
        <x:v>未提供（单期横截面）</x:v>
      </x:c>
      <x:c r="Q121" s="23" t="n">
        <x:v>1429</x:v>
      </x:c>
    </x:row>
    <x:row r="122">
      <x:c r="A122" s="30" t="n">
        <x:v>350200</x:v>
      </x:c>
      <x:c r="B122" s="22" t="str">
        <x:v>厦门市</x:v>
      </x:c>
      <x:c r="C122" s="31" t="n">
        <x:v>350205</x:v>
      </x:c>
      <x:c r="D122" s="22" t="str">
        <x:v>海沧区</x:v>
      </x:c>
      <x:c r="E122" s="22" t="str">
        <x:v>建设用地</x:v>
      </x:c>
      <x:c r="F122" s="22" t="str">
        <x:v>工矿仓储用地</x:v>
      </x:c>
      <x:c r="G122" s="32" t="str">
        <x:v>601</x:v>
      </x:c>
      <x:c r="H122" s="32" t="str">
        <x:v>601</x:v>
      </x:c>
      <x:c r="I122" s="22" t="str">
        <x:v>工业用地</x:v>
      </x:c>
      <x:c r="J122" s="22" t="str">
        <x:v>产业功能</x:v>
      </x:c>
      <x:c r="K122" s="32" t="str">
        <x:v>203A</x:v>
      </x:c>
      <x:c r="L122" s="22" t="str">
        <x:v>村庄独立工业用地</x:v>
      </x:c>
      <x:c r="M122" s="33" t="n">
        <x:v>93975.62</x:v>
      </x:c>
      <x:c r="N122" s="33" t="n">
        <x:v>9.397561999999999</x:v>
      </x:c>
      <x:c r="O122" s="22" t="str">
        <x:v>公顷</x:v>
      </x:c>
      <x:c r="P122" s="22" t="str">
        <x:v>未提供（单期横截面）</x:v>
      </x:c>
      <x:c r="Q122" s="23" t="n">
        <x:v>1430</x:v>
      </x:c>
    </x:row>
    <x:row r="123">
      <x:c r="A123" s="30" t="n">
        <x:v>350200</x:v>
      </x:c>
      <x:c r="B123" s="22" t="str">
        <x:v>厦门市</x:v>
      </x:c>
      <x:c r="C123" s="31" t="n">
        <x:v>350205</x:v>
      </x:c>
      <x:c r="D123" s="22" t="str">
        <x:v>海沧区</x:v>
      </x:c>
      <x:c r="E123" s="22" t="str">
        <x:v>建设用地</x:v>
      </x:c>
      <x:c r="F123" s="22" t="str">
        <x:v>工矿仓储用地</x:v>
      </x:c>
      <x:c r="G123" s="32" t="str">
        <x:v>601</x:v>
      </x:c>
      <x:c r="H123" s="32" t="str">
        <x:v>601</x:v>
      </x:c>
      <x:c r="I123" s="22" t="str">
        <x:v>工业用地</x:v>
      </x:c>
      <x:c r="J123" s="22" t="str">
        <x:v>产业功能</x:v>
      </x:c>
      <x:c r="K123" s="32" t="str">
        <x:v>204</x:v>
      </x:c>
      <x:c r="L123" s="22" t="str">
        <x:v>盐田及采矿用地</x:v>
      </x:c>
      <x:c r="M123" s="33" t="n">
        <x:v>5492.93</x:v>
      </x:c>
      <x:c r="N123" s="33" t="n">
        <x:v>0.549293</x:v>
      </x:c>
      <x:c r="O123" s="22" t="str">
        <x:v>公顷</x:v>
      </x:c>
      <x:c r="P123" s="22" t="str">
        <x:v>未提供（单期横截面）</x:v>
      </x:c>
      <x:c r="Q123" s="23" t="n">
        <x:v>1431</x:v>
      </x:c>
    </x:row>
    <x:row r="124">
      <x:c r="A124" s="30" t="n">
        <x:v>350200</x:v>
      </x:c>
      <x:c r="B124" s="22" t="str">
        <x:v>厦门市</x:v>
      </x:c>
      <x:c r="C124" s="31" t="n">
        <x:v>350205</x:v>
      </x:c>
      <x:c r="D124" s="22" t="str">
        <x:v>海沧区</x:v>
      </x:c>
      <x:c r="E124" s="22" t="str">
        <x:v>建设用地</x:v>
      </x:c>
      <x:c r="F124" s="22" t="str">
        <x:v>工矿仓储用地</x:v>
      </x:c>
      <x:c r="G124" s="32" t="str">
        <x:v>602</x:v>
      </x:c>
      <x:c r="H124" s="32" t="str">
        <x:v>602</x:v>
      </x:c>
      <x:c r="I124" s="22" t="str">
        <x:v>采矿用地</x:v>
      </x:c>
      <x:c r="J124" s="22" t="str">
        <x:v>产业功能</x:v>
      </x:c>
      <x:c r="K124" s="32" t="str">
        <x:v>204</x:v>
      </x:c>
      <x:c r="L124" s="22" t="str">
        <x:v>盐田及采矿用地</x:v>
      </x:c>
      <x:c r="M124" s="33" t="n">
        <x:v>510245.3</x:v>
      </x:c>
      <x:c r="N124" s="33" t="n">
        <x:v>51.02453</x:v>
      </x:c>
      <x:c r="O124" s="22" t="str">
        <x:v>公顷</x:v>
      </x:c>
      <x:c r="P124" s="22" t="str">
        <x:v>未提供（单期横截面）</x:v>
      </x:c>
      <x:c r="Q124" s="23" t="n">
        <x:v>1432</x:v>
      </x:c>
    </x:row>
    <x:row r="125">
      <x:c r="A125" s="30" t="n">
        <x:v>350200</x:v>
      </x:c>
      <x:c r="B125" s="22" t="str">
        <x:v>厦门市</x:v>
      </x:c>
      <x:c r="C125" s="31" t="n">
        <x:v>350205</x:v>
      </x:c>
      <x:c r="D125" s="22" t="str">
        <x:v>海沧区</x:v>
      </x:c>
      <x:c r="E125" s="22" t="str">
        <x:v>建设用地</x:v>
      </x:c>
      <x:c r="F125" s="22" t="str">
        <x:v>交通运输用地</x:v>
      </x:c>
      <x:c r="G125" s="32" t="str">
        <x:v>1003</x:v>
      </x:c>
      <x:c r="H125" s="32" t="str">
        <x:v>1003</x:v>
      </x:c>
      <x:c r="I125" s="22" t="str">
        <x:v>公路用地</x:v>
      </x:c>
      <x:c r="J125" s="22" t="str">
        <x:v>交通门户</x:v>
      </x:c>
      <x:c r="K125" s="32" t="str">
        <x:v>204</x:v>
      </x:c>
      <x:c r="L125" s="22" t="str">
        <x:v>盐田及采矿用地</x:v>
      </x:c>
      <x:c r="M125" s="33" t="n">
        <x:v>697</x:v>
      </x:c>
      <x:c r="N125" s="33" t="n">
        <x:v>0.0697</x:v>
      </x:c>
      <x:c r="O125" s="22" t="str">
        <x:v>公顷</x:v>
      </x:c>
      <x:c r="P125" s="22" t="str">
        <x:v>未提供（单期横截面）</x:v>
      </x:c>
      <x:c r="Q125" s="23" t="n">
        <x:v>1433</x:v>
      </x:c>
    </x:row>
    <x:row r="126">
      <x:c r="A126" s="30" t="n">
        <x:v>350200</x:v>
      </x:c>
      <x:c r="B126" s="22" t="str">
        <x:v>厦门市</x:v>
      </x:c>
      <x:c r="C126" s="31" t="n">
        <x:v>350205</x:v>
      </x:c>
      <x:c r="D126" s="22" t="str">
        <x:v>海沧区</x:v>
      </x:c>
      <x:c r="E126" s="22" t="str">
        <x:v>建设用地</x:v>
      </x:c>
      <x:c r="F126" s="22" t="str">
        <x:v>公用设施用地</x:v>
      </x:c>
      <x:c r="G126" s="32" t="str">
        <x:v>809</x:v>
      </x:c>
      <x:c r="H126" s="32" t="str">
        <x:v>809</x:v>
      </x:c>
      <x:c r="I126" s="22" t="str">
        <x:v>公用设施用地</x:v>
      </x:c>
      <x:c r="J126" s="22" t="str">
        <x:v>其他建设</x:v>
      </x:c>
      <x:c r="K126" s="32" t="str">
        <x:v>205</x:v>
      </x:c>
      <x:c r="L126" s="22" t="str">
        <x:v>特殊用地</x:v>
      </x:c>
      <x:c r="M126" s="33" t="n">
        <x:v>750.85</x:v>
      </x:c>
      <x:c r="N126" s="33" t="n">
        <x:v>0.075085</x:v>
      </x:c>
      <x:c r="O126" s="22" t="str">
        <x:v>公顷</x:v>
      </x:c>
      <x:c r="P126" s="22" t="str">
        <x:v>未提供（单期横截面）</x:v>
      </x:c>
      <x:c r="Q126" s="23" t="n">
        <x:v>1434</x:v>
      </x:c>
    </x:row>
    <x:row r="127">
      <x:c r="A127" s="30" t="n">
        <x:v>350200</x:v>
      </x:c>
      <x:c r="B127" s="22" t="str">
        <x:v>厦门市</x:v>
      </x:c>
      <x:c r="C127" s="31" t="n">
        <x:v>350205</x:v>
      </x:c>
      <x:c r="D127" s="22" t="str">
        <x:v>海沧区</x:v>
      </x:c>
      <x:c r="E127" s="22" t="str">
        <x:v>建设用地</x:v>
      </x:c>
      <x:c r="F127" s="22" t="str">
        <x:v>特殊用地</x:v>
      </x:c>
      <x:c r="G127" s="32" t="str">
        <x:v>9</x:v>
      </x:c>
      <x:c r="H127" s="32" t="str">
        <x:v>9</x:v>
      </x:c>
      <x:c r="I127" s="22" t="str">
        <x:v>特殊用地</x:v>
      </x:c>
      <x:c r="J127" s="22" t="str">
        <x:v>其他建设</x:v>
      </x:c>
      <x:c r="K127" s="32" t="str">
        <x:v>205</x:v>
      </x:c>
      <x:c r="L127" s="22" t="str">
        <x:v>特殊用地</x:v>
      </x:c>
      <x:c r="M127" s="33" t="n">
        <x:v>489212.69999999995</x:v>
      </x:c>
      <x:c r="N127" s="33" t="n">
        <x:v>48.92126999999999</x:v>
      </x:c>
      <x:c r="O127" s="22" t="str">
        <x:v>公顷</x:v>
      </x:c>
      <x:c r="P127" s="22" t="str">
        <x:v>未提供（单期横截面）</x:v>
      </x:c>
      <x:c r="Q127" s="23" t="n">
        <x:v>1435</x:v>
      </x:c>
    </x:row>
    <x:row r="128">
      <x:c r="A128" s="30" t="n">
        <x:v>350200</x:v>
      </x:c>
      <x:c r="B128" s="22" t="str">
        <x:v>厦门市</x:v>
      </x:c>
      <x:c r="C128" s="31" t="n">
        <x:v>350205</x:v>
      </x:c>
      <x:c r="D128" s="22" t="str">
        <x:v>海沧区</x:v>
      </x:c>
      <x:c r="E128" s="22" t="str">
        <x:v>建设用地</x:v>
      </x:c>
      <x:c r="F128" s="22" t="str">
        <x:v>交通运输用地</x:v>
      </x:c>
      <x:c r="G128" s="32" t="str">
        <x:v>1008</x:v>
      </x:c>
      <x:c r="H128" s="32" t="str">
        <x:v>1008</x:v>
      </x:c>
      <x:c r="I128" s="22" t="str">
        <x:v>港口码头用地</x:v>
      </x:c>
      <x:c r="J128" s="22" t="str">
        <x:v>交通门户</x:v>
      </x:c>
      <x:c r="K128" s="32" t="str">
        <x:v>205</x:v>
      </x:c>
      <x:c r="L128" s="22" t="str">
        <x:v>特殊用地</x:v>
      </x:c>
      <x:c r="M128" s="33" t="n">
        <x:v>17346.22</x:v>
      </x:c>
      <x:c r="N128" s="33" t="n">
        <x:v>1.734622</x:v>
      </x:c>
      <x:c r="O128" s="22" t="str">
        <x:v>公顷</x:v>
      </x:c>
      <x:c r="P128" s="22" t="str">
        <x:v>未提供（单期横截面）</x:v>
      </x:c>
      <x:c r="Q128" s="23" t="n">
        <x:v>1436</x:v>
      </x:c>
    </x:row>
    <x:row r="129">
      <x:c r="A129" s="30" t="n">
        <x:v>350200</x:v>
      </x:c>
      <x:c r="B129" s="22" t="str">
        <x:v>厦门市</x:v>
      </x:c>
      <x:c r="C129" s="31" t="n">
        <x:v>350205</x:v>
      </x:c>
      <x:c r="D129" s="22" t="str">
        <x:v>海沧区</x:v>
      </x:c>
      <x:c r="E129" s="22" t="str">
        <x:v>农用地</x:v>
      </x:c>
      <x:c r="F129" s="22" t="str">
        <x:v>耕地</x:v>
      </x:c>
      <x:c r="G129" s="32" t="str">
        <x:v>101</x:v>
      </x:c>
      <x:c r="H129" s="32" t="str">
        <x:v>101</x:v>
      </x:c>
      <x:c r="I129" s="22" t="str">
        <x:v>水田</x:v>
      </x:c>
      <x:c r="J129" s="22" t="str">
        <x:v>农业生态</x:v>
      </x:c>
      <x:c r="K129" s="32" t="str"/>
      <x:c r="L129" s="22" t="str">
        <x:v>不适用/未标注</x:v>
      </x:c>
      <x:c r="M129" s="33" t="n">
        <x:v>2625533.080000002</x:v>
      </x:c>
      <x:c r="N129" s="33" t="n">
        <x:v>262.5533080000002</x:v>
      </x:c>
      <x:c r="O129" s="22" t="str">
        <x:v>公顷</x:v>
      </x:c>
      <x:c r="P129" s="22" t="str">
        <x:v>未提供（单期横截面）</x:v>
      </x:c>
      <x:c r="Q129" s="23" t="n">
        <x:v>1437</x:v>
      </x:c>
    </x:row>
    <x:row r="130">
      <x:c r="A130" s="30" t="n">
        <x:v>350200</x:v>
      </x:c>
      <x:c r="B130" s="22" t="str">
        <x:v>厦门市</x:v>
      </x:c>
      <x:c r="C130" s="31" t="n">
        <x:v>350205</x:v>
      </x:c>
      <x:c r="D130" s="22" t="str">
        <x:v>海沧区</x:v>
      </x:c>
      <x:c r="E130" s="22" t="str">
        <x:v>农用地</x:v>
      </x:c>
      <x:c r="F130" s="22" t="str">
        <x:v>耕地</x:v>
      </x:c>
      <x:c r="G130" s="32" t="str">
        <x:v>102</x:v>
      </x:c>
      <x:c r="H130" s="32" t="str">
        <x:v>102</x:v>
      </x:c>
      <x:c r="I130" s="22" t="str">
        <x:v>水浇地</x:v>
      </x:c>
      <x:c r="J130" s="22" t="str">
        <x:v>农业生态</x:v>
      </x:c>
      <x:c r="K130" s="32" t="str"/>
      <x:c r="L130" s="22" t="str">
        <x:v>不适用/未标注</x:v>
      </x:c>
      <x:c r="M130" s="33" t="n">
        <x:v>3080832.7300000004</x:v>
      </x:c>
      <x:c r="N130" s="33" t="n">
        <x:v>308.083273</x:v>
      </x:c>
      <x:c r="O130" s="22" t="str">
        <x:v>公顷</x:v>
      </x:c>
      <x:c r="P130" s="22" t="str">
        <x:v>未提供（单期横截面）</x:v>
      </x:c>
      <x:c r="Q130" s="23" t="n">
        <x:v>1438</x:v>
      </x:c>
    </x:row>
    <x:row r="131">
      <x:c r="A131" s="30" t="n">
        <x:v>350200</x:v>
      </x:c>
      <x:c r="B131" s="22" t="str">
        <x:v>厦门市</x:v>
      </x:c>
      <x:c r="C131" s="31" t="n">
        <x:v>350205</x:v>
      </x:c>
      <x:c r="D131" s="22" t="str">
        <x:v>海沧区</x:v>
      </x:c>
      <x:c r="E131" s="22" t="str">
        <x:v>农用地</x:v>
      </x:c>
      <x:c r="F131" s="22" t="str">
        <x:v>耕地</x:v>
      </x:c>
      <x:c r="G131" s="32" t="str">
        <x:v>103</x:v>
      </x:c>
      <x:c r="H131" s="32" t="str">
        <x:v>103</x:v>
      </x:c>
      <x:c r="I131" s="22" t="str">
        <x:v>旱地</x:v>
      </x:c>
      <x:c r="J131" s="22" t="str">
        <x:v>农业生态</x:v>
      </x:c>
      <x:c r="K131" s="32" t="str"/>
      <x:c r="L131" s="22" t="str">
        <x:v>不适用/未标注</x:v>
      </x:c>
      <x:c r="M131" s="33" t="n">
        <x:v>708051.1300000002</x:v>
      </x:c>
      <x:c r="N131" s="33" t="n">
        <x:v>70.80511300000002</x:v>
      </x:c>
      <x:c r="O131" s="22" t="str">
        <x:v>公顷</x:v>
      </x:c>
      <x:c r="P131" s="22" t="str">
        <x:v>未提供（单期横截面）</x:v>
      </x:c>
      <x:c r="Q131" s="23" t="n">
        <x:v>1439</x:v>
      </x:c>
    </x:row>
    <x:row r="132">
      <x:c r="A132" s="30" t="n">
        <x:v>350200</x:v>
      </x:c>
      <x:c r="B132" s="22" t="str">
        <x:v>厦门市</x:v>
      </x:c>
      <x:c r="C132" s="31" t="n">
        <x:v>350205</x:v>
      </x:c>
      <x:c r="D132" s="22" t="str">
        <x:v>海沧区</x:v>
      </x:c>
      <x:c r="E132" s="22" t="str">
        <x:v>农用地</x:v>
      </x:c>
      <x:c r="F132" s="22" t="str">
        <x:v>园地</x:v>
      </x:c>
      <x:c r="G132" s="32" t="str">
        <x:v>201</x:v>
      </x:c>
      <x:c r="H132" s="32" t="str">
        <x:v>201</x:v>
      </x:c>
      <x:c r="I132" s="22" t="str">
        <x:v>果园</x:v>
      </x:c>
      <x:c r="J132" s="22" t="str">
        <x:v>农业生态</x:v>
      </x:c>
      <x:c r="K132" s="32" t="str"/>
      <x:c r="L132" s="22" t="str">
        <x:v>不适用/未标注</x:v>
      </x:c>
      <x:c r="M132" s="33" t="n">
        <x:v>12316613.219999995</x:v>
      </x:c>
      <x:c r="N132" s="33" t="n">
        <x:v>1231.6613219999995</x:v>
      </x:c>
      <x:c r="O132" s="22" t="str">
        <x:v>公顷</x:v>
      </x:c>
      <x:c r="P132" s="22" t="str">
        <x:v>未提供（单期横截面）</x:v>
      </x:c>
      <x:c r="Q132" s="23" t="n">
        <x:v>1440</x:v>
      </x:c>
    </x:row>
    <x:row r="133">
      <x:c r="A133" s="30" t="n">
        <x:v>350200</x:v>
      </x:c>
      <x:c r="B133" s="22" t="str">
        <x:v>厦门市</x:v>
      </x:c>
      <x:c r="C133" s="31" t="n">
        <x:v>350205</x:v>
      </x:c>
      <x:c r="D133" s="22" t="str">
        <x:v>海沧区</x:v>
      </x:c>
      <x:c r="E133" s="22" t="str">
        <x:v>农用地</x:v>
      </x:c>
      <x:c r="F133" s="22" t="str">
        <x:v>园地</x:v>
      </x:c>
      <x:c r="G133" s="32" t="str">
        <x:v>0201K</x:v>
      </x:c>
      <x:c r="H133" s="32" t="str">
        <x:v>201</x:v>
      </x:c>
      <x:c r="I133" s="22" t="str">
        <x:v>可调整果园</x:v>
      </x:c>
      <x:c r="J133" s="22" t="str">
        <x:v>农业生态</x:v>
      </x:c>
      <x:c r="K133" s="32" t="str"/>
      <x:c r="L133" s="22" t="str">
        <x:v>不适用/未标注</x:v>
      </x:c>
      <x:c r="M133" s="33" t="n">
        <x:v>2627.51</x:v>
      </x:c>
      <x:c r="N133" s="33" t="n">
        <x:v>0.262751</x:v>
      </x:c>
      <x:c r="O133" s="22" t="str">
        <x:v>公顷</x:v>
      </x:c>
      <x:c r="P133" s="22" t="str">
        <x:v>未提供（单期横截面）</x:v>
      </x:c>
      <x:c r="Q133" s="23" t="n">
        <x:v>1441</x:v>
      </x:c>
    </x:row>
    <x:row r="134">
      <x:c r="A134" s="30" t="n">
        <x:v>350200</x:v>
      </x:c>
      <x:c r="B134" s="22" t="str">
        <x:v>厦门市</x:v>
      </x:c>
      <x:c r="C134" s="31" t="n">
        <x:v>350205</x:v>
      </x:c>
      <x:c r="D134" s="22" t="str">
        <x:v>海沧区</x:v>
      </x:c>
      <x:c r="E134" s="22" t="str">
        <x:v>农用地</x:v>
      </x:c>
      <x:c r="F134" s="22" t="str">
        <x:v>园地</x:v>
      </x:c>
      <x:c r="G134" s="32" t="str">
        <x:v>204</x:v>
      </x:c>
      <x:c r="H134" s="32" t="str">
        <x:v>204</x:v>
      </x:c>
      <x:c r="I134" s="22" t="str">
        <x:v>其他园地</x:v>
      </x:c>
      <x:c r="J134" s="22" t="str">
        <x:v>农业生态</x:v>
      </x:c>
      <x:c r="K134" s="32" t="str"/>
      <x:c r="L134" s="22" t="str">
        <x:v>不适用/未标注</x:v>
      </x:c>
      <x:c r="M134" s="33" t="n">
        <x:v>2563113.600000001</x:v>
      </x:c>
      <x:c r="N134" s="33" t="n">
        <x:v>256.3113600000001</x:v>
      </x:c>
      <x:c r="O134" s="22" t="str">
        <x:v>公顷</x:v>
      </x:c>
      <x:c r="P134" s="22" t="str">
        <x:v>未提供（单期横截面）</x:v>
      </x:c>
      <x:c r="Q134" s="23" t="n">
        <x:v>1442</x:v>
      </x:c>
    </x:row>
    <x:row r="135">
      <x:c r="A135" s="30" t="n">
        <x:v>350200</x:v>
      </x:c>
      <x:c r="B135" s="22" t="str">
        <x:v>厦门市</x:v>
      </x:c>
      <x:c r="C135" s="31" t="n">
        <x:v>350205</x:v>
      </x:c>
      <x:c r="D135" s="22" t="str">
        <x:v>海沧区</x:v>
      </x:c>
      <x:c r="E135" s="22" t="str">
        <x:v>农用地</x:v>
      </x:c>
      <x:c r="F135" s="22" t="str">
        <x:v>园地</x:v>
      </x:c>
      <x:c r="G135" s="32" t="str">
        <x:v>0204K</x:v>
      </x:c>
      <x:c r="H135" s="32" t="str">
        <x:v>0204</x:v>
      </x:c>
      <x:c r="I135" s="22" t="str">
        <x:v>可调整其他园地</x:v>
      </x:c>
      <x:c r="J135" s="22" t="str">
        <x:v>农业生态</x:v>
      </x:c>
      <x:c r="K135" s="32" t="str"/>
      <x:c r="L135" s="22" t="str">
        <x:v>不适用/未标注</x:v>
      </x:c>
      <x:c r="M135" s="33" t="n">
        <x:v>9329.21</x:v>
      </x:c>
      <x:c r="N135" s="33" t="n">
        <x:v>0.9329209999999999</x:v>
      </x:c>
      <x:c r="O135" s="22" t="str">
        <x:v>公顷</x:v>
      </x:c>
      <x:c r="P135" s="22" t="str">
        <x:v>未提供（单期横截面）</x:v>
      </x:c>
      <x:c r="Q135" s="23" t="n">
        <x:v>1443</x:v>
      </x:c>
    </x:row>
    <x:row r="136">
      <x:c r="A136" s="30" t="n">
        <x:v>350200</x:v>
      </x:c>
      <x:c r="B136" s="22" t="str">
        <x:v>厦门市</x:v>
      </x:c>
      <x:c r="C136" s="31" t="n">
        <x:v>350205</x:v>
      </x:c>
      <x:c r="D136" s="22" t="str">
        <x:v>海沧区</x:v>
      </x:c>
      <x:c r="E136" s="22" t="str">
        <x:v>农用地</x:v>
      </x:c>
      <x:c r="F136" s="22" t="str">
        <x:v>林地</x:v>
      </x:c>
      <x:c r="G136" s="32" t="str">
        <x:v>301</x:v>
      </x:c>
      <x:c r="H136" s="32" t="str">
        <x:v>301</x:v>
      </x:c>
      <x:c r="I136" s="22" t="str">
        <x:v>乔木林地</x:v>
      </x:c>
      <x:c r="J136" s="22" t="str">
        <x:v>农业生态</x:v>
      </x:c>
      <x:c r="K136" s="32" t="str"/>
      <x:c r="L136" s="22" t="str">
        <x:v>不适用/未标注</x:v>
      </x:c>
      <x:c r="M136" s="33" t="n">
        <x:v>47904850.85</x:v>
      </x:c>
      <x:c r="N136" s="33" t="n">
        <x:v>4790.485085</x:v>
      </x:c>
      <x:c r="O136" s="22" t="str">
        <x:v>公顷</x:v>
      </x:c>
      <x:c r="P136" s="22" t="str">
        <x:v>未提供（单期横截面）</x:v>
      </x:c>
      <x:c r="Q136" s="23" t="n">
        <x:v>1444</x:v>
      </x:c>
    </x:row>
    <x:row r="137">
      <x:c r="A137" s="30" t="n">
        <x:v>350200</x:v>
      </x:c>
      <x:c r="B137" s="22" t="str">
        <x:v>厦门市</x:v>
      </x:c>
      <x:c r="C137" s="31" t="n">
        <x:v>350205</x:v>
      </x:c>
      <x:c r="D137" s="22" t="str">
        <x:v>海沧区</x:v>
      </x:c>
      <x:c r="E137" s="22" t="str">
        <x:v>农用地</x:v>
      </x:c>
      <x:c r="F137" s="22" t="str">
        <x:v>林地</x:v>
      </x:c>
      <x:c r="G137" s="32" t="str">
        <x:v>302</x:v>
      </x:c>
      <x:c r="H137" s="32" t="str">
        <x:v>302</x:v>
      </x:c>
      <x:c r="I137" s="22" t="str">
        <x:v>竹林地</x:v>
      </x:c>
      <x:c r="J137" s="22" t="str">
        <x:v>农业生态</x:v>
      </x:c>
      <x:c r="K137" s="32" t="str"/>
      <x:c r="L137" s="22" t="str">
        <x:v>不适用/未标注</x:v>
      </x:c>
      <x:c r="M137" s="33" t="n">
        <x:v>33763.22</x:v>
      </x:c>
      <x:c r="N137" s="33" t="n">
        <x:v>3.376322</x:v>
      </x:c>
      <x:c r="O137" s="22" t="str">
        <x:v>公顷</x:v>
      </x:c>
      <x:c r="P137" s="22" t="str">
        <x:v>未提供（单期横截面）</x:v>
      </x:c>
      <x:c r="Q137" s="23" t="n">
        <x:v>1445</x:v>
      </x:c>
    </x:row>
    <x:row r="138">
      <x:c r="A138" s="30" t="n">
        <x:v>350200</x:v>
      </x:c>
      <x:c r="B138" s="22" t="str">
        <x:v>厦门市</x:v>
      </x:c>
      <x:c r="C138" s="31" t="n">
        <x:v>350205</x:v>
      </x:c>
      <x:c r="D138" s="22" t="str">
        <x:v>海沧区</x:v>
      </x:c>
      <x:c r="E138" s="22" t="str">
        <x:v>农用地</x:v>
      </x:c>
      <x:c r="F138" s="22" t="str">
        <x:v>林地</x:v>
      </x:c>
      <x:c r="G138" s="32" t="str">
        <x:v>303</x:v>
      </x:c>
      <x:c r="H138" s="32" t="str">
        <x:v>303</x:v>
      </x:c>
      <x:c r="I138" s="22" t="str">
        <x:v>红树林地</x:v>
      </x:c>
      <x:c r="J138" s="22" t="str">
        <x:v>农业生态</x:v>
      </x:c>
      <x:c r="K138" s="32" t="str"/>
      <x:c r="L138" s="22" t="str">
        <x:v>不适用/未标注</x:v>
      </x:c>
      <x:c r="M138" s="33" t="n">
        <x:v>203069.23</x:v>
      </x:c>
      <x:c r="N138" s="33" t="n">
        <x:v>20.306923</x:v>
      </x:c>
      <x:c r="O138" s="22" t="str">
        <x:v>公顷</x:v>
      </x:c>
      <x:c r="P138" s="22" t="str">
        <x:v>未提供（单期横截面）</x:v>
      </x:c>
      <x:c r="Q138" s="23" t="n">
        <x:v>1446</x:v>
      </x:c>
    </x:row>
    <x:row r="139">
      <x:c r="A139" s="30" t="n">
        <x:v>350200</x:v>
      </x:c>
      <x:c r="B139" s="22" t="str">
        <x:v>厦门市</x:v>
      </x:c>
      <x:c r="C139" s="31" t="n">
        <x:v>350205</x:v>
      </x:c>
      <x:c r="D139" s="22" t="str">
        <x:v>海沧区</x:v>
      </x:c>
      <x:c r="E139" s="22" t="str">
        <x:v>农用地</x:v>
      </x:c>
      <x:c r="F139" s="22" t="str">
        <x:v>林地</x:v>
      </x:c>
      <x:c r="G139" s="32" t="str">
        <x:v>305</x:v>
      </x:c>
      <x:c r="H139" s="32" t="str">
        <x:v>305</x:v>
      </x:c>
      <x:c r="I139" s="22" t="str">
        <x:v>灌木林地</x:v>
      </x:c>
      <x:c r="J139" s="22" t="str">
        <x:v>农业生态</x:v>
      </x:c>
      <x:c r="K139" s="32" t="str"/>
      <x:c r="L139" s="22" t="str">
        <x:v>不适用/未标注</x:v>
      </x:c>
      <x:c r="M139" s="33" t="n">
        <x:v>1077660.3100000003</x:v>
      </x:c>
      <x:c r="N139" s="33" t="n">
        <x:v>107.76603100000003</x:v>
      </x:c>
      <x:c r="O139" s="22" t="str">
        <x:v>公顷</x:v>
      </x:c>
      <x:c r="P139" s="22" t="str">
        <x:v>未提供（单期横截面）</x:v>
      </x:c>
      <x:c r="Q139" s="23" t="n">
        <x:v>1447</x:v>
      </x:c>
    </x:row>
    <x:row r="140">
      <x:c r="A140" s="30" t="n">
        <x:v>350200</x:v>
      </x:c>
      <x:c r="B140" s="22" t="str">
        <x:v>厦门市</x:v>
      </x:c>
      <x:c r="C140" s="31" t="n">
        <x:v>350205</x:v>
      </x:c>
      <x:c r="D140" s="22" t="str">
        <x:v>海沧区</x:v>
      </x:c>
      <x:c r="E140" s="22" t="str">
        <x:v>农用地</x:v>
      </x:c>
      <x:c r="F140" s="22" t="str">
        <x:v>林地</x:v>
      </x:c>
      <x:c r="G140" s="32" t="str">
        <x:v>307</x:v>
      </x:c>
      <x:c r="H140" s="32" t="str">
        <x:v>307</x:v>
      </x:c>
      <x:c r="I140" s="22" t="str">
        <x:v>其他林地</x:v>
      </x:c>
      <x:c r="J140" s="22" t="str">
        <x:v>农业生态</x:v>
      </x:c>
      <x:c r="K140" s="32" t="str"/>
      <x:c r="L140" s="22" t="str">
        <x:v>不适用/未标注</x:v>
      </x:c>
      <x:c r="M140" s="33" t="n">
        <x:v>3749015.509999996</x:v>
      </x:c>
      <x:c r="N140" s="33" t="n">
        <x:v>374.9015509999996</x:v>
      </x:c>
      <x:c r="O140" s="22" t="str">
        <x:v>公顷</x:v>
      </x:c>
      <x:c r="P140" s="22" t="str">
        <x:v>未提供（单期横截面）</x:v>
      </x:c>
      <x:c r="Q140" s="23" t="n">
        <x:v>1448</x:v>
      </x:c>
    </x:row>
    <x:row r="141">
      <x:c r="A141" s="30" t="n">
        <x:v>350200</x:v>
      </x:c>
      <x:c r="B141" s="22" t="str">
        <x:v>厦门市</x:v>
      </x:c>
      <x:c r="C141" s="31" t="n">
        <x:v>350205</x:v>
      </x:c>
      <x:c r="D141" s="22" t="str">
        <x:v>海沧区</x:v>
      </x:c>
      <x:c r="E141" s="22" t="str">
        <x:v>农用地</x:v>
      </x:c>
      <x:c r="F141" s="22" t="str">
        <x:v>其他农用地</x:v>
      </x:c>
      <x:c r="G141" s="32" t="str">
        <x:v>1006</x:v>
      </x:c>
      <x:c r="H141" s="32" t="str">
        <x:v>1006</x:v>
      </x:c>
      <x:c r="I141" s="22" t="str">
        <x:v>农村道路</x:v>
      </x:c>
      <x:c r="J141" s="22" t="str">
        <x:v>农业生态</x:v>
      </x:c>
      <x:c r="K141" s="32" t="str"/>
      <x:c r="L141" s="22" t="str">
        <x:v>不适用/未标注</x:v>
      </x:c>
      <x:c r="M141" s="33" t="n">
        <x:v>1576573.0300000017</x:v>
      </x:c>
      <x:c r="N141" s="33" t="n">
        <x:v>157.65730300000016</x:v>
      </x:c>
      <x:c r="O141" s="22" t="str">
        <x:v>公顷</x:v>
      </x:c>
      <x:c r="P141" s="22" t="str">
        <x:v>未提供（单期横截面）</x:v>
      </x:c>
      <x:c r="Q141" s="23" t="n">
        <x:v>1449</x:v>
      </x:c>
    </x:row>
    <x:row r="142">
      <x:c r="A142" s="30" t="n">
        <x:v>350200</x:v>
      </x:c>
      <x:c r="B142" s="22" t="str">
        <x:v>厦门市</x:v>
      </x:c>
      <x:c r="C142" s="31" t="n">
        <x:v>350205</x:v>
      </x:c>
      <x:c r="D142" s="22" t="str">
        <x:v>海沧区</x:v>
      </x:c>
      <x:c r="E142" s="22" t="str">
        <x:v>农用地</x:v>
      </x:c>
      <x:c r="F142" s="22" t="str">
        <x:v>水域及水利设施</x:v>
      </x:c>
      <x:c r="G142" s="32" t="str">
        <x:v>1103</x:v>
      </x:c>
      <x:c r="H142" s="32" t="str">
        <x:v>1103</x:v>
      </x:c>
      <x:c r="I142" s="22" t="str">
        <x:v>水库水面</x:v>
      </x:c>
      <x:c r="J142" s="22" t="str">
        <x:v>农业生态</x:v>
      </x:c>
      <x:c r="K142" s="32" t="str"/>
      <x:c r="L142" s="22" t="str">
        <x:v>不适用/未标注</x:v>
      </x:c>
      <x:c r="M142" s="33" t="n">
        <x:v>847706.6799999999</x:v>
      </x:c>
      <x:c r="N142" s="33" t="n">
        <x:v>84.770668</x:v>
      </x:c>
      <x:c r="O142" s="22" t="str">
        <x:v>公顷</x:v>
      </x:c>
      <x:c r="P142" s="22" t="str">
        <x:v>未提供（单期横截面）</x:v>
      </x:c>
      <x:c r="Q142" s="23" t="n">
        <x:v>1450</x:v>
      </x:c>
    </x:row>
    <x:row r="143">
      <x:c r="A143" s="30" t="n">
        <x:v>350200</x:v>
      </x:c>
      <x:c r="B143" s="22" t="str">
        <x:v>厦门市</x:v>
      </x:c>
      <x:c r="C143" s="31" t="n">
        <x:v>350205</x:v>
      </x:c>
      <x:c r="D143" s="22" t="str">
        <x:v>海沧区</x:v>
      </x:c>
      <x:c r="E143" s="22" t="str">
        <x:v>农用地</x:v>
      </x:c>
      <x:c r="F143" s="22" t="str">
        <x:v>水域及水利设施</x:v>
      </x:c>
      <x:c r="G143" s="32" t="str">
        <x:v>1104</x:v>
      </x:c>
      <x:c r="H143" s="32" t="str">
        <x:v>1104</x:v>
      </x:c>
      <x:c r="I143" s="22" t="str">
        <x:v>坑塘水面</x:v>
      </x:c>
      <x:c r="J143" s="22" t="str">
        <x:v>农业生态</x:v>
      </x:c>
      <x:c r="K143" s="32" t="str"/>
      <x:c r="L143" s="22" t="str">
        <x:v>不适用/未标注</x:v>
      </x:c>
      <x:c r="M143" s="33" t="n">
        <x:v>4814201.38</x:v>
      </x:c>
      <x:c r="N143" s="33" t="n">
        <x:v>481.420138</x:v>
      </x:c>
      <x:c r="O143" s="22" t="str">
        <x:v>公顷</x:v>
      </x:c>
      <x:c r="P143" s="22" t="str">
        <x:v>未提供（单期横截面）</x:v>
      </x:c>
      <x:c r="Q143" s="23" t="n">
        <x:v>1451</x:v>
      </x:c>
    </x:row>
    <x:row r="144">
      <x:c r="A144" s="30" t="n">
        <x:v>350200</x:v>
      </x:c>
      <x:c r="B144" s="22" t="str">
        <x:v>厦门市</x:v>
      </x:c>
      <x:c r="C144" s="31" t="n">
        <x:v>350205</x:v>
      </x:c>
      <x:c r="D144" s="22" t="str">
        <x:v>海沧区</x:v>
      </x:c>
      <x:c r="E144" s="22" t="str">
        <x:v>农用地</x:v>
      </x:c>
      <x:c r="F144" s="22" t="str">
        <x:v>水域及水利设施</x:v>
      </x:c>
      <x:c r="G144" s="32" t="str">
        <x:v>1104A</x:v>
      </x:c>
      <x:c r="H144" s="32" t="str">
        <x:v>1104</x:v>
      </x:c>
      <x:c r="I144" s="22" t="str">
        <x:v>养殖坑塘</x:v>
      </x:c>
      <x:c r="J144" s="22" t="str">
        <x:v>农业生态</x:v>
      </x:c>
      <x:c r="K144" s="32" t="str"/>
      <x:c r="L144" s="22" t="str">
        <x:v>不适用/未标注</x:v>
      </x:c>
      <x:c r="M144" s="33" t="n">
        <x:v>1204105.2700000005</x:v>
      </x:c>
      <x:c r="N144" s="33" t="n">
        <x:v>120.41052700000004</x:v>
      </x:c>
      <x:c r="O144" s="22" t="str">
        <x:v>公顷</x:v>
      </x:c>
      <x:c r="P144" s="22" t="str">
        <x:v>未提供（单期横截面）</x:v>
      </x:c>
      <x:c r="Q144" s="23" t="n">
        <x:v>1452</x:v>
      </x:c>
    </x:row>
    <x:row r="145">
      <x:c r="A145" s="30" t="n">
        <x:v>350200</x:v>
      </x:c>
      <x:c r="B145" s="22" t="str">
        <x:v>厦门市</x:v>
      </x:c>
      <x:c r="C145" s="31" t="n">
        <x:v>350205</x:v>
      </x:c>
      <x:c r="D145" s="22" t="str">
        <x:v>海沧区</x:v>
      </x:c>
      <x:c r="E145" s="22" t="str">
        <x:v>农用地</x:v>
      </x:c>
      <x:c r="F145" s="22" t="str">
        <x:v>水域及水利设施</x:v>
      </x:c>
      <x:c r="G145" s="32" t="str">
        <x:v>1107</x:v>
      </x:c>
      <x:c r="H145" s="32" t="str">
        <x:v>1107</x:v>
      </x:c>
      <x:c r="I145" s="22" t="str">
        <x:v>沟渠</x:v>
      </x:c>
      <x:c r="J145" s="22" t="str">
        <x:v>农业生态</x:v>
      </x:c>
      <x:c r="K145" s="32" t="str"/>
      <x:c r="L145" s="22" t="str">
        <x:v>不适用/未标注</x:v>
      </x:c>
      <x:c r="M145" s="33" t="n">
        <x:v>464050.7100000001</x:v>
      </x:c>
      <x:c r="N145" s="33" t="n">
        <x:v>46.40507100000001</x:v>
      </x:c>
      <x:c r="O145" s="22" t="str">
        <x:v>公顷</x:v>
      </x:c>
      <x:c r="P145" s="22" t="str">
        <x:v>未提供（单期横截面）</x:v>
      </x:c>
      <x:c r="Q145" s="23" t="n">
        <x:v>1453</x:v>
      </x:c>
    </x:row>
    <x:row r="146">
      <x:c r="A146" s="30" t="n">
        <x:v>350200</x:v>
      </x:c>
      <x:c r="B146" s="22" t="str">
        <x:v>厦门市</x:v>
      </x:c>
      <x:c r="C146" s="31" t="n">
        <x:v>350205</x:v>
      </x:c>
      <x:c r="D146" s="22" t="str">
        <x:v>海沧区</x:v>
      </x:c>
      <x:c r="E146" s="22" t="str">
        <x:v>农用地</x:v>
      </x:c>
      <x:c r="F146" s="22" t="str">
        <x:v>其他农用地</x:v>
      </x:c>
      <x:c r="G146" s="32" t="str">
        <x:v>1202</x:v>
      </x:c>
      <x:c r="H146" s="32" t="str">
        <x:v>1202</x:v>
      </x:c>
      <x:c r="I146" s="22" t="str">
        <x:v>设施农用地</x:v>
      </x:c>
      <x:c r="J146" s="22" t="str">
        <x:v>农业生态</x:v>
      </x:c>
      <x:c r="K146" s="32" t="str"/>
      <x:c r="L146" s="22" t="str">
        <x:v>不适用/未标注</x:v>
      </x:c>
      <x:c r="M146" s="33" t="n">
        <x:v>721927.4099999998</x:v>
      </x:c>
      <x:c r="N146" s="33" t="n">
        <x:v>72.19274099999998</x:v>
      </x:c>
      <x:c r="O146" s="22" t="str">
        <x:v>公顷</x:v>
      </x:c>
      <x:c r="P146" s="22" t="str">
        <x:v>未提供（单期横截面）</x:v>
      </x:c>
      <x:c r="Q146" s="23" t="n">
        <x:v>1454</x:v>
      </x:c>
    </x:row>
    <x:row r="147">
      <x:c r="A147" s="30" t="n">
        <x:v>350200</x:v>
      </x:c>
      <x:c r="B147" s="22" t="str">
        <x:v>厦门市</x:v>
      </x:c>
      <x:c r="C147" s="31" t="n">
        <x:v>350205</x:v>
      </x:c>
      <x:c r="D147" s="22" t="str">
        <x:v>海沧区</x:v>
      </x:c>
      <x:c r="E147" s="22" t="str">
        <x:v>农用地</x:v>
      </x:c>
      <x:c r="F147" s="22" t="str">
        <x:v>耕地</x:v>
      </x:c>
      <x:c r="G147" s="32" t="str">
        <x:v>101</x:v>
      </x:c>
      <x:c r="H147" s="32" t="str">
        <x:v>101</x:v>
      </x:c>
      <x:c r="I147" s="22" t="str">
        <x:v>水田</x:v>
      </x:c>
      <x:c r="J147" s="22" t="str">
        <x:v>农业生态</x:v>
      </x:c>
      <x:c r="K147" s="32" t="str">
        <x:v>201</x:v>
      </x:c>
      <x:c r="L147" s="22" t="str">
        <x:v>城市范围</x:v>
      </x:c>
      <x:c r="M147" s="33" t="n">
        <x:v>4531.4400000000005</x:v>
      </x:c>
      <x:c r="N147" s="33" t="n">
        <x:v>0.45314400000000005</x:v>
      </x:c>
      <x:c r="O147" s="22" t="str">
        <x:v>公顷</x:v>
      </x:c>
      <x:c r="P147" s="22" t="str">
        <x:v>未提供（单期横截面）</x:v>
      </x:c>
      <x:c r="Q147" s="23" t="n">
        <x:v>1455</x:v>
      </x:c>
    </x:row>
    <x:row r="148">
      <x:c r="A148" s="30" t="n">
        <x:v>350200</x:v>
      </x:c>
      <x:c r="B148" s="22" t="str">
        <x:v>厦门市</x:v>
      </x:c>
      <x:c r="C148" s="31" t="n">
        <x:v>350205</x:v>
      </x:c>
      <x:c r="D148" s="22" t="str">
        <x:v>海沧区</x:v>
      </x:c>
      <x:c r="E148" s="22" t="str">
        <x:v>农用地</x:v>
      </x:c>
      <x:c r="F148" s="22" t="str">
        <x:v>耕地</x:v>
      </x:c>
      <x:c r="G148" s="32" t="str">
        <x:v>102</x:v>
      </x:c>
      <x:c r="H148" s="32" t="str">
        <x:v>102</x:v>
      </x:c>
      <x:c r="I148" s="22" t="str">
        <x:v>水浇地</x:v>
      </x:c>
      <x:c r="J148" s="22" t="str">
        <x:v>农业生态</x:v>
      </x:c>
      <x:c r="K148" s="32" t="str">
        <x:v>201</x:v>
      </x:c>
      <x:c r="L148" s="22" t="str">
        <x:v>城市范围</x:v>
      </x:c>
      <x:c r="M148" s="33" t="n">
        <x:v>92066.42000000003</x:v>
      </x:c>
      <x:c r="N148" s="33" t="n">
        <x:v>9.206642000000002</x:v>
      </x:c>
      <x:c r="O148" s="22" t="str">
        <x:v>公顷</x:v>
      </x:c>
      <x:c r="P148" s="22" t="str">
        <x:v>未提供（单期横截面）</x:v>
      </x:c>
      <x:c r="Q148" s="23" t="n">
        <x:v>1456</x:v>
      </x:c>
    </x:row>
    <x:row r="149">
      <x:c r="A149" s="30" t="n">
        <x:v>350200</x:v>
      </x:c>
      <x:c r="B149" s="22" t="str">
        <x:v>厦门市</x:v>
      </x:c>
      <x:c r="C149" s="31" t="n">
        <x:v>350205</x:v>
      </x:c>
      <x:c r="D149" s="22" t="str">
        <x:v>海沧区</x:v>
      </x:c>
      <x:c r="E149" s="22" t="str">
        <x:v>农用地</x:v>
      </x:c>
      <x:c r="F149" s="22" t="str">
        <x:v>耕地</x:v>
      </x:c>
      <x:c r="G149" s="32" t="str">
        <x:v>103</x:v>
      </x:c>
      <x:c r="H149" s="32" t="str">
        <x:v>103</x:v>
      </x:c>
      <x:c r="I149" s="22" t="str">
        <x:v>旱地</x:v>
      </x:c>
      <x:c r="J149" s="22" t="str">
        <x:v>农业生态</x:v>
      </x:c>
      <x:c r="K149" s="32" t="str">
        <x:v>201</x:v>
      </x:c>
      <x:c r="L149" s="22" t="str">
        <x:v>城市范围</x:v>
      </x:c>
      <x:c r="M149" s="33" t="n">
        <x:v>71386.29</x:v>
      </x:c>
      <x:c r="N149" s="33" t="n">
        <x:v>7.138628999999999</x:v>
      </x:c>
      <x:c r="O149" s="22" t="str">
        <x:v>公顷</x:v>
      </x:c>
      <x:c r="P149" s="22" t="str">
        <x:v>未提供（单期横截面）</x:v>
      </x:c>
      <x:c r="Q149" s="23" t="n">
        <x:v>1457</x:v>
      </x:c>
    </x:row>
    <x:row r="150">
      <x:c r="A150" s="30" t="n">
        <x:v>350200</x:v>
      </x:c>
      <x:c r="B150" s="22" t="str">
        <x:v>厦门市</x:v>
      </x:c>
      <x:c r="C150" s="31" t="n">
        <x:v>350205</x:v>
      </x:c>
      <x:c r="D150" s="22" t="str">
        <x:v>海沧区</x:v>
      </x:c>
      <x:c r="E150" s="22" t="str">
        <x:v>农用地</x:v>
      </x:c>
      <x:c r="F150" s="22" t="str">
        <x:v>园地</x:v>
      </x:c>
      <x:c r="G150" s="32" t="str">
        <x:v>201</x:v>
      </x:c>
      <x:c r="H150" s="32" t="str">
        <x:v>201</x:v>
      </x:c>
      <x:c r="I150" s="22" t="str">
        <x:v>果园</x:v>
      </x:c>
      <x:c r="J150" s="22" t="str">
        <x:v>农业生态</x:v>
      </x:c>
      <x:c r="K150" s="32" t="str">
        <x:v>201</x:v>
      </x:c>
      <x:c r="L150" s="22" t="str">
        <x:v>城市范围</x:v>
      </x:c>
      <x:c r="M150" s="33" t="n">
        <x:v>215117.34000000003</x:v>
      </x:c>
      <x:c r="N150" s="33" t="n">
        <x:v>21.511734000000004</x:v>
      </x:c>
      <x:c r="O150" s="22" t="str">
        <x:v>公顷</x:v>
      </x:c>
      <x:c r="P150" s="22" t="str">
        <x:v>未提供（单期横截面）</x:v>
      </x:c>
      <x:c r="Q150" s="23" t="n">
        <x:v>1458</x:v>
      </x:c>
    </x:row>
    <x:row r="151">
      <x:c r="A151" s="30" t="n">
        <x:v>350200</x:v>
      </x:c>
      <x:c r="B151" s="22" t="str">
        <x:v>厦门市</x:v>
      </x:c>
      <x:c r="C151" s="31" t="n">
        <x:v>350205</x:v>
      </x:c>
      <x:c r="D151" s="22" t="str">
        <x:v>海沧区</x:v>
      </x:c>
      <x:c r="E151" s="22" t="str">
        <x:v>农用地</x:v>
      </x:c>
      <x:c r="F151" s="22" t="str">
        <x:v>园地</x:v>
      </x:c>
      <x:c r="G151" s="32" t="str">
        <x:v>204</x:v>
      </x:c>
      <x:c r="H151" s="32" t="str">
        <x:v>204</x:v>
      </x:c>
      <x:c r="I151" s="22" t="str">
        <x:v>其他园地</x:v>
      </x:c>
      <x:c r="J151" s="22" t="str">
        <x:v>农业生态</x:v>
      </x:c>
      <x:c r="K151" s="32" t="str">
        <x:v>201</x:v>
      </x:c>
      <x:c r="L151" s="22" t="str">
        <x:v>城市范围</x:v>
      </x:c>
      <x:c r="M151" s="33" t="n">
        <x:v>182524.93000000002</x:v>
      </x:c>
      <x:c r="N151" s="33" t="n">
        <x:v>18.252493</x:v>
      </x:c>
      <x:c r="O151" s="22" t="str">
        <x:v>公顷</x:v>
      </x:c>
      <x:c r="P151" s="22" t="str">
        <x:v>未提供（单期横截面）</x:v>
      </x:c>
      <x:c r="Q151" s="23" t="n">
        <x:v>1459</x:v>
      </x:c>
    </x:row>
    <x:row r="152">
      <x:c r="A152" s="30" t="n">
        <x:v>350200</x:v>
      </x:c>
      <x:c r="B152" s="22" t="str">
        <x:v>厦门市</x:v>
      </x:c>
      <x:c r="C152" s="31" t="n">
        <x:v>350205</x:v>
      </x:c>
      <x:c r="D152" s="22" t="str">
        <x:v>海沧区</x:v>
      </x:c>
      <x:c r="E152" s="22" t="str">
        <x:v>农用地</x:v>
      </x:c>
      <x:c r="F152" s="22" t="str">
        <x:v>林地</x:v>
      </x:c>
      <x:c r="G152" s="32" t="str">
        <x:v>301</x:v>
      </x:c>
      <x:c r="H152" s="32" t="str">
        <x:v>301</x:v>
      </x:c>
      <x:c r="I152" s="22" t="str">
        <x:v>乔木林地</x:v>
      </x:c>
      <x:c r="J152" s="22" t="str">
        <x:v>农业生态</x:v>
      </x:c>
      <x:c r="K152" s="32" t="str">
        <x:v>201</x:v>
      </x:c>
      <x:c r="L152" s="22" t="str">
        <x:v>城市范围</x:v>
      </x:c>
      <x:c r="M152" s="33" t="n">
        <x:v>306740.8999999999</x:v>
      </x:c>
      <x:c r="N152" s="33" t="n">
        <x:v>30.67408999999999</x:v>
      </x:c>
      <x:c r="O152" s="22" t="str">
        <x:v>公顷</x:v>
      </x:c>
      <x:c r="P152" s="22" t="str">
        <x:v>未提供（单期横截面）</x:v>
      </x:c>
      <x:c r="Q152" s="23" t="n">
        <x:v>1460</x:v>
      </x:c>
    </x:row>
    <x:row r="153">
      <x:c r="A153" s="30" t="n">
        <x:v>350200</x:v>
      </x:c>
      <x:c r="B153" s="22" t="str">
        <x:v>厦门市</x:v>
      </x:c>
      <x:c r="C153" s="31" t="n">
        <x:v>350205</x:v>
      </x:c>
      <x:c r="D153" s="22" t="str">
        <x:v>海沧区</x:v>
      </x:c>
      <x:c r="E153" s="22" t="str">
        <x:v>农用地</x:v>
      </x:c>
      <x:c r="F153" s="22" t="str">
        <x:v>林地</x:v>
      </x:c>
      <x:c r="G153" s="32" t="str">
        <x:v>305</x:v>
      </x:c>
      <x:c r="H153" s="32" t="str">
        <x:v>305</x:v>
      </x:c>
      <x:c r="I153" s="22" t="str">
        <x:v>灌木林地</x:v>
      </x:c>
      <x:c r="J153" s="22" t="str">
        <x:v>农业生态</x:v>
      </x:c>
      <x:c r="K153" s="32" t="str">
        <x:v>201</x:v>
      </x:c>
      <x:c r="L153" s="22" t="str">
        <x:v>城市范围</x:v>
      </x:c>
      <x:c r="M153" s="33" t="n">
        <x:v>48039.83</x:v>
      </x:c>
      <x:c r="N153" s="33" t="n">
        <x:v>4.803983000000001</x:v>
      </x:c>
      <x:c r="O153" s="22" t="str">
        <x:v>公顷</x:v>
      </x:c>
      <x:c r="P153" s="22" t="str">
        <x:v>未提供（单期横截面）</x:v>
      </x:c>
      <x:c r="Q153" s="23" t="n">
        <x:v>1461</x:v>
      </x:c>
    </x:row>
    <x:row r="154">
      <x:c r="A154" s="30" t="n">
        <x:v>350200</x:v>
      </x:c>
      <x:c r="B154" s="22" t="str">
        <x:v>厦门市</x:v>
      </x:c>
      <x:c r="C154" s="31" t="n">
        <x:v>350205</x:v>
      </x:c>
      <x:c r="D154" s="22" t="str">
        <x:v>海沧区</x:v>
      </x:c>
      <x:c r="E154" s="22" t="str">
        <x:v>农用地</x:v>
      </x:c>
      <x:c r="F154" s="22" t="str">
        <x:v>林地</x:v>
      </x:c>
      <x:c r="G154" s="32" t="str">
        <x:v>307</x:v>
      </x:c>
      <x:c r="H154" s="32" t="str">
        <x:v>307</x:v>
      </x:c>
      <x:c r="I154" s="22" t="str">
        <x:v>其他林地</x:v>
      </x:c>
      <x:c r="J154" s="22" t="str">
        <x:v>农业生态</x:v>
      </x:c>
      <x:c r="K154" s="32" t="str">
        <x:v>201</x:v>
      </x:c>
      <x:c r="L154" s="22" t="str">
        <x:v>城市范围</x:v>
      </x:c>
      <x:c r="M154" s="33" t="n">
        <x:v>44727.47</x:v>
      </x:c>
      <x:c r="N154" s="33" t="n">
        <x:v>4.472747</x:v>
      </x:c>
      <x:c r="O154" s="22" t="str">
        <x:v>公顷</x:v>
      </x:c>
      <x:c r="P154" s="22" t="str">
        <x:v>未提供（单期横截面）</x:v>
      </x:c>
      <x:c r="Q154" s="23" t="n">
        <x:v>1462</x:v>
      </x:c>
    </x:row>
    <x:row r="155">
      <x:c r="A155" s="30" t="n">
        <x:v>350200</x:v>
      </x:c>
      <x:c r="B155" s="22" t="str">
        <x:v>厦门市</x:v>
      </x:c>
      <x:c r="C155" s="31" t="n">
        <x:v>350205</x:v>
      </x:c>
      <x:c r="D155" s="22" t="str">
        <x:v>海沧区</x:v>
      </x:c>
      <x:c r="E155" s="22" t="str">
        <x:v>农用地</x:v>
      </x:c>
      <x:c r="F155" s="22" t="str">
        <x:v>其他农用地</x:v>
      </x:c>
      <x:c r="G155" s="32" t="str">
        <x:v>1006</x:v>
      </x:c>
      <x:c r="H155" s="32" t="str">
        <x:v>1006</x:v>
      </x:c>
      <x:c r="I155" s="22" t="str">
        <x:v>农村道路</x:v>
      </x:c>
      <x:c r="J155" s="22" t="str">
        <x:v>农业生态</x:v>
      </x:c>
      <x:c r="K155" s="32" t="str">
        <x:v>201</x:v>
      </x:c>
      <x:c r="L155" s="22" t="str">
        <x:v>城市范围</x:v>
      </x:c>
      <x:c r="M155" s="33" t="n">
        <x:v>17537.579999999998</x:v>
      </x:c>
      <x:c r="N155" s="33" t="n">
        <x:v>1.7537579999999997</x:v>
      </x:c>
      <x:c r="O155" s="22" t="str">
        <x:v>公顷</x:v>
      </x:c>
      <x:c r="P155" s="22" t="str">
        <x:v>未提供（单期横截面）</x:v>
      </x:c>
      <x:c r="Q155" s="23" t="n">
        <x:v>1463</x:v>
      </x:c>
    </x:row>
    <x:row r="156">
      <x:c r="A156" s="30" t="n">
        <x:v>350200</x:v>
      </x:c>
      <x:c r="B156" s="22" t="str">
        <x:v>厦门市</x:v>
      </x:c>
      <x:c r="C156" s="31" t="n">
        <x:v>350205</x:v>
      </x:c>
      <x:c r="D156" s="22" t="str">
        <x:v>海沧区</x:v>
      </x:c>
      <x:c r="E156" s="22" t="str">
        <x:v>农用地</x:v>
      </x:c>
      <x:c r="F156" s="22" t="str">
        <x:v>水域及水利设施</x:v>
      </x:c>
      <x:c r="G156" s="32" t="str">
        <x:v>1104</x:v>
      </x:c>
      <x:c r="H156" s="32" t="str">
        <x:v>1104</x:v>
      </x:c>
      <x:c r="I156" s="22" t="str">
        <x:v>坑塘水面</x:v>
      </x:c>
      <x:c r="J156" s="22" t="str">
        <x:v>农业生态</x:v>
      </x:c>
      <x:c r="K156" s="32" t="str">
        <x:v>201</x:v>
      </x:c>
      <x:c r="L156" s="22" t="str">
        <x:v>城市范围</x:v>
      </x:c>
      <x:c r="M156" s="33" t="n">
        <x:v>101657.14000000001</x:v>
      </x:c>
      <x:c r="N156" s="33" t="n">
        <x:v>10.165714000000001</x:v>
      </x:c>
      <x:c r="O156" s="22" t="str">
        <x:v>公顷</x:v>
      </x:c>
      <x:c r="P156" s="22" t="str">
        <x:v>未提供（单期横截面）</x:v>
      </x:c>
      <x:c r="Q156" s="23" t="n">
        <x:v>1464</x:v>
      </x:c>
    </x:row>
    <x:row r="157">
      <x:c r="A157" s="30" t="n">
        <x:v>350200</x:v>
      </x:c>
      <x:c r="B157" s="22" t="str">
        <x:v>厦门市</x:v>
      </x:c>
      <x:c r="C157" s="31" t="n">
        <x:v>350205</x:v>
      </x:c>
      <x:c r="D157" s="22" t="str">
        <x:v>海沧区</x:v>
      </x:c>
      <x:c r="E157" s="22" t="str">
        <x:v>农用地</x:v>
      </x:c>
      <x:c r="F157" s="22" t="str">
        <x:v>水域及水利设施</x:v>
      </x:c>
      <x:c r="G157" s="32" t="str">
        <x:v>1104A</x:v>
      </x:c>
      <x:c r="H157" s="32" t="str">
        <x:v>1104</x:v>
      </x:c>
      <x:c r="I157" s="22" t="str">
        <x:v>养殖坑塘</x:v>
      </x:c>
      <x:c r="J157" s="22" t="str">
        <x:v>农业生态</x:v>
      </x:c>
      <x:c r="K157" s="32" t="str">
        <x:v>201</x:v>
      </x:c>
      <x:c r="L157" s="22" t="str">
        <x:v>城市范围</x:v>
      </x:c>
      <x:c r="M157" s="33" t="n">
        <x:v>27513.480000000003</x:v>
      </x:c>
      <x:c r="N157" s="33" t="n">
        <x:v>2.751348</x:v>
      </x:c>
      <x:c r="O157" s="22" t="str">
        <x:v>公顷</x:v>
      </x:c>
      <x:c r="P157" s="22" t="str">
        <x:v>未提供（单期横截面）</x:v>
      </x:c>
      <x:c r="Q157" s="23" t="n">
        <x:v>1465</x:v>
      </x:c>
    </x:row>
    <x:row r="158">
      <x:c r="A158" s="30" t="n">
        <x:v>350200</x:v>
      </x:c>
      <x:c r="B158" s="22" t="str">
        <x:v>厦门市</x:v>
      </x:c>
      <x:c r="C158" s="31" t="n">
        <x:v>350205</x:v>
      </x:c>
      <x:c r="D158" s="22" t="str">
        <x:v>海沧区</x:v>
      </x:c>
      <x:c r="E158" s="22" t="str">
        <x:v>农用地</x:v>
      </x:c>
      <x:c r="F158" s="22" t="str">
        <x:v>水域及水利设施</x:v>
      </x:c>
      <x:c r="G158" s="32" t="str">
        <x:v>1107</x:v>
      </x:c>
      <x:c r="H158" s="32" t="str">
        <x:v>1107</x:v>
      </x:c>
      <x:c r="I158" s="22" t="str">
        <x:v>沟渠</x:v>
      </x:c>
      <x:c r="J158" s="22" t="str">
        <x:v>农业生态</x:v>
      </x:c>
      <x:c r="K158" s="32" t="str">
        <x:v>201</x:v>
      </x:c>
      <x:c r="L158" s="22" t="str">
        <x:v>城市范围</x:v>
      </x:c>
      <x:c r="M158" s="33" t="n">
        <x:v>82303.73999999999</x:v>
      </x:c>
      <x:c r="N158" s="33" t="n">
        <x:v>8.230374</x:v>
      </x:c>
      <x:c r="O158" s="22" t="str">
        <x:v>公顷</x:v>
      </x:c>
      <x:c r="P158" s="22" t="str">
        <x:v>未提供（单期横截面）</x:v>
      </x:c>
      <x:c r="Q158" s="23" t="n">
        <x:v>1466</x:v>
      </x:c>
    </x:row>
    <x:row r="159">
      <x:c r="A159" s="30" t="n">
        <x:v>350200</x:v>
      </x:c>
      <x:c r="B159" s="22" t="str">
        <x:v>厦门市</x:v>
      </x:c>
      <x:c r="C159" s="31" t="n">
        <x:v>350205</x:v>
      </x:c>
      <x:c r="D159" s="22" t="str">
        <x:v>海沧区</x:v>
      </x:c>
      <x:c r="E159" s="22" t="str">
        <x:v>农用地</x:v>
      </x:c>
      <x:c r="F159" s="22" t="str">
        <x:v>其他农用地</x:v>
      </x:c>
      <x:c r="G159" s="32" t="str">
        <x:v>1202</x:v>
      </x:c>
      <x:c r="H159" s="32" t="str">
        <x:v>1202</x:v>
      </x:c>
      <x:c r="I159" s="22" t="str">
        <x:v>设施农用地</x:v>
      </x:c>
      <x:c r="J159" s="22" t="str">
        <x:v>农业生态</x:v>
      </x:c>
      <x:c r="K159" s="32" t="str">
        <x:v>201</x:v>
      </x:c>
      <x:c r="L159" s="22" t="str">
        <x:v>城市范围</x:v>
      </x:c>
      <x:c r="M159" s="33" t="n">
        <x:v>51782.54000000001</x:v>
      </x:c>
      <x:c r="N159" s="33" t="n">
        <x:v>5.178254000000001</x:v>
      </x:c>
      <x:c r="O159" s="22" t="str">
        <x:v>公顷</x:v>
      </x:c>
      <x:c r="P159" s="22" t="str">
        <x:v>未提供（单期横截面）</x:v>
      </x:c>
      <x:c r="Q159" s="23" t="n">
        <x:v>1467</x:v>
      </x:c>
    </x:row>
    <x:row r="160">
      <x:c r="A160" s="30" t="n">
        <x:v>350200</x:v>
      </x:c>
      <x:c r="B160" s="22" t="str">
        <x:v>厦门市</x:v>
      </x:c>
      <x:c r="C160" s="31" t="n">
        <x:v>350205</x:v>
      </x:c>
      <x:c r="D160" s="22" t="str">
        <x:v>海沧区</x:v>
      </x:c>
      <x:c r="E160" s="22" t="str">
        <x:v>农用地</x:v>
      </x:c>
      <x:c r="F160" s="22" t="str">
        <x:v>耕地</x:v>
      </x:c>
      <x:c r="G160" s="32" t="str">
        <x:v>101</x:v>
      </x:c>
      <x:c r="H160" s="32" t="str">
        <x:v>101</x:v>
      </x:c>
      <x:c r="I160" s="22" t="str">
        <x:v>水田</x:v>
      </x:c>
      <x:c r="J160" s="22" t="str">
        <x:v>农业生态</x:v>
      </x:c>
      <x:c r="K160" s="32" t="str">
        <x:v>202</x:v>
      </x:c>
      <x:c r="L160" s="22" t="str">
        <x:v>建制镇范围</x:v>
      </x:c>
      <x:c r="M160" s="33" t="n">
        <x:v>5192.04</x:v>
      </x:c>
      <x:c r="N160" s="33" t="n">
        <x:v>0.519204</x:v>
      </x:c>
      <x:c r="O160" s="22" t="str">
        <x:v>公顷</x:v>
      </x:c>
      <x:c r="P160" s="22" t="str">
        <x:v>未提供（单期横截面）</x:v>
      </x:c>
      <x:c r="Q160" s="23" t="n">
        <x:v>1468</x:v>
      </x:c>
    </x:row>
    <x:row r="161">
      <x:c r="A161" s="30" t="n">
        <x:v>350200</x:v>
      </x:c>
      <x:c r="B161" s="22" t="str">
        <x:v>厦门市</x:v>
      </x:c>
      <x:c r="C161" s="31" t="n">
        <x:v>350205</x:v>
      </x:c>
      <x:c r="D161" s="22" t="str">
        <x:v>海沧区</x:v>
      </x:c>
      <x:c r="E161" s="22" t="str">
        <x:v>农用地</x:v>
      </x:c>
      <x:c r="F161" s="22" t="str">
        <x:v>耕地</x:v>
      </x:c>
      <x:c r="G161" s="32" t="str">
        <x:v>102</x:v>
      </x:c>
      <x:c r="H161" s="32" t="str">
        <x:v>102</x:v>
      </x:c>
      <x:c r="I161" s="22" t="str">
        <x:v>水浇地</x:v>
      </x:c>
      <x:c r="J161" s="22" t="str">
        <x:v>农业生态</x:v>
      </x:c>
      <x:c r="K161" s="32" t="str">
        <x:v>202</x:v>
      </x:c>
      <x:c r="L161" s="22" t="str">
        <x:v>建制镇范围</x:v>
      </x:c>
      <x:c r="M161" s="33" t="n">
        <x:v>6020.410000000001</x:v>
      </x:c>
      <x:c r="N161" s="33" t="n">
        <x:v>0.602041</x:v>
      </x:c>
      <x:c r="O161" s="22" t="str">
        <x:v>公顷</x:v>
      </x:c>
      <x:c r="P161" s="22" t="str">
        <x:v>未提供（单期横截面）</x:v>
      </x:c>
      <x:c r="Q161" s="23" t="n">
        <x:v>1469</x:v>
      </x:c>
    </x:row>
    <x:row r="162">
      <x:c r="A162" s="30" t="n">
        <x:v>350200</x:v>
      </x:c>
      <x:c r="B162" s="22" t="str">
        <x:v>厦门市</x:v>
      </x:c>
      <x:c r="C162" s="31" t="n">
        <x:v>350205</x:v>
      </x:c>
      <x:c r="D162" s="22" t="str">
        <x:v>海沧区</x:v>
      </x:c>
      <x:c r="E162" s="22" t="str">
        <x:v>农用地</x:v>
      </x:c>
      <x:c r="F162" s="22" t="str">
        <x:v>耕地</x:v>
      </x:c>
      <x:c r="G162" s="32" t="str">
        <x:v>103</x:v>
      </x:c>
      <x:c r="H162" s="32" t="str">
        <x:v>103</x:v>
      </x:c>
      <x:c r="I162" s="22" t="str">
        <x:v>旱地</x:v>
      </x:c>
      <x:c r="J162" s="22" t="str">
        <x:v>农业生态</x:v>
      </x:c>
      <x:c r="K162" s="32" t="str">
        <x:v>202</x:v>
      </x:c>
      <x:c r="L162" s="22" t="str">
        <x:v>建制镇范围</x:v>
      </x:c>
      <x:c r="M162" s="33" t="n">
        <x:v>4222.07</x:v>
      </x:c>
      <x:c r="N162" s="33" t="n">
        <x:v>0.42220699999999994</x:v>
      </x:c>
      <x:c r="O162" s="22" t="str">
        <x:v>公顷</x:v>
      </x:c>
      <x:c r="P162" s="22" t="str">
        <x:v>未提供（单期横截面）</x:v>
      </x:c>
      <x:c r="Q162" s="23" t="n">
        <x:v>1470</x:v>
      </x:c>
    </x:row>
    <x:row r="163">
      <x:c r="A163" s="30" t="n">
        <x:v>350200</x:v>
      </x:c>
      <x:c r="B163" s="22" t="str">
        <x:v>厦门市</x:v>
      </x:c>
      <x:c r="C163" s="31" t="n">
        <x:v>350205</x:v>
      </x:c>
      <x:c r="D163" s="22" t="str">
        <x:v>海沧区</x:v>
      </x:c>
      <x:c r="E163" s="22" t="str">
        <x:v>农用地</x:v>
      </x:c>
      <x:c r="F163" s="22" t="str">
        <x:v>园地</x:v>
      </x:c>
      <x:c r="G163" s="32" t="str">
        <x:v>201</x:v>
      </x:c>
      <x:c r="H163" s="32" t="str">
        <x:v>201</x:v>
      </x:c>
      <x:c r="I163" s="22" t="str">
        <x:v>果园</x:v>
      </x:c>
      <x:c r="J163" s="22" t="str">
        <x:v>农业生态</x:v>
      </x:c>
      <x:c r="K163" s="32" t="str">
        <x:v>202</x:v>
      </x:c>
      <x:c r="L163" s="22" t="str">
        <x:v>建制镇范围</x:v>
      </x:c>
      <x:c r="M163" s="33" t="n">
        <x:v>24970.27</x:v>
      </x:c>
      <x:c r="N163" s="33" t="n">
        <x:v>2.497027</x:v>
      </x:c>
      <x:c r="O163" s="22" t="str">
        <x:v>公顷</x:v>
      </x:c>
      <x:c r="P163" s="22" t="str">
        <x:v>未提供（单期横截面）</x:v>
      </x:c>
      <x:c r="Q163" s="23" t="n">
        <x:v>1471</x:v>
      </x:c>
    </x:row>
    <x:row r="164">
      <x:c r="A164" s="30" t="n">
        <x:v>350200</x:v>
      </x:c>
      <x:c r="B164" s="22" t="str">
        <x:v>厦门市</x:v>
      </x:c>
      <x:c r="C164" s="31" t="n">
        <x:v>350205</x:v>
      </x:c>
      <x:c r="D164" s="22" t="str">
        <x:v>海沧区</x:v>
      </x:c>
      <x:c r="E164" s="22" t="str">
        <x:v>农用地</x:v>
      </x:c>
      <x:c r="F164" s="22" t="str">
        <x:v>园地</x:v>
      </x:c>
      <x:c r="G164" s="32" t="str">
        <x:v>204</x:v>
      </x:c>
      <x:c r="H164" s="32" t="str">
        <x:v>204</x:v>
      </x:c>
      <x:c r="I164" s="22" t="str">
        <x:v>其他园地</x:v>
      </x:c>
      <x:c r="J164" s="22" t="str">
        <x:v>农业生态</x:v>
      </x:c>
      <x:c r="K164" s="32" t="str">
        <x:v>202</x:v>
      </x:c>
      <x:c r="L164" s="22" t="str">
        <x:v>建制镇范围</x:v>
      </x:c>
      <x:c r="M164" s="33" t="n">
        <x:v>24749.31</x:v>
      </x:c>
      <x:c r="N164" s="33" t="n">
        <x:v>2.474931</x:v>
      </x:c>
      <x:c r="O164" s="22" t="str">
        <x:v>公顷</x:v>
      </x:c>
      <x:c r="P164" s="22" t="str">
        <x:v>未提供（单期横截面）</x:v>
      </x:c>
      <x:c r="Q164" s="23" t="n">
        <x:v>1472</x:v>
      </x:c>
    </x:row>
    <x:row r="165">
      <x:c r="A165" s="30" t="n">
        <x:v>350200</x:v>
      </x:c>
      <x:c r="B165" s="22" t="str">
        <x:v>厦门市</x:v>
      </x:c>
      <x:c r="C165" s="31" t="n">
        <x:v>350205</x:v>
      </x:c>
      <x:c r="D165" s="22" t="str">
        <x:v>海沧区</x:v>
      </x:c>
      <x:c r="E165" s="22" t="str">
        <x:v>农用地</x:v>
      </x:c>
      <x:c r="F165" s="22" t="str">
        <x:v>林地</x:v>
      </x:c>
      <x:c r="G165" s="32" t="str">
        <x:v>301</x:v>
      </x:c>
      <x:c r="H165" s="32" t="str">
        <x:v>301</x:v>
      </x:c>
      <x:c r="I165" s="22" t="str">
        <x:v>乔木林地</x:v>
      </x:c>
      <x:c r="J165" s="22" t="str">
        <x:v>农业生态</x:v>
      </x:c>
      <x:c r="K165" s="32" t="str">
        <x:v>202</x:v>
      </x:c>
      <x:c r="L165" s="22" t="str">
        <x:v>建制镇范围</x:v>
      </x:c>
      <x:c r="M165" s="33" t="n">
        <x:v>20667.14</x:v>
      </x:c>
      <x:c r="N165" s="33" t="n">
        <x:v>2.066714</x:v>
      </x:c>
      <x:c r="O165" s="22" t="str">
        <x:v>公顷</x:v>
      </x:c>
      <x:c r="P165" s="22" t="str">
        <x:v>未提供（单期横截面）</x:v>
      </x:c>
      <x:c r="Q165" s="23" t="n">
        <x:v>1473</x:v>
      </x:c>
    </x:row>
    <x:row r="166">
      <x:c r="A166" s="30" t="n">
        <x:v>350200</x:v>
      </x:c>
      <x:c r="B166" s="22" t="str">
        <x:v>厦门市</x:v>
      </x:c>
      <x:c r="C166" s="31" t="n">
        <x:v>350205</x:v>
      </x:c>
      <x:c r="D166" s="22" t="str">
        <x:v>海沧区</x:v>
      </x:c>
      <x:c r="E166" s="22" t="str">
        <x:v>农用地</x:v>
      </x:c>
      <x:c r="F166" s="22" t="str">
        <x:v>林地</x:v>
      </x:c>
      <x:c r="G166" s="32" t="str">
        <x:v>305</x:v>
      </x:c>
      <x:c r="H166" s="32" t="str">
        <x:v>305</x:v>
      </x:c>
      <x:c r="I166" s="22" t="str">
        <x:v>灌木林地</x:v>
      </x:c>
      <x:c r="J166" s="22" t="str">
        <x:v>农业生态</x:v>
      </x:c>
      <x:c r="K166" s="32" t="str">
        <x:v>202</x:v>
      </x:c>
      <x:c r="L166" s="22" t="str">
        <x:v>建制镇范围</x:v>
      </x:c>
      <x:c r="M166" s="33" t="n">
        <x:v>1985.84</x:v>
      </x:c>
      <x:c r="N166" s="33" t="n">
        <x:v>0.19858399999999998</x:v>
      </x:c>
      <x:c r="O166" s="22" t="str">
        <x:v>公顷</x:v>
      </x:c>
      <x:c r="P166" s="22" t="str">
        <x:v>未提供（单期横截面）</x:v>
      </x:c>
      <x:c r="Q166" s="23" t="n">
        <x:v>1474</x:v>
      </x:c>
    </x:row>
    <x:row r="167">
      <x:c r="A167" s="30" t="n">
        <x:v>350200</x:v>
      </x:c>
      <x:c r="B167" s="22" t="str">
        <x:v>厦门市</x:v>
      </x:c>
      <x:c r="C167" s="31" t="n">
        <x:v>350205</x:v>
      </x:c>
      <x:c r="D167" s="22" t="str">
        <x:v>海沧区</x:v>
      </x:c>
      <x:c r="E167" s="22" t="str">
        <x:v>农用地</x:v>
      </x:c>
      <x:c r="F167" s="22" t="str">
        <x:v>林地</x:v>
      </x:c>
      <x:c r="G167" s="32" t="str">
        <x:v>307</x:v>
      </x:c>
      <x:c r="H167" s="32" t="str">
        <x:v>307</x:v>
      </x:c>
      <x:c r="I167" s="22" t="str">
        <x:v>其他林地</x:v>
      </x:c>
      <x:c r="J167" s="22" t="str">
        <x:v>农业生态</x:v>
      </x:c>
      <x:c r="K167" s="32" t="str">
        <x:v>202</x:v>
      </x:c>
      <x:c r="L167" s="22" t="str">
        <x:v>建制镇范围</x:v>
      </x:c>
      <x:c r="M167" s="33" t="n">
        <x:v>762.91</x:v>
      </x:c>
      <x:c r="N167" s="33" t="n">
        <x:v>0.076291</x:v>
      </x:c>
      <x:c r="O167" s="22" t="str">
        <x:v>公顷</x:v>
      </x:c>
      <x:c r="P167" s="22" t="str">
        <x:v>未提供（单期横截面）</x:v>
      </x:c>
      <x:c r="Q167" s="23" t="n">
        <x:v>1475</x:v>
      </x:c>
    </x:row>
    <x:row r="168">
      <x:c r="A168" s="30" t="n">
        <x:v>350200</x:v>
      </x:c>
      <x:c r="B168" s="22" t="str">
        <x:v>厦门市</x:v>
      </x:c>
      <x:c r="C168" s="31" t="n">
        <x:v>350205</x:v>
      </x:c>
      <x:c r="D168" s="22" t="str">
        <x:v>海沧区</x:v>
      </x:c>
      <x:c r="E168" s="22" t="str">
        <x:v>农用地</x:v>
      </x:c>
      <x:c r="F168" s="22" t="str">
        <x:v>其他农用地</x:v>
      </x:c>
      <x:c r="G168" s="32" t="str">
        <x:v>1006</x:v>
      </x:c>
      <x:c r="H168" s="32" t="str">
        <x:v>1006</x:v>
      </x:c>
      <x:c r="I168" s="22" t="str">
        <x:v>农村道路</x:v>
      </x:c>
      <x:c r="J168" s="22" t="str">
        <x:v>农业生态</x:v>
      </x:c>
      <x:c r="K168" s="32" t="str">
        <x:v>202</x:v>
      </x:c>
      <x:c r="L168" s="22" t="str">
        <x:v>建制镇范围</x:v>
      </x:c>
      <x:c r="M168" s="33" t="n">
        <x:v>431.66</x:v>
      </x:c>
      <x:c r="N168" s="33" t="n">
        <x:v>0.043166</x:v>
      </x:c>
      <x:c r="O168" s="22" t="str">
        <x:v>公顷</x:v>
      </x:c>
      <x:c r="P168" s="22" t="str">
        <x:v>未提供（单期横截面）</x:v>
      </x:c>
      <x:c r="Q168" s="23" t="n">
        <x:v>1476</x:v>
      </x:c>
    </x:row>
    <x:row r="169">
      <x:c r="A169" s="30" t="n">
        <x:v>350200</x:v>
      </x:c>
      <x:c r="B169" s="22" t="str">
        <x:v>厦门市</x:v>
      </x:c>
      <x:c r="C169" s="31" t="n">
        <x:v>350205</x:v>
      </x:c>
      <x:c r="D169" s="22" t="str">
        <x:v>海沧区</x:v>
      </x:c>
      <x:c r="E169" s="22" t="str">
        <x:v>农用地</x:v>
      </x:c>
      <x:c r="F169" s="22" t="str">
        <x:v>水域及水利设施</x:v>
      </x:c>
      <x:c r="G169" s="32" t="str">
        <x:v>1104</x:v>
      </x:c>
      <x:c r="H169" s="32" t="str">
        <x:v>1104</x:v>
      </x:c>
      <x:c r="I169" s="22" t="str">
        <x:v>坑塘水面</x:v>
      </x:c>
      <x:c r="J169" s="22" t="str">
        <x:v>农业生态</x:v>
      </x:c>
      <x:c r="K169" s="32" t="str">
        <x:v>202</x:v>
      </x:c>
      <x:c r="L169" s="22" t="str">
        <x:v>建制镇范围</x:v>
      </x:c>
      <x:c r="M169" s="33" t="n">
        <x:v>19798.170000000002</x:v>
      </x:c>
      <x:c r="N169" s="33" t="n">
        <x:v>1.9798170000000002</x:v>
      </x:c>
      <x:c r="O169" s="22" t="str">
        <x:v>公顷</x:v>
      </x:c>
      <x:c r="P169" s="22" t="str">
        <x:v>未提供（单期横截面）</x:v>
      </x:c>
      <x:c r="Q169" s="23" t="n">
        <x:v>1477</x:v>
      </x:c>
    </x:row>
    <x:row r="170">
      <x:c r="A170" s="30" t="n">
        <x:v>350200</x:v>
      </x:c>
      <x:c r="B170" s="22" t="str">
        <x:v>厦门市</x:v>
      </x:c>
      <x:c r="C170" s="31" t="n">
        <x:v>350205</x:v>
      </x:c>
      <x:c r="D170" s="22" t="str">
        <x:v>海沧区</x:v>
      </x:c>
      <x:c r="E170" s="22" t="str">
        <x:v>农用地</x:v>
      </x:c>
      <x:c r="F170" s="22" t="str">
        <x:v>水域及水利设施</x:v>
      </x:c>
      <x:c r="G170" s="32" t="str">
        <x:v>1104A</x:v>
      </x:c>
      <x:c r="H170" s="32" t="str">
        <x:v>1104</x:v>
      </x:c>
      <x:c r="I170" s="22" t="str">
        <x:v>养殖坑塘</x:v>
      </x:c>
      <x:c r="J170" s="22" t="str">
        <x:v>农业生态</x:v>
      </x:c>
      <x:c r="K170" s="32" t="str">
        <x:v>202</x:v>
      </x:c>
      <x:c r="L170" s="22" t="str">
        <x:v>建制镇范围</x:v>
      </x:c>
      <x:c r="M170" s="33" t="n">
        <x:v>1995.1499999999999</x:v>
      </x:c>
      <x:c r="N170" s="33" t="n">
        <x:v>0.199515</x:v>
      </x:c>
      <x:c r="O170" s="22" t="str">
        <x:v>公顷</x:v>
      </x:c>
      <x:c r="P170" s="22" t="str">
        <x:v>未提供（单期横截面）</x:v>
      </x:c>
      <x:c r="Q170" s="23" t="n">
        <x:v>1478</x:v>
      </x:c>
    </x:row>
    <x:row r="171">
      <x:c r="A171" s="30" t="n">
        <x:v>350200</x:v>
      </x:c>
      <x:c r="B171" s="22" t="str">
        <x:v>厦门市</x:v>
      </x:c>
      <x:c r="C171" s="31" t="n">
        <x:v>350205</x:v>
      </x:c>
      <x:c r="D171" s="22" t="str">
        <x:v>海沧区</x:v>
      </x:c>
      <x:c r="E171" s="22" t="str">
        <x:v>农用地</x:v>
      </x:c>
      <x:c r="F171" s="22" t="str">
        <x:v>水域及水利设施</x:v>
      </x:c>
      <x:c r="G171" s="32" t="str">
        <x:v>1107</x:v>
      </x:c>
      <x:c r="H171" s="32" t="str">
        <x:v>1107</x:v>
      </x:c>
      <x:c r="I171" s="22" t="str">
        <x:v>沟渠</x:v>
      </x:c>
      <x:c r="J171" s="22" t="str">
        <x:v>农业生态</x:v>
      </x:c>
      <x:c r="K171" s="32" t="str">
        <x:v>202</x:v>
      </x:c>
      <x:c r="L171" s="22" t="str">
        <x:v>建制镇范围</x:v>
      </x:c>
      <x:c r="M171" s="33" t="n">
        <x:v>6555.26</x:v>
      </x:c>
      <x:c r="N171" s="33" t="n">
        <x:v>0.655526</x:v>
      </x:c>
      <x:c r="O171" s="22" t="str">
        <x:v>公顷</x:v>
      </x:c>
      <x:c r="P171" s="22" t="str">
        <x:v>未提供（单期横截面）</x:v>
      </x:c>
      <x:c r="Q171" s="23" t="n">
        <x:v>1479</x:v>
      </x:c>
    </x:row>
    <x:row r="172">
      <x:c r="A172" s="30" t="n">
        <x:v>350200</x:v>
      </x:c>
      <x:c r="B172" s="22" t="str">
        <x:v>厦门市</x:v>
      </x:c>
      <x:c r="C172" s="31" t="n">
        <x:v>350205</x:v>
      </x:c>
      <x:c r="D172" s="22" t="str">
        <x:v>海沧区</x:v>
      </x:c>
      <x:c r="E172" s="22" t="str">
        <x:v>农用地</x:v>
      </x:c>
      <x:c r="F172" s="22" t="str">
        <x:v>其他农用地</x:v>
      </x:c>
      <x:c r="G172" s="32" t="str">
        <x:v>1202</x:v>
      </x:c>
      <x:c r="H172" s="32" t="str">
        <x:v>1202</x:v>
      </x:c>
      <x:c r="I172" s="22" t="str">
        <x:v>设施农用地</x:v>
      </x:c>
      <x:c r="J172" s="22" t="str">
        <x:v>农业生态</x:v>
      </x:c>
      <x:c r="K172" s="32" t="str">
        <x:v>202</x:v>
      </x:c>
      <x:c r="L172" s="22" t="str">
        <x:v>建制镇范围</x:v>
      </x:c>
      <x:c r="M172" s="33" t="n">
        <x:v>4564.9</x:v>
      </x:c>
      <x:c r="N172" s="33" t="n">
        <x:v>0.45648999999999995</x:v>
      </x:c>
      <x:c r="O172" s="22" t="str">
        <x:v>公顷</x:v>
      </x:c>
      <x:c r="P172" s="22" t="str">
        <x:v>未提供（单期横截面）</x:v>
      </x:c>
      <x:c r="Q172" s="23" t="n">
        <x:v>1480</x:v>
      </x:c>
    </x:row>
    <x:row r="173">
      <x:c r="A173" s="30" t="n">
        <x:v>350200</x:v>
      </x:c>
      <x:c r="B173" s="22" t="str">
        <x:v>厦门市</x:v>
      </x:c>
      <x:c r="C173" s="31" t="n">
        <x:v>350205</x:v>
      </x:c>
      <x:c r="D173" s="22" t="str">
        <x:v>海沧区</x:v>
      </x:c>
      <x:c r="E173" s="22" t="str">
        <x:v>农用地</x:v>
      </x:c>
      <x:c r="F173" s="22" t="str">
        <x:v>耕地</x:v>
      </x:c>
      <x:c r="G173" s="32" t="str">
        <x:v>101</x:v>
      </x:c>
      <x:c r="H173" s="32" t="str">
        <x:v>101</x:v>
      </x:c>
      <x:c r="I173" s="22" t="str">
        <x:v>水田</x:v>
      </x:c>
      <x:c r="J173" s="22" t="str">
        <x:v>农业生态</x:v>
      </x:c>
      <x:c r="K173" s="32" t="str">
        <x:v>203</x:v>
      </x:c>
      <x:c r="L173" s="22" t="str">
        <x:v>村庄范围</x:v>
      </x:c>
      <x:c r="M173" s="33" t="n">
        <x:v>8754.76</x:v>
      </x:c>
      <x:c r="N173" s="33" t="n">
        <x:v>0.875476</x:v>
      </x:c>
      <x:c r="O173" s="22" t="str">
        <x:v>公顷</x:v>
      </x:c>
      <x:c r="P173" s="22" t="str">
        <x:v>未提供（单期横截面）</x:v>
      </x:c>
      <x:c r="Q173" s="23" t="n">
        <x:v>1481</x:v>
      </x:c>
    </x:row>
    <x:row r="174">
      <x:c r="A174" s="30" t="n">
        <x:v>350200</x:v>
      </x:c>
      <x:c r="B174" s="22" t="str">
        <x:v>厦门市</x:v>
      </x:c>
      <x:c r="C174" s="31" t="n">
        <x:v>350205</x:v>
      </x:c>
      <x:c r="D174" s="22" t="str">
        <x:v>海沧区</x:v>
      </x:c>
      <x:c r="E174" s="22" t="str">
        <x:v>农用地</x:v>
      </x:c>
      <x:c r="F174" s="22" t="str">
        <x:v>耕地</x:v>
      </x:c>
      <x:c r="G174" s="32" t="str">
        <x:v>102</x:v>
      </x:c>
      <x:c r="H174" s="32" t="str">
        <x:v>102</x:v>
      </x:c>
      <x:c r="I174" s="22" t="str">
        <x:v>水浇地</x:v>
      </x:c>
      <x:c r="J174" s="22" t="str">
        <x:v>农业生态</x:v>
      </x:c>
      <x:c r="K174" s="32" t="str">
        <x:v>203</x:v>
      </x:c>
      <x:c r="L174" s="22" t="str">
        <x:v>村庄范围</x:v>
      </x:c>
      <x:c r="M174" s="33" t="n">
        <x:v>4802.74</x:v>
      </x:c>
      <x:c r="N174" s="33" t="n">
        <x:v>0.480274</x:v>
      </x:c>
      <x:c r="O174" s="22" t="str">
        <x:v>公顷</x:v>
      </x:c>
      <x:c r="P174" s="22" t="str">
        <x:v>未提供（单期横截面）</x:v>
      </x:c>
      <x:c r="Q174" s="23" t="n">
        <x:v>1482</x:v>
      </x:c>
    </x:row>
    <x:row r="175">
      <x:c r="A175" s="30" t="n">
        <x:v>350200</x:v>
      </x:c>
      <x:c r="B175" s="22" t="str">
        <x:v>厦门市</x:v>
      </x:c>
      <x:c r="C175" s="31" t="n">
        <x:v>350205</x:v>
      </x:c>
      <x:c r="D175" s="22" t="str">
        <x:v>海沧区</x:v>
      </x:c>
      <x:c r="E175" s="22" t="str">
        <x:v>农用地</x:v>
      </x:c>
      <x:c r="F175" s="22" t="str">
        <x:v>耕地</x:v>
      </x:c>
      <x:c r="G175" s="32" t="str">
        <x:v>103</x:v>
      </x:c>
      <x:c r="H175" s="32" t="str">
        <x:v>103</x:v>
      </x:c>
      <x:c r="I175" s="22" t="str">
        <x:v>旱地</x:v>
      </x:c>
      <x:c r="J175" s="22" t="str">
        <x:v>农业生态</x:v>
      </x:c>
      <x:c r="K175" s="32" t="str">
        <x:v>203</x:v>
      </x:c>
      <x:c r="L175" s="22" t="str">
        <x:v>村庄范围</x:v>
      </x:c>
      <x:c r="M175" s="33" t="n">
        <x:v>5173.1</x:v>
      </x:c>
      <x:c r="N175" s="33" t="n">
        <x:v>0.51731</x:v>
      </x:c>
      <x:c r="O175" s="22" t="str">
        <x:v>公顷</x:v>
      </x:c>
      <x:c r="P175" s="22" t="str">
        <x:v>未提供（单期横截面）</x:v>
      </x:c>
      <x:c r="Q175" s="23" t="n">
        <x:v>1483</x:v>
      </x:c>
    </x:row>
    <x:row r="176">
      <x:c r="A176" s="30" t="n">
        <x:v>350200</x:v>
      </x:c>
      <x:c r="B176" s="22" t="str">
        <x:v>厦门市</x:v>
      </x:c>
      <x:c r="C176" s="31" t="n">
        <x:v>350205</x:v>
      </x:c>
      <x:c r="D176" s="22" t="str">
        <x:v>海沧区</x:v>
      </x:c>
      <x:c r="E176" s="22" t="str">
        <x:v>农用地</x:v>
      </x:c>
      <x:c r="F176" s="22" t="str">
        <x:v>园地</x:v>
      </x:c>
      <x:c r="G176" s="32" t="str">
        <x:v>201</x:v>
      </x:c>
      <x:c r="H176" s="32" t="str">
        <x:v>201</x:v>
      </x:c>
      <x:c r="I176" s="22" t="str">
        <x:v>果园</x:v>
      </x:c>
      <x:c r="J176" s="22" t="str">
        <x:v>农业生态</x:v>
      </x:c>
      <x:c r="K176" s="32" t="str">
        <x:v>203</x:v>
      </x:c>
      <x:c r="L176" s="22" t="str">
        <x:v>村庄范围</x:v>
      </x:c>
      <x:c r="M176" s="33" t="n">
        <x:v>64630.63000000001</x:v>
      </x:c>
      <x:c r="N176" s="33" t="n">
        <x:v>6.463063000000001</x:v>
      </x:c>
      <x:c r="O176" s="22" t="str">
        <x:v>公顷</x:v>
      </x:c>
      <x:c r="P176" s="22" t="str">
        <x:v>未提供（单期横截面）</x:v>
      </x:c>
      <x:c r="Q176" s="23" t="n">
        <x:v>1484</x:v>
      </x:c>
    </x:row>
    <x:row r="177">
      <x:c r="A177" s="30" t="n">
        <x:v>350200</x:v>
      </x:c>
      <x:c r="B177" s="22" t="str">
        <x:v>厦门市</x:v>
      </x:c>
      <x:c r="C177" s="31" t="n">
        <x:v>350205</x:v>
      </x:c>
      <x:c r="D177" s="22" t="str">
        <x:v>海沧区</x:v>
      </x:c>
      <x:c r="E177" s="22" t="str">
        <x:v>农用地</x:v>
      </x:c>
      <x:c r="F177" s="22" t="str">
        <x:v>园地</x:v>
      </x:c>
      <x:c r="G177" s="32" t="str">
        <x:v>204</x:v>
      </x:c>
      <x:c r="H177" s="32" t="str">
        <x:v>204</x:v>
      </x:c>
      <x:c r="I177" s="22" t="str">
        <x:v>其他园地</x:v>
      </x:c>
      <x:c r="J177" s="22" t="str">
        <x:v>农业生态</x:v>
      </x:c>
      <x:c r="K177" s="32" t="str">
        <x:v>203</x:v>
      </x:c>
      <x:c r="L177" s="22" t="str">
        <x:v>村庄范围</x:v>
      </x:c>
      <x:c r="M177" s="33" t="n">
        <x:v>1698.1</x:v>
      </x:c>
      <x:c r="N177" s="33" t="n">
        <x:v>0.16981</x:v>
      </x:c>
      <x:c r="O177" s="22" t="str">
        <x:v>公顷</x:v>
      </x:c>
      <x:c r="P177" s="22" t="str">
        <x:v>未提供（单期横截面）</x:v>
      </x:c>
      <x:c r="Q177" s="23" t="n">
        <x:v>1485</x:v>
      </x:c>
    </x:row>
    <x:row r="178">
      <x:c r="A178" s="30" t="n">
        <x:v>350200</x:v>
      </x:c>
      <x:c r="B178" s="22" t="str">
        <x:v>厦门市</x:v>
      </x:c>
      <x:c r="C178" s="31" t="n">
        <x:v>350205</x:v>
      </x:c>
      <x:c r="D178" s="22" t="str">
        <x:v>海沧区</x:v>
      </x:c>
      <x:c r="E178" s="22" t="str">
        <x:v>农用地</x:v>
      </x:c>
      <x:c r="F178" s="22" t="str">
        <x:v>林地</x:v>
      </x:c>
      <x:c r="G178" s="32" t="str">
        <x:v>301</x:v>
      </x:c>
      <x:c r="H178" s="32" t="str">
        <x:v>301</x:v>
      </x:c>
      <x:c r="I178" s="22" t="str">
        <x:v>乔木林地</x:v>
      </x:c>
      <x:c r="J178" s="22" t="str">
        <x:v>农业生态</x:v>
      </x:c>
      <x:c r="K178" s="32" t="str">
        <x:v>203</x:v>
      </x:c>
      <x:c r="L178" s="22" t="str">
        <x:v>村庄范围</x:v>
      </x:c>
      <x:c r="M178" s="33" t="n">
        <x:v>7214.860000000001</x:v>
      </x:c>
      <x:c r="N178" s="33" t="n">
        <x:v>0.7214860000000001</x:v>
      </x:c>
      <x:c r="O178" s="22" t="str">
        <x:v>公顷</x:v>
      </x:c>
      <x:c r="P178" s="22" t="str">
        <x:v>未提供（单期横截面）</x:v>
      </x:c>
      <x:c r="Q178" s="23" t="n">
        <x:v>1486</x:v>
      </x:c>
    </x:row>
    <x:row r="179">
      <x:c r="A179" s="30" t="n">
        <x:v>350200</x:v>
      </x:c>
      <x:c r="B179" s="22" t="str">
        <x:v>厦门市</x:v>
      </x:c>
      <x:c r="C179" s="31" t="n">
        <x:v>350205</x:v>
      </x:c>
      <x:c r="D179" s="22" t="str">
        <x:v>海沧区</x:v>
      </x:c>
      <x:c r="E179" s="22" t="str">
        <x:v>农用地</x:v>
      </x:c>
      <x:c r="F179" s="22" t="str">
        <x:v>林地</x:v>
      </x:c>
      <x:c r="G179" s="32" t="str">
        <x:v>305</x:v>
      </x:c>
      <x:c r="H179" s="32" t="str">
        <x:v>305</x:v>
      </x:c>
      <x:c r="I179" s="22" t="str">
        <x:v>灌木林地</x:v>
      </x:c>
      <x:c r="J179" s="22" t="str">
        <x:v>农业生态</x:v>
      </x:c>
      <x:c r="K179" s="32" t="str">
        <x:v>203</x:v>
      </x:c>
      <x:c r="L179" s="22" t="str">
        <x:v>村庄范围</x:v>
      </x:c>
      <x:c r="M179" s="33" t="n">
        <x:v>1158.1</x:v>
      </x:c>
      <x:c r="N179" s="33" t="n">
        <x:v>0.11581</x:v>
      </x:c>
      <x:c r="O179" s="22" t="str">
        <x:v>公顷</x:v>
      </x:c>
      <x:c r="P179" s="22" t="str">
        <x:v>未提供（单期横截面）</x:v>
      </x:c>
      <x:c r="Q179" s="23" t="n">
        <x:v>1487</x:v>
      </x:c>
    </x:row>
    <x:row r="180">
      <x:c r="A180" s="30" t="n">
        <x:v>350200</x:v>
      </x:c>
      <x:c r="B180" s="22" t="str">
        <x:v>厦门市</x:v>
      </x:c>
      <x:c r="C180" s="31" t="n">
        <x:v>350205</x:v>
      </x:c>
      <x:c r="D180" s="22" t="str">
        <x:v>海沧区</x:v>
      </x:c>
      <x:c r="E180" s="22" t="str">
        <x:v>农用地</x:v>
      </x:c>
      <x:c r="F180" s="22" t="str">
        <x:v>林地</x:v>
      </x:c>
      <x:c r="G180" s="32" t="str">
        <x:v>307</x:v>
      </x:c>
      <x:c r="H180" s="32" t="str">
        <x:v>307</x:v>
      </x:c>
      <x:c r="I180" s="22" t="str">
        <x:v>其他林地</x:v>
      </x:c>
      <x:c r="J180" s="22" t="str">
        <x:v>农业生态</x:v>
      </x:c>
      <x:c r="K180" s="32" t="str">
        <x:v>203</x:v>
      </x:c>
      <x:c r="L180" s="22" t="str">
        <x:v>村庄范围</x:v>
      </x:c>
      <x:c r="M180" s="33" t="n">
        <x:v>6936.66</x:v>
      </x:c>
      <x:c r="N180" s="33" t="n">
        <x:v>0.693666</x:v>
      </x:c>
      <x:c r="O180" s="22" t="str">
        <x:v>公顷</x:v>
      </x:c>
      <x:c r="P180" s="22" t="str">
        <x:v>未提供（单期横截面）</x:v>
      </x:c>
      <x:c r="Q180" s="23" t="n">
        <x:v>1488</x:v>
      </x:c>
    </x:row>
    <x:row r="181">
      <x:c r="A181" s="30" t="n">
        <x:v>350200</x:v>
      </x:c>
      <x:c r="B181" s="22" t="str">
        <x:v>厦门市</x:v>
      </x:c>
      <x:c r="C181" s="31" t="n">
        <x:v>350205</x:v>
      </x:c>
      <x:c r="D181" s="22" t="str">
        <x:v>海沧区</x:v>
      </x:c>
      <x:c r="E181" s="22" t="str">
        <x:v>农用地</x:v>
      </x:c>
      <x:c r="F181" s="22" t="str">
        <x:v>其他农用地</x:v>
      </x:c>
      <x:c r="G181" s="32" t="str">
        <x:v>1006</x:v>
      </x:c>
      <x:c r="H181" s="32" t="str">
        <x:v>1006</x:v>
      </x:c>
      <x:c r="I181" s="22" t="str">
        <x:v>农村道路</x:v>
      </x:c>
      <x:c r="J181" s="22" t="str">
        <x:v>农业生态</x:v>
      </x:c>
      <x:c r="K181" s="32" t="str">
        <x:v>203</x:v>
      </x:c>
      <x:c r="L181" s="22" t="str">
        <x:v>村庄范围</x:v>
      </x:c>
      <x:c r="M181" s="33" t="n">
        <x:v>2955.8199999999997</x:v>
      </x:c>
      <x:c r="N181" s="33" t="n">
        <x:v>0.29558199999999996</x:v>
      </x:c>
      <x:c r="O181" s="22" t="str">
        <x:v>公顷</x:v>
      </x:c>
      <x:c r="P181" s="22" t="str">
        <x:v>未提供（单期横截面）</x:v>
      </x:c>
      <x:c r="Q181" s="23" t="n">
        <x:v>1489</x:v>
      </x:c>
    </x:row>
    <x:row r="182">
      <x:c r="A182" s="30" t="n">
        <x:v>350200</x:v>
      </x:c>
      <x:c r="B182" s="22" t="str">
        <x:v>厦门市</x:v>
      </x:c>
      <x:c r="C182" s="31" t="n">
        <x:v>350205</x:v>
      </x:c>
      <x:c r="D182" s="22" t="str">
        <x:v>海沧区</x:v>
      </x:c>
      <x:c r="E182" s="22" t="str">
        <x:v>农用地</x:v>
      </x:c>
      <x:c r="F182" s="22" t="str">
        <x:v>水域及水利设施</x:v>
      </x:c>
      <x:c r="G182" s="32" t="str">
        <x:v>1104</x:v>
      </x:c>
      <x:c r="H182" s="32" t="str">
        <x:v>1104</x:v>
      </x:c>
      <x:c r="I182" s="22" t="str">
        <x:v>坑塘水面</x:v>
      </x:c>
      <x:c r="J182" s="22" t="str">
        <x:v>农业生态</x:v>
      </x:c>
      <x:c r="K182" s="32" t="str">
        <x:v>203</x:v>
      </x:c>
      <x:c r="L182" s="22" t="str">
        <x:v>村庄范围</x:v>
      </x:c>
      <x:c r="M182" s="33" t="n">
        <x:v>18005.460000000006</x:v>
      </x:c>
      <x:c r="N182" s="33" t="n">
        <x:v>1.8005460000000006</x:v>
      </x:c>
      <x:c r="O182" s="22" t="str">
        <x:v>公顷</x:v>
      </x:c>
      <x:c r="P182" s="22" t="str">
        <x:v>未提供（单期横截面）</x:v>
      </x:c>
      <x:c r="Q182" s="23" t="n">
        <x:v>1490</x:v>
      </x:c>
    </x:row>
    <x:row r="183">
      <x:c r="A183" s="30" t="n">
        <x:v>350200</x:v>
      </x:c>
      <x:c r="B183" s="22" t="str">
        <x:v>厦门市</x:v>
      </x:c>
      <x:c r="C183" s="31" t="n">
        <x:v>350205</x:v>
      </x:c>
      <x:c r="D183" s="22" t="str">
        <x:v>海沧区</x:v>
      </x:c>
      <x:c r="E183" s="22" t="str">
        <x:v>农用地</x:v>
      </x:c>
      <x:c r="F183" s="22" t="str">
        <x:v>其他农用地</x:v>
      </x:c>
      <x:c r="G183" s="32" t="str">
        <x:v>1202</x:v>
      </x:c>
      <x:c r="H183" s="32" t="str">
        <x:v>1202</x:v>
      </x:c>
      <x:c r="I183" s="22" t="str">
        <x:v>设施农用地</x:v>
      </x:c>
      <x:c r="J183" s="22" t="str">
        <x:v>农业生态</x:v>
      </x:c>
      <x:c r="K183" s="32" t="str">
        <x:v>203</x:v>
      </x:c>
      <x:c r="L183" s="22" t="str">
        <x:v>村庄范围</x:v>
      </x:c>
      <x:c r="M183" s="33" t="n">
        <x:v>3803.3800000000006</x:v>
      </x:c>
      <x:c r="N183" s="33" t="n">
        <x:v>0.38033800000000006</x:v>
      </x:c>
      <x:c r="O183" s="22" t="str">
        <x:v>公顷</x:v>
      </x:c>
      <x:c r="P183" s="22" t="str">
        <x:v>未提供（单期横截面）</x:v>
      </x:c>
      <x:c r="Q183" s="23" t="n">
        <x:v>1491</x:v>
      </x:c>
    </x:row>
    <x:row r="184">
      <x:c r="A184" s="30" t="n">
        <x:v>350200</x:v>
      </x:c>
      <x:c r="B184" s="22" t="str">
        <x:v>厦门市</x:v>
      </x:c>
      <x:c r="C184" s="31" t="n">
        <x:v>350205</x:v>
      </x:c>
      <x:c r="D184" s="22" t="str">
        <x:v>海沧区</x:v>
      </x:c>
      <x:c r="E184" s="22" t="str">
        <x:v>农用地</x:v>
      </x:c>
      <x:c r="F184" s="22" t="str">
        <x:v>林地</x:v>
      </x:c>
      <x:c r="G184" s="32" t="str">
        <x:v>301</x:v>
      </x:c>
      <x:c r="H184" s="32" t="str">
        <x:v>301</x:v>
      </x:c>
      <x:c r="I184" s="22" t="str">
        <x:v>乔木林地</x:v>
      </x:c>
      <x:c r="J184" s="22" t="str">
        <x:v>农业生态</x:v>
      </x:c>
      <x:c r="K184" s="32" t="str">
        <x:v>204</x:v>
      </x:c>
      <x:c r="L184" s="22" t="str">
        <x:v>盐田及采矿用地</x:v>
      </x:c>
      <x:c r="M184" s="33" t="n">
        <x:v>647.83</x:v>
      </x:c>
      <x:c r="N184" s="33" t="n">
        <x:v>0.06478300000000001</x:v>
      </x:c>
      <x:c r="O184" s="22" t="str">
        <x:v>公顷</x:v>
      </x:c>
      <x:c r="P184" s="22" t="str">
        <x:v>未提供（单期横截面）</x:v>
      </x:c>
      <x:c r="Q184" s="23" t="n">
        <x:v>1492</x:v>
      </x:c>
    </x:row>
    <x:row r="185">
      <x:c r="A185" s="30" t="n">
        <x:v>350200</x:v>
      </x:c>
      <x:c r="B185" s="22" t="str">
        <x:v>厦门市</x:v>
      </x:c>
      <x:c r="C185" s="31" t="n">
        <x:v>350205</x:v>
      </x:c>
      <x:c r="D185" s="22" t="str">
        <x:v>海沧区</x:v>
      </x:c>
      <x:c r="E185" s="22" t="str">
        <x:v>农用地</x:v>
      </x:c>
      <x:c r="F185" s="22" t="str">
        <x:v>其他农用地</x:v>
      </x:c>
      <x:c r="G185" s="32" t="str">
        <x:v>1006</x:v>
      </x:c>
      <x:c r="H185" s="32" t="str">
        <x:v>1006</x:v>
      </x:c>
      <x:c r="I185" s="22" t="str">
        <x:v>农村道路</x:v>
      </x:c>
      <x:c r="J185" s="22" t="str">
        <x:v>农业生态</x:v>
      </x:c>
      <x:c r="K185" s="32" t="str">
        <x:v>204</x:v>
      </x:c>
      <x:c r="L185" s="22" t="str">
        <x:v>盐田及采矿用地</x:v>
      </x:c>
      <x:c r="M185" s="33" t="n">
        <x:v>931.78</x:v>
      </x:c>
      <x:c r="N185" s="33" t="n">
        <x:v>0.093178</x:v>
      </x:c>
      <x:c r="O185" s="22" t="str">
        <x:v>公顷</x:v>
      </x:c>
      <x:c r="P185" s="22" t="str">
        <x:v>未提供（单期横截面）</x:v>
      </x:c>
      <x:c r="Q185" s="23" t="n">
        <x:v>1493</x:v>
      </x:c>
    </x:row>
    <x:row r="186">
      <x:c r="A186" s="30" t="n">
        <x:v>350200</x:v>
      </x:c>
      <x:c r="B186" s="22" t="str">
        <x:v>厦门市</x:v>
      </x:c>
      <x:c r="C186" s="31" t="n">
        <x:v>350205</x:v>
      </x:c>
      <x:c r="D186" s="22" t="str">
        <x:v>海沧区</x:v>
      </x:c>
      <x:c r="E186" s="22" t="str">
        <x:v>农用地</x:v>
      </x:c>
      <x:c r="F186" s="22" t="str">
        <x:v>水域及水利设施</x:v>
      </x:c>
      <x:c r="G186" s="32" t="str">
        <x:v>1104</x:v>
      </x:c>
      <x:c r="H186" s="32" t="str">
        <x:v>1104</x:v>
      </x:c>
      <x:c r="I186" s="22" t="str">
        <x:v>坑塘水面</x:v>
      </x:c>
      <x:c r="J186" s="22" t="str">
        <x:v>农业生态</x:v>
      </x:c>
      <x:c r="K186" s="32" t="str">
        <x:v>204</x:v>
      </x:c>
      <x:c r="L186" s="22" t="str">
        <x:v>盐田及采矿用地</x:v>
      </x:c>
      <x:c r="M186" s="33" t="n">
        <x:v>6703.219999999999</x:v>
      </x:c>
      <x:c r="N186" s="33" t="n">
        <x:v>0.670322</x:v>
      </x:c>
      <x:c r="O186" s="22" t="str">
        <x:v>公顷</x:v>
      </x:c>
      <x:c r="P186" s="22" t="str">
        <x:v>未提供（单期横截面）</x:v>
      </x:c>
      <x:c r="Q186" s="23" t="n">
        <x:v>1494</x:v>
      </x:c>
    </x:row>
    <x:row r="187">
      <x:c r="A187" s="30" t="n">
        <x:v>350200</x:v>
      </x:c>
      <x:c r="B187" s="22" t="str">
        <x:v>厦门市</x:v>
      </x:c>
      <x:c r="C187" s="31" t="n">
        <x:v>350205</x:v>
      </x:c>
      <x:c r="D187" s="22" t="str">
        <x:v>海沧区</x:v>
      </x:c>
      <x:c r="E187" s="22" t="str">
        <x:v>农用地</x:v>
      </x:c>
      <x:c r="F187" s="22" t="str">
        <x:v>水域及水利设施</x:v>
      </x:c>
      <x:c r="G187" s="32" t="str">
        <x:v>1104</x:v>
      </x:c>
      <x:c r="H187" s="32" t="str">
        <x:v>1104</x:v>
      </x:c>
      <x:c r="I187" s="22" t="str">
        <x:v>坑塘水面</x:v>
      </x:c>
      <x:c r="J187" s="22" t="str">
        <x:v>农业生态</x:v>
      </x:c>
      <x:c r="K187" s="32" t="str">
        <x:v>205</x:v>
      </x:c>
      <x:c r="L187" s="22" t="str">
        <x:v>特殊用地</x:v>
      </x:c>
      <x:c r="M187" s="33" t="n">
        <x:v>2815.1099999999997</x:v>
      </x:c>
      <x:c r="N187" s="33" t="n">
        <x:v>0.28151099999999996</x:v>
      </x:c>
      <x:c r="O187" s="22" t="str">
        <x:v>公顷</x:v>
      </x:c>
      <x:c r="P187" s="22" t="str">
        <x:v>未提供（单期横截面）</x:v>
      </x:c>
      <x:c r="Q187" s="23" t="n">
        <x:v>1495</x:v>
      </x:c>
    </x:row>
    <x:row r="188">
      <x:c r="A188" s="30" t="n">
        <x:v>350200</x:v>
      </x:c>
      <x:c r="B188" s="22" t="str">
        <x:v>厦门市</x:v>
      </x:c>
      <x:c r="C188" s="31" t="n">
        <x:v>350205</x:v>
      </x:c>
      <x:c r="D188" s="22" t="str">
        <x:v>海沧区</x:v>
      </x:c>
      <x:c r="E188" s="22" t="str">
        <x:v>未利用地</x:v>
      </x:c>
      <x:c r="F188" s="22" t="str">
        <x:v>草地</x:v>
      </x:c>
      <x:c r="G188" s="32" t="str">
        <x:v>404</x:v>
      </x:c>
      <x:c r="H188" s="32" t="str">
        <x:v>404</x:v>
      </x:c>
      <x:c r="I188" s="22" t="str">
        <x:v>其他草地</x:v>
      </x:c>
      <x:c r="J188" s="22" t="str">
        <x:v>农业生态</x:v>
      </x:c>
      <x:c r="K188" s="32" t="str"/>
      <x:c r="L188" s="22" t="str">
        <x:v>不适用/未标注</x:v>
      </x:c>
      <x:c r="M188" s="33" t="n">
        <x:v>5181243.88</x:v>
      </x:c>
      <x:c r="N188" s="33" t="n">
        <x:v>518.124388</x:v>
      </x:c>
      <x:c r="O188" s="22" t="str">
        <x:v>公顷</x:v>
      </x:c>
      <x:c r="P188" s="22" t="str">
        <x:v>未提供（单期横截面）</x:v>
      </x:c>
      <x:c r="Q188" s="23" t="n">
        <x:v>1496</x:v>
      </x:c>
    </x:row>
    <x:row r="189">
      <x:c r="A189" s="30" t="n">
        <x:v>350200</x:v>
      </x:c>
      <x:c r="B189" s="22" t="str">
        <x:v>厦门市</x:v>
      </x:c>
      <x:c r="C189" s="31" t="n">
        <x:v>350205</x:v>
      </x:c>
      <x:c r="D189" s="22" t="str">
        <x:v>海沧区</x:v>
      </x:c>
      <x:c r="E189" s="22" t="str">
        <x:v>未利用地</x:v>
      </x:c>
      <x:c r="F189" s="22" t="str">
        <x:v>水域及水利设施</x:v>
      </x:c>
      <x:c r="G189" s="32" t="str">
        <x:v>1101</x:v>
      </x:c>
      <x:c r="H189" s="32" t="str">
        <x:v>1101</x:v>
      </x:c>
      <x:c r="I189" s="22" t="str">
        <x:v>河流水面</x:v>
      </x:c>
      <x:c r="J189" s="22" t="str">
        <x:v>农业生态</x:v>
      </x:c>
      <x:c r="K189" s="32" t="str"/>
      <x:c r="L189" s="22" t="str">
        <x:v>不适用/未标注</x:v>
      </x:c>
      <x:c r="M189" s="33" t="n">
        <x:v>904537.1999999998</x:v>
      </x:c>
      <x:c r="N189" s="33" t="n">
        <x:v>90.45371999999999</x:v>
      </x:c>
      <x:c r="O189" s="22" t="str">
        <x:v>公顷</x:v>
      </x:c>
      <x:c r="P189" s="22" t="str">
        <x:v>未提供（单期横截面）</x:v>
      </x:c>
      <x:c r="Q189" s="23" t="n">
        <x:v>1497</x:v>
      </x:c>
    </x:row>
    <x:row r="190">
      <x:c r="A190" s="30" t="n">
        <x:v>350200</x:v>
      </x:c>
      <x:c r="B190" s="22" t="str">
        <x:v>厦门市</x:v>
      </x:c>
      <x:c r="C190" s="31" t="n">
        <x:v>350205</x:v>
      </x:c>
      <x:c r="D190" s="22" t="str">
        <x:v>海沧区</x:v>
      </x:c>
      <x:c r="E190" s="22" t="str">
        <x:v>未利用地</x:v>
      </x:c>
      <x:c r="F190" s="22" t="str">
        <x:v>水域及水利设施</x:v>
      </x:c>
      <x:c r="G190" s="32" t="str">
        <x:v>1102</x:v>
      </x:c>
      <x:c r="H190" s="32" t="str">
        <x:v>1102</x:v>
      </x:c>
      <x:c r="I190" s="22" t="str">
        <x:v>湖泊水面</x:v>
      </x:c>
      <x:c r="J190" s="22" t="str">
        <x:v>农业生态</x:v>
      </x:c>
      <x:c r="K190" s="32" t="str"/>
      <x:c r="L190" s="22" t="str">
        <x:v>不适用/未标注</x:v>
      </x:c>
      <x:c r="M190" s="33" t="n">
        <x:v>768855.49</x:v>
      </x:c>
      <x:c r="N190" s="33" t="n">
        <x:v>76.885549</x:v>
      </x:c>
      <x:c r="O190" s="22" t="str">
        <x:v>公顷</x:v>
      </x:c>
      <x:c r="P190" s="22" t="str">
        <x:v>未提供（单期横截面）</x:v>
      </x:c>
      <x:c r="Q190" s="23" t="n">
        <x:v>1498</x:v>
      </x:c>
    </x:row>
    <x:row r="191">
      <x:c r="A191" s="30" t="n">
        <x:v>350200</x:v>
      </x:c>
      <x:c r="B191" s="22" t="str">
        <x:v>厦门市</x:v>
      </x:c>
      <x:c r="C191" s="31" t="n">
        <x:v>350205</x:v>
      </x:c>
      <x:c r="D191" s="22" t="str">
        <x:v>海沧区</x:v>
      </x:c>
      <x:c r="E191" s="22" t="str">
        <x:v>未利用地</x:v>
      </x:c>
      <x:c r="F191" s="22" t="str">
        <x:v>水域及水利设施</x:v>
      </x:c>
      <x:c r="G191" s="32" t="str">
        <x:v>1105</x:v>
      </x:c>
      <x:c r="H191" s="32" t="str">
        <x:v>1105</x:v>
      </x:c>
      <x:c r="I191" s="22" t="str">
        <x:v>沿海滩涂</x:v>
      </x:c>
      <x:c r="J191" s="22" t="str">
        <x:v>农业生态</x:v>
      </x:c>
      <x:c r="K191" s="32" t="str"/>
      <x:c r="L191" s="22" t="str">
        <x:v>不适用/未标注</x:v>
      </x:c>
      <x:c r="M191" s="33" t="n">
        <x:v>11491305.050000004</x:v>
      </x:c>
      <x:c r="N191" s="33" t="n">
        <x:v>1149.1305050000005</x:v>
      </x:c>
      <x:c r="O191" s="22" t="str">
        <x:v>公顷</x:v>
      </x:c>
      <x:c r="P191" s="22" t="str">
        <x:v>未提供（单期横截面）</x:v>
      </x:c>
      <x:c r="Q191" s="23" t="n">
        <x:v>1499</x:v>
      </x:c>
    </x:row>
    <x:row r="192">
      <x:c r="A192" s="30" t="n">
        <x:v>350200</x:v>
      </x:c>
      <x:c r="B192" s="22" t="str">
        <x:v>厦门市</x:v>
      </x:c>
      <x:c r="C192" s="31" t="n">
        <x:v>350205</x:v>
      </x:c>
      <x:c r="D192" s="22" t="str">
        <x:v>海沧区</x:v>
      </x:c>
      <x:c r="E192" s="22" t="str">
        <x:v>未利用地</x:v>
      </x:c>
      <x:c r="F192" s="22" t="str">
        <x:v>水域及水利设施</x:v>
      </x:c>
      <x:c r="G192" s="32" t="str">
        <x:v>1106</x:v>
      </x:c>
      <x:c r="H192" s="32" t="str">
        <x:v>1106</x:v>
      </x:c>
      <x:c r="I192" s="22" t="str">
        <x:v>内陆滩涂</x:v>
      </x:c>
      <x:c r="J192" s="22" t="str">
        <x:v>农业生态</x:v>
      </x:c>
      <x:c r="K192" s="32" t="str"/>
      <x:c r="L192" s="22" t="str">
        <x:v>不适用/未标注</x:v>
      </x:c>
      <x:c r="M192" s="33" t="n">
        <x:v>401807.24999999994</x:v>
      </x:c>
      <x:c r="N192" s="33" t="n">
        <x:v>40.180724999999995</x:v>
      </x:c>
      <x:c r="O192" s="22" t="str">
        <x:v>公顷</x:v>
      </x:c>
      <x:c r="P192" s="22" t="str">
        <x:v>未提供（单期横截面）</x:v>
      </x:c>
      <x:c r="Q192" s="23" t="n">
        <x:v>1500</x:v>
      </x:c>
    </x:row>
    <x:row r="193">
      <x:c r="A193" s="30" t="n">
        <x:v>350200</x:v>
      </x:c>
      <x:c r="B193" s="22" t="str">
        <x:v>厦门市</x:v>
      </x:c>
      <x:c r="C193" s="31" t="n">
        <x:v>350205</x:v>
      </x:c>
      <x:c r="D193" s="22" t="str">
        <x:v>海沧区</x:v>
      </x:c>
      <x:c r="E193" s="22" t="str">
        <x:v>未利用地</x:v>
      </x:c>
      <x:c r="F193" s="22" t="str">
        <x:v>未利用地</x:v>
      </x:c>
      <x:c r="G193" s="32" t="str">
        <x:v>1206</x:v>
      </x:c>
      <x:c r="H193" s="32" t="str">
        <x:v>1206</x:v>
      </x:c>
      <x:c r="I193" s="22" t="str">
        <x:v>裸土地</x:v>
      </x:c>
      <x:c r="J193" s="22" t="str">
        <x:v>未利用地</x:v>
      </x:c>
      <x:c r="K193" s="32" t="str"/>
      <x:c r="L193" s="22" t="str">
        <x:v>不适用/未标注</x:v>
      </x:c>
      <x:c r="M193" s="33" t="n">
        <x:v>72224.98999999999</x:v>
      </x:c>
      <x:c r="N193" s="33" t="n">
        <x:v>7.222498999999999</x:v>
      </x:c>
      <x:c r="O193" s="22" t="str">
        <x:v>公顷</x:v>
      </x:c>
      <x:c r="P193" s="22" t="str">
        <x:v>未提供（单期横截面）</x:v>
      </x:c>
      <x:c r="Q193" s="23" t="n">
        <x:v>1501</x:v>
      </x:c>
    </x:row>
    <x:row r="194">
      <x:c r="A194" s="30" t="n">
        <x:v>350200</x:v>
      </x:c>
      <x:c r="B194" s="22" t="str">
        <x:v>厦门市</x:v>
      </x:c>
      <x:c r="C194" s="31" t="n">
        <x:v>350205</x:v>
      </x:c>
      <x:c r="D194" s="22" t="str">
        <x:v>海沧区</x:v>
      </x:c>
      <x:c r="E194" s="22" t="str">
        <x:v>未利用地</x:v>
      </x:c>
      <x:c r="F194" s="22" t="str">
        <x:v>未利用地</x:v>
      </x:c>
      <x:c r="G194" s="32" t="str">
        <x:v>1207</x:v>
      </x:c>
      <x:c r="H194" s="32" t="str">
        <x:v>1207</x:v>
      </x:c>
      <x:c r="I194" s="22" t="str">
        <x:v>裸岩石砾地</x:v>
      </x:c>
      <x:c r="J194" s="22" t="str">
        <x:v>未利用地</x:v>
      </x:c>
      <x:c r="K194" s="32" t="str"/>
      <x:c r="L194" s="22" t="str">
        <x:v>不适用/未标注</x:v>
      </x:c>
      <x:c r="M194" s="33" t="n">
        <x:v>35276.3</x:v>
      </x:c>
      <x:c r="N194" s="33" t="n">
        <x:v>3.5276300000000003</x:v>
      </x:c>
      <x:c r="O194" s="22" t="str">
        <x:v>公顷</x:v>
      </x:c>
      <x:c r="P194" s="22" t="str">
        <x:v>未提供（单期横截面）</x:v>
      </x:c>
      <x:c r="Q194" s="23" t="n">
        <x:v>1502</x:v>
      </x:c>
    </x:row>
    <x:row r="195">
      <x:c r="A195" s="30" t="n">
        <x:v>350200</x:v>
      </x:c>
      <x:c r="B195" s="22" t="str">
        <x:v>厦门市</x:v>
      </x:c>
      <x:c r="C195" s="31" t="n">
        <x:v>350205</x:v>
      </x:c>
      <x:c r="D195" s="22" t="str">
        <x:v>海沧区</x:v>
      </x:c>
      <x:c r="E195" s="22" t="str">
        <x:v>未利用地</x:v>
      </x:c>
      <x:c r="F195" s="22" t="str">
        <x:v>草地</x:v>
      </x:c>
      <x:c r="G195" s="32" t="str">
        <x:v>404</x:v>
      </x:c>
      <x:c r="H195" s="32" t="str">
        <x:v>404</x:v>
      </x:c>
      <x:c r="I195" s="22" t="str">
        <x:v>其他草地</x:v>
      </x:c>
      <x:c r="J195" s="22" t="str">
        <x:v>农业生态</x:v>
      </x:c>
      <x:c r="K195" s="32" t="str">
        <x:v>201</x:v>
      </x:c>
      <x:c r="L195" s="22" t="str">
        <x:v>城市范围</x:v>
      </x:c>
      <x:c r="M195" s="33" t="n">
        <x:v>883296.7300000001</x:v>
      </x:c>
      <x:c r="N195" s="33" t="n">
        <x:v>88.32967300000001</x:v>
      </x:c>
      <x:c r="O195" s="22" t="str">
        <x:v>公顷</x:v>
      </x:c>
      <x:c r="P195" s="22" t="str">
        <x:v>未提供（单期横截面）</x:v>
      </x:c>
      <x:c r="Q195" s="23" t="n">
        <x:v>1503</x:v>
      </x:c>
    </x:row>
    <x:row r="196">
      <x:c r="A196" s="30" t="n">
        <x:v>350200</x:v>
      </x:c>
      <x:c r="B196" s="22" t="str">
        <x:v>厦门市</x:v>
      </x:c>
      <x:c r="C196" s="31" t="n">
        <x:v>350205</x:v>
      </x:c>
      <x:c r="D196" s="22" t="str">
        <x:v>海沧区</x:v>
      </x:c>
      <x:c r="E196" s="22" t="str">
        <x:v>未利用地</x:v>
      </x:c>
      <x:c r="F196" s="22" t="str">
        <x:v>水域及水利设施</x:v>
      </x:c>
      <x:c r="G196" s="32" t="str">
        <x:v>1101</x:v>
      </x:c>
      <x:c r="H196" s="32" t="str">
        <x:v>1101</x:v>
      </x:c>
      <x:c r="I196" s="22" t="str">
        <x:v>河流水面</x:v>
      </x:c>
      <x:c r="J196" s="22" t="str">
        <x:v>农业生态</x:v>
      </x:c>
      <x:c r="K196" s="32" t="str">
        <x:v>201</x:v>
      </x:c>
      <x:c r="L196" s="22" t="str">
        <x:v>城市范围</x:v>
      </x:c>
      <x:c r="M196" s="33" t="n">
        <x:v>13245.51</x:v>
      </x:c>
      <x:c r="N196" s="33" t="n">
        <x:v>1.324551</x:v>
      </x:c>
      <x:c r="O196" s="22" t="str">
        <x:v>公顷</x:v>
      </x:c>
      <x:c r="P196" s="22" t="str">
        <x:v>未提供（单期横截面）</x:v>
      </x:c>
      <x:c r="Q196" s="23" t="n">
        <x:v>1504</x:v>
      </x:c>
    </x:row>
    <x:row r="197">
      <x:c r="A197" s="30" t="n">
        <x:v>350200</x:v>
      </x:c>
      <x:c r="B197" s="22" t="str">
        <x:v>厦门市</x:v>
      </x:c>
      <x:c r="C197" s="31" t="n">
        <x:v>350205</x:v>
      </x:c>
      <x:c r="D197" s="22" t="str">
        <x:v>海沧区</x:v>
      </x:c>
      <x:c r="E197" s="22" t="str">
        <x:v>未利用地</x:v>
      </x:c>
      <x:c r="F197" s="22" t="str">
        <x:v>水域及水利设施</x:v>
      </x:c>
      <x:c r="G197" s="32" t="str">
        <x:v>1102</x:v>
      </x:c>
      <x:c r="H197" s="32" t="str">
        <x:v>1102</x:v>
      </x:c>
      <x:c r="I197" s="22" t="str">
        <x:v>湖泊水面</x:v>
      </x:c>
      <x:c r="J197" s="22" t="str">
        <x:v>农业生态</x:v>
      </x:c>
      <x:c r="K197" s="32" t="str">
        <x:v>201</x:v>
      </x:c>
      <x:c r="L197" s="22" t="str">
        <x:v>城市范围</x:v>
      </x:c>
      <x:c r="M197" s="33" t="n">
        <x:v>74199.1</x:v>
      </x:c>
      <x:c r="N197" s="33" t="n">
        <x:v>7.419910000000001</x:v>
      </x:c>
      <x:c r="O197" s="22" t="str">
        <x:v>公顷</x:v>
      </x:c>
      <x:c r="P197" s="22" t="str">
        <x:v>未提供（单期横截面）</x:v>
      </x:c>
      <x:c r="Q197" s="23" t="n">
        <x:v>1505</x:v>
      </x:c>
    </x:row>
    <x:row r="198">
      <x:c r="A198" s="30" t="n">
        <x:v>350200</x:v>
      </x:c>
      <x:c r="B198" s="22" t="str">
        <x:v>厦门市</x:v>
      </x:c>
      <x:c r="C198" s="31" t="n">
        <x:v>350205</x:v>
      </x:c>
      <x:c r="D198" s="22" t="str">
        <x:v>海沧区</x:v>
      </x:c>
      <x:c r="E198" s="22" t="str">
        <x:v>未利用地</x:v>
      </x:c>
      <x:c r="F198" s="22" t="str">
        <x:v>水域及水利设施</x:v>
      </x:c>
      <x:c r="G198" s="32" t="str">
        <x:v>1105</x:v>
      </x:c>
      <x:c r="H198" s="32" t="str">
        <x:v>1105</x:v>
      </x:c>
      <x:c r="I198" s="22" t="str">
        <x:v>沿海滩涂</x:v>
      </x:c>
      <x:c r="J198" s="22" t="str">
        <x:v>农业生态</x:v>
      </x:c>
      <x:c r="K198" s="32" t="str">
        <x:v>201</x:v>
      </x:c>
      <x:c r="L198" s="22" t="str">
        <x:v>城市范围</x:v>
      </x:c>
      <x:c r="M198" s="33" t="n">
        <x:v>3773.29</x:v>
      </x:c>
      <x:c r="N198" s="33" t="n">
        <x:v>0.37732899999999997</x:v>
      </x:c>
      <x:c r="O198" s="22" t="str">
        <x:v>公顷</x:v>
      </x:c>
      <x:c r="P198" s="22" t="str">
        <x:v>未提供（单期横截面）</x:v>
      </x:c>
      <x:c r="Q198" s="23" t="n">
        <x:v>1506</x:v>
      </x:c>
    </x:row>
    <x:row r="199">
      <x:c r="A199" s="30" t="n">
        <x:v>350200</x:v>
      </x:c>
      <x:c r="B199" s="22" t="str">
        <x:v>厦门市</x:v>
      </x:c>
      <x:c r="C199" s="31" t="n">
        <x:v>350205</x:v>
      </x:c>
      <x:c r="D199" s="22" t="str">
        <x:v>海沧区</x:v>
      </x:c>
      <x:c r="E199" s="22" t="str">
        <x:v>未利用地</x:v>
      </x:c>
      <x:c r="F199" s="22" t="str">
        <x:v>草地</x:v>
      </x:c>
      <x:c r="G199" s="32" t="str">
        <x:v>404</x:v>
      </x:c>
      <x:c r="H199" s="32" t="str">
        <x:v>404</x:v>
      </x:c>
      <x:c r="I199" s="22" t="str">
        <x:v>其他草地</x:v>
      </x:c>
      <x:c r="J199" s="22" t="str">
        <x:v>农业生态</x:v>
      </x:c>
      <x:c r="K199" s="32" t="str">
        <x:v>202</x:v>
      </x:c>
      <x:c r="L199" s="22" t="str">
        <x:v>建制镇范围</x:v>
      </x:c>
      <x:c r="M199" s="33" t="n">
        <x:v>49963.64000000001</x:v>
      </x:c>
      <x:c r="N199" s="33" t="n">
        <x:v>4.996364000000001</x:v>
      </x:c>
      <x:c r="O199" s="22" t="str">
        <x:v>公顷</x:v>
      </x:c>
      <x:c r="P199" s="22" t="str">
        <x:v>未提供（单期横截面）</x:v>
      </x:c>
      <x:c r="Q199" s="23" t="n">
        <x:v>1507</x:v>
      </x:c>
    </x:row>
    <x:row r="200">
      <x:c r="A200" s="30" t="n">
        <x:v>350200</x:v>
      </x:c>
      <x:c r="B200" s="22" t="str">
        <x:v>厦门市</x:v>
      </x:c>
      <x:c r="C200" s="31" t="n">
        <x:v>350205</x:v>
      </x:c>
      <x:c r="D200" s="22" t="str">
        <x:v>海沧区</x:v>
      </x:c>
      <x:c r="E200" s="22" t="str">
        <x:v>未利用地</x:v>
      </x:c>
      <x:c r="F200" s="22" t="str">
        <x:v>水域及水利设施</x:v>
      </x:c>
      <x:c r="G200" s="32" t="str">
        <x:v>1101</x:v>
      </x:c>
      <x:c r="H200" s="32" t="str">
        <x:v>1101</x:v>
      </x:c>
      <x:c r="I200" s="22" t="str">
        <x:v>河流水面</x:v>
      </x:c>
      <x:c r="J200" s="22" t="str">
        <x:v>农业生态</x:v>
      </x:c>
      <x:c r="K200" s="32" t="str">
        <x:v>202</x:v>
      </x:c>
      <x:c r="L200" s="22" t="str">
        <x:v>建制镇范围</x:v>
      </x:c>
      <x:c r="M200" s="33" t="n">
        <x:v>4224.31</x:v>
      </x:c>
      <x:c r="N200" s="33" t="n">
        <x:v>0.42243100000000006</x:v>
      </x:c>
      <x:c r="O200" s="22" t="str">
        <x:v>公顷</x:v>
      </x:c>
      <x:c r="P200" s="22" t="str">
        <x:v>未提供（单期横截面）</x:v>
      </x:c>
      <x:c r="Q200" s="23" t="n">
        <x:v>1508</x:v>
      </x:c>
    </x:row>
    <x:row r="201">
      <x:c r="A201" s="30" t="n">
        <x:v>350200</x:v>
      </x:c>
      <x:c r="B201" s="22" t="str">
        <x:v>厦门市</x:v>
      </x:c>
      <x:c r="C201" s="31" t="n">
        <x:v>350205</x:v>
      </x:c>
      <x:c r="D201" s="22" t="str">
        <x:v>海沧区</x:v>
      </x:c>
      <x:c r="E201" s="22" t="str">
        <x:v>未利用地</x:v>
      </x:c>
      <x:c r="F201" s="22" t="str">
        <x:v>草地</x:v>
      </x:c>
      <x:c r="G201" s="32" t="str">
        <x:v>404</x:v>
      </x:c>
      <x:c r="H201" s="32" t="str">
        <x:v>404</x:v>
      </x:c>
      <x:c r="I201" s="22" t="str">
        <x:v>其他草地</x:v>
      </x:c>
      <x:c r="J201" s="22" t="str">
        <x:v>农业生态</x:v>
      </x:c>
      <x:c r="K201" s="32" t="str">
        <x:v>203</x:v>
      </x:c>
      <x:c r="L201" s="22" t="str">
        <x:v>村庄范围</x:v>
      </x:c>
      <x:c r="M201" s="33" t="n">
        <x:v>6650.8099999999995</x:v>
      </x:c>
      <x:c r="N201" s="33" t="n">
        <x:v>0.6650809999999999</x:v>
      </x:c>
      <x:c r="O201" s="22" t="str">
        <x:v>公顷</x:v>
      </x:c>
      <x:c r="P201" s="22" t="str">
        <x:v>未提供（单期横截面）</x:v>
      </x:c>
      <x:c r="Q201" s="23" t="n">
        <x:v>1509</x:v>
      </x:c>
    </x:row>
    <x:row r="202">
      <x:c r="A202" s="30" t="n">
        <x:v>350200</x:v>
      </x:c>
      <x:c r="B202" s="22" t="str">
        <x:v>厦门市</x:v>
      </x:c>
      <x:c r="C202" s="31" t="n">
        <x:v>350205</x:v>
      </x:c>
      <x:c r="D202" s="22" t="str">
        <x:v>海沧区</x:v>
      </x:c>
      <x:c r="E202" s="22" t="str">
        <x:v>未利用地</x:v>
      </x:c>
      <x:c r="F202" s="22" t="str">
        <x:v>草地</x:v>
      </x:c>
      <x:c r="G202" s="32" t="str">
        <x:v>404</x:v>
      </x:c>
      <x:c r="H202" s="32" t="str">
        <x:v>404</x:v>
      </x:c>
      <x:c r="I202" s="22" t="str">
        <x:v>其他草地</x:v>
      </x:c>
      <x:c r="J202" s="22" t="str">
        <x:v>农业生态</x:v>
      </x:c>
      <x:c r="K202" s="32" t="str">
        <x:v>204</x:v>
      </x:c>
      <x:c r="L202" s="22" t="str">
        <x:v>盐田及采矿用地</x:v>
      </x:c>
      <x:c r="M202" s="33" t="n">
        <x:v>94756.86</x:v>
      </x:c>
      <x:c r="N202" s="33" t="n">
        <x:v>9.475686</x:v>
      </x:c>
      <x:c r="O202" s="22" t="str">
        <x:v>公顷</x:v>
      </x:c>
      <x:c r="P202" s="22" t="str">
        <x:v>未提供（单期横截面）</x:v>
      </x:c>
      <x:c r="Q202" s="23" t="n">
        <x:v>1510</x:v>
      </x:c>
    </x:row>
    <x:row r="203">
      <x:c r="A203" s="30" t="n">
        <x:v>350200</x:v>
      </x:c>
      <x:c r="B203" s="22" t="str">
        <x:v>厦门市</x:v>
      </x:c>
      <x:c r="C203" s="31" t="n">
        <x:v>350206</x:v>
      </x:c>
      <x:c r="D203" s="22" t="str">
        <x:v>湖里区</x:v>
      </x:c>
      <x:c r="E203" s="22" t="str">
        <x:v>建设用地</x:v>
      </x:c>
      <x:c r="F203" s="22" t="str">
        <x:v>交通运输用地</x:v>
      </x:c>
      <x:c r="G203" s="32" t="str">
        <x:v>1001</x:v>
      </x:c>
      <x:c r="H203" s="32" t="str">
        <x:v>1001</x:v>
      </x:c>
      <x:c r="I203" s="22" t="str">
        <x:v>铁路用地</x:v>
      </x:c>
      <x:c r="J203" s="22" t="str">
        <x:v>交通门户</x:v>
      </x:c>
      <x:c r="K203" s="32" t="str"/>
      <x:c r="L203" s="22" t="str">
        <x:v>不适用/未标注</x:v>
      </x:c>
      <x:c r="M203" s="33" t="n">
        <x:v>802672.2000000002</x:v>
      </x:c>
      <x:c r="N203" s="33" t="n">
        <x:v>80.26722000000002</x:v>
      </x:c>
      <x:c r="O203" s="22" t="str">
        <x:v>公顷</x:v>
      </x:c>
      <x:c r="P203" s="22" t="str">
        <x:v>未提供（单期横截面）</x:v>
      </x:c>
      <x:c r="Q203" s="23" t="n">
        <x:v>1511</x:v>
      </x:c>
    </x:row>
    <x:row r="204">
      <x:c r="A204" s="30" t="n">
        <x:v>350200</x:v>
      </x:c>
      <x:c r="B204" s="22" t="str">
        <x:v>厦门市</x:v>
      </x:c>
      <x:c r="C204" s="31" t="n">
        <x:v>350206</x:v>
      </x:c>
      <x:c r="D204" s="22" t="str">
        <x:v>湖里区</x:v>
      </x:c>
      <x:c r="E204" s="22" t="str">
        <x:v>建设用地</x:v>
      </x:c>
      <x:c r="F204" s="22" t="str">
        <x:v>交通运输用地</x:v>
      </x:c>
      <x:c r="G204" s="32" t="str">
        <x:v>1002</x:v>
      </x:c>
      <x:c r="H204" s="32" t="str">
        <x:v>1002</x:v>
      </x:c>
      <x:c r="I204" s="22" t="str">
        <x:v>轨道交通用地</x:v>
      </x:c>
      <x:c r="J204" s="22" t="str">
        <x:v>交通门户</x:v>
      </x:c>
      <x:c r="K204" s="32" t="str"/>
      <x:c r="L204" s="22" t="str">
        <x:v>不适用/未标注</x:v>
      </x:c>
      <x:c r="M204" s="33" t="n">
        <x:v>10596.769999999999</x:v>
      </x:c>
      <x:c r="N204" s="33" t="n">
        <x:v>1.0596769999999998</x:v>
      </x:c>
      <x:c r="O204" s="22" t="str">
        <x:v>公顷</x:v>
      </x:c>
      <x:c r="P204" s="22" t="str">
        <x:v>未提供（单期横截面）</x:v>
      </x:c>
      <x:c r="Q204" s="23" t="n">
        <x:v>1512</x:v>
      </x:c>
    </x:row>
    <x:row r="205">
      <x:c r="A205" s="30" t="n">
        <x:v>350200</x:v>
      </x:c>
      <x:c r="B205" s="22" t="str">
        <x:v>厦门市</x:v>
      </x:c>
      <x:c r="C205" s="31" t="n">
        <x:v>350206</x:v>
      </x:c>
      <x:c r="D205" s="22" t="str">
        <x:v>湖里区</x:v>
      </x:c>
      <x:c r="E205" s="22" t="str">
        <x:v>建设用地</x:v>
      </x:c>
      <x:c r="F205" s="22" t="str">
        <x:v>交通运输用地</x:v>
      </x:c>
      <x:c r="G205" s="32" t="str">
        <x:v>1003</x:v>
      </x:c>
      <x:c r="H205" s="32" t="str">
        <x:v>1003</x:v>
      </x:c>
      <x:c r="I205" s="22" t="str">
        <x:v>公路用地</x:v>
      </x:c>
      <x:c r="J205" s="22" t="str">
        <x:v>交通门户</x:v>
      </x:c>
      <x:c r="K205" s="32" t="str"/>
      <x:c r="L205" s="22" t="str">
        <x:v>不适用/未标注</x:v>
      </x:c>
      <x:c r="M205" s="33" t="n">
        <x:v>535459.44</x:v>
      </x:c>
      <x:c r="N205" s="33" t="n">
        <x:v>53.54594399999999</x:v>
      </x:c>
      <x:c r="O205" s="22" t="str">
        <x:v>公顷</x:v>
      </x:c>
      <x:c r="P205" s="22" t="str">
        <x:v>未提供（单期横截面）</x:v>
      </x:c>
      <x:c r="Q205" s="23" t="n">
        <x:v>1513</x:v>
      </x:c>
    </x:row>
    <x:row r="206">
      <x:c r="A206" s="30" t="n">
        <x:v>350200</x:v>
      </x:c>
      <x:c r="B206" s="22" t="str">
        <x:v>厦门市</x:v>
      </x:c>
      <x:c r="C206" s="31" t="n">
        <x:v>350206</x:v>
      </x:c>
      <x:c r="D206" s="22" t="str">
        <x:v>湖里区</x:v>
      </x:c>
      <x:c r="E206" s="22" t="str">
        <x:v>建设用地</x:v>
      </x:c>
      <x:c r="F206" s="22" t="str">
        <x:v>工矿仓储用地</x:v>
      </x:c>
      <x:c r="G206" s="32" t="str">
        <x:v>508</x:v>
      </x:c>
      <x:c r="H206" s="32" t="str">
        <x:v>508</x:v>
      </x:c>
      <x:c r="I206" s="22" t="str">
        <x:v>物流仓储用地</x:v>
      </x:c>
      <x:c r="J206" s="22" t="str">
        <x:v>产业功能</x:v>
      </x:c>
      <x:c r="K206" s="32" t="str">
        <x:v>201</x:v>
      </x:c>
      <x:c r="L206" s="22" t="str">
        <x:v>城市范围</x:v>
      </x:c>
      <x:c r="M206" s="33" t="n">
        <x:v>3035355.6699999995</x:v>
      </x:c>
      <x:c r="N206" s="33" t="n">
        <x:v>303.53556699999996</x:v>
      </x:c>
      <x:c r="O206" s="22" t="str">
        <x:v>公顷</x:v>
      </x:c>
      <x:c r="P206" s="22" t="str">
        <x:v>未提供（单期横截面）</x:v>
      </x:c>
      <x:c r="Q206" s="23" t="n">
        <x:v>1514</x:v>
      </x:c>
    </x:row>
    <x:row r="207">
      <x:c r="A207" s="30" t="n">
        <x:v>350200</x:v>
      </x:c>
      <x:c r="B207" s="22" t="str">
        <x:v>厦门市</x:v>
      </x:c>
      <x:c r="C207" s="31" t="n">
        <x:v>350206</x:v>
      </x:c>
      <x:c r="D207" s="22" t="str">
        <x:v>湖里区</x:v>
      </x:c>
      <x:c r="E207" s="22" t="str">
        <x:v>建设用地</x:v>
      </x:c>
      <x:c r="F207" s="22" t="str">
        <x:v>商业服务业用地</x:v>
      </x:c>
      <x:c r="G207" s="32" t="str">
        <x:v>05H1</x:v>
      </x:c>
      <x:c r="H207" s="32" t="str">
        <x:v>05H1</x:v>
      </x:c>
      <x:c r="I207" s="22" t="str">
        <x:v>商业服务业设施用地</x:v>
      </x:c>
      <x:c r="J207" s="22" t="str">
        <x:v>商业服务</x:v>
      </x:c>
      <x:c r="K207" s="32" t="str">
        <x:v>201</x:v>
      </x:c>
      <x:c r="L207" s="22" t="str">
        <x:v>城市范围</x:v>
      </x:c>
      <x:c r="M207" s="33" t="n">
        <x:v>6910391.929999994</x:v>
      </x:c>
      <x:c r="N207" s="33" t="n">
        <x:v>691.0391929999994</x:v>
      </x:c>
      <x:c r="O207" s="22" t="str">
        <x:v>公顷</x:v>
      </x:c>
      <x:c r="P207" s="22" t="str">
        <x:v>未提供（单期横截面）</x:v>
      </x:c>
      <x:c r="Q207" s="23" t="n">
        <x:v>1515</x:v>
      </x:c>
    </x:row>
    <x:row r="208">
      <x:c r="A208" s="30" t="n">
        <x:v>350200</x:v>
      </x:c>
      <x:c r="B208" s="22" t="str">
        <x:v>厦门市</x:v>
      </x:c>
      <x:c r="C208" s="31" t="n">
        <x:v>350206</x:v>
      </x:c>
      <x:c r="D208" s="22" t="str">
        <x:v>湖里区</x:v>
      </x:c>
      <x:c r="E208" s="22" t="str">
        <x:v>建设用地</x:v>
      </x:c>
      <x:c r="F208" s="22" t="str">
        <x:v>工矿仓储用地</x:v>
      </x:c>
      <x:c r="G208" s="32" t="str">
        <x:v>601</x:v>
      </x:c>
      <x:c r="H208" s="32" t="str">
        <x:v>601</x:v>
      </x:c>
      <x:c r="I208" s="22" t="str">
        <x:v>工业用地</x:v>
      </x:c>
      <x:c r="J208" s="22" t="str">
        <x:v>产业功能</x:v>
      </x:c>
      <x:c r="K208" s="32" t="str">
        <x:v>201</x:v>
      </x:c>
      <x:c r="L208" s="22" t="str">
        <x:v>城市范围</x:v>
      </x:c>
      <x:c r="M208" s="33" t="n">
        <x:v>5499706.640000001</x:v>
      </x:c>
      <x:c r="N208" s="33" t="n">
        <x:v>549.970664</x:v>
      </x:c>
      <x:c r="O208" s="22" t="str">
        <x:v>公顷</x:v>
      </x:c>
      <x:c r="P208" s="22" t="str">
        <x:v>未提供（单期横截面）</x:v>
      </x:c>
      <x:c r="Q208" s="23" t="n">
        <x:v>1516</x:v>
      </x:c>
    </x:row>
    <x:row r="209">
      <x:c r="A209" s="30" t="n">
        <x:v>350200</x:v>
      </x:c>
      <x:c r="B209" s="22" t="str">
        <x:v>厦门市</x:v>
      </x:c>
      <x:c r="C209" s="31" t="n">
        <x:v>350206</x:v>
      </x:c>
      <x:c r="D209" s="22" t="str">
        <x:v>湖里区</x:v>
      </x:c>
      <x:c r="E209" s="22" t="str">
        <x:v>建设用地</x:v>
      </x:c>
      <x:c r="F209" s="22" t="str">
        <x:v>工矿仓储用地</x:v>
      </x:c>
      <x:c r="G209" s="32" t="str">
        <x:v>602</x:v>
      </x:c>
      <x:c r="H209" s="32" t="str">
        <x:v>602</x:v>
      </x:c>
      <x:c r="I209" s="22" t="str">
        <x:v>采矿用地</x:v>
      </x:c>
      <x:c r="J209" s="22" t="str">
        <x:v>产业功能</x:v>
      </x:c>
      <x:c r="K209" s="32" t="str">
        <x:v>201</x:v>
      </x:c>
      <x:c r="L209" s="22" t="str">
        <x:v>城市范围</x:v>
      </x:c>
      <x:c r="M209" s="33" t="n">
        <x:v>2146.24</x:v>
      </x:c>
      <x:c r="N209" s="33" t="n">
        <x:v>0.21462399999999998</x:v>
      </x:c>
      <x:c r="O209" s="22" t="str">
        <x:v>公顷</x:v>
      </x:c>
      <x:c r="P209" s="22" t="str">
        <x:v>未提供（单期横截面）</x:v>
      </x:c>
      <x:c r="Q209" s="23" t="n">
        <x:v>1517</x:v>
      </x:c>
    </x:row>
    <x:row r="210">
      <x:c r="A210" s="30" t="n">
        <x:v>350200</x:v>
      </x:c>
      <x:c r="B210" s="22" t="str">
        <x:v>厦门市</x:v>
      </x:c>
      <x:c r="C210" s="31" t="n">
        <x:v>350206</x:v>
      </x:c>
      <x:c r="D210" s="22" t="str">
        <x:v>湖里区</x:v>
      </x:c>
      <x:c r="E210" s="22" t="str">
        <x:v>建设用地</x:v>
      </x:c>
      <x:c r="F210" s="22" t="str">
        <x:v>居住用地</x:v>
      </x:c>
      <x:c r="G210" s="32" t="str">
        <x:v>701</x:v>
      </x:c>
      <x:c r="H210" s="32" t="str">
        <x:v>701</x:v>
      </x:c>
      <x:c r="I210" s="22" t="str">
        <x:v>城镇住宅用地</x:v>
      </x:c>
      <x:c r="J210" s="22" t="str">
        <x:v>居住功能</x:v>
      </x:c>
      <x:c r="K210" s="32" t="str">
        <x:v>201</x:v>
      </x:c>
      <x:c r="L210" s="22" t="str">
        <x:v>城市范围</x:v>
      </x:c>
      <x:c r="M210" s="33" t="n">
        <x:v>9905660.180000002</x:v>
      </x:c>
      <x:c r="N210" s="33" t="n">
        <x:v>990.5660180000002</x:v>
      </x:c>
      <x:c r="O210" s="22" t="str">
        <x:v>公顷</x:v>
      </x:c>
      <x:c r="P210" s="22" t="str">
        <x:v>未提供（单期横截面）</x:v>
      </x:c>
      <x:c r="Q210" s="23" t="n">
        <x:v>1518</x:v>
      </x:c>
    </x:row>
    <x:row r="211">
      <x:c r="A211" s="30" t="n">
        <x:v>350200</x:v>
      </x:c>
      <x:c r="B211" s="22" t="str">
        <x:v>厦门市</x:v>
      </x:c>
      <x:c r="C211" s="31" t="n">
        <x:v>350206</x:v>
      </x:c>
      <x:c r="D211" s="22" t="str">
        <x:v>湖里区</x:v>
      </x:c>
      <x:c r="E211" s="22" t="str">
        <x:v>建设用地</x:v>
      </x:c>
      <x:c r="F211" s="22" t="str">
        <x:v>居住用地</x:v>
      </x:c>
      <x:c r="G211" s="32" t="str">
        <x:v>702</x:v>
      </x:c>
      <x:c r="H211" s="32" t="str">
        <x:v>702</x:v>
      </x:c>
      <x:c r="I211" s="22" t="str">
        <x:v>农村宅基地</x:v>
      </x:c>
      <x:c r="J211" s="22" t="str">
        <x:v>居住功能</x:v>
      </x:c>
      <x:c r="K211" s="32" t="str">
        <x:v>201</x:v>
      </x:c>
      <x:c r="L211" s="22" t="str">
        <x:v>城市范围</x:v>
      </x:c>
      <x:c r="M211" s="33" t="n">
        <x:v>5730874.530000001</x:v>
      </x:c>
      <x:c r="N211" s="33" t="n">
        <x:v>573.0874530000001</x:v>
      </x:c>
      <x:c r="O211" s="22" t="str">
        <x:v>公顷</x:v>
      </x:c>
      <x:c r="P211" s="22" t="str">
        <x:v>未提供（单期横截面）</x:v>
      </x:c>
      <x:c r="Q211" s="23" t="n">
        <x:v>1519</x:v>
      </x:c>
    </x:row>
    <x:row r="212">
      <x:c r="A212" s="30" t="n">
        <x:v>350200</x:v>
      </x:c>
      <x:c r="B212" s="22" t="str">
        <x:v>厦门市</x:v>
      </x:c>
      <x:c r="C212" s="31" t="n">
        <x:v>350206</x:v>
      </x:c>
      <x:c r="D212" s="22" t="str">
        <x:v>湖里区</x:v>
      </x:c>
      <x:c r="E212" s="22" t="str">
        <x:v>建设用地</x:v>
      </x:c>
      <x:c r="F212" s="22" t="str">
        <x:v>公用设施用地</x:v>
      </x:c>
      <x:c r="G212" s="32" t="str">
        <x:v>809</x:v>
      </x:c>
      <x:c r="H212" s="32" t="str">
        <x:v>809</x:v>
      </x:c>
      <x:c r="I212" s="22" t="str">
        <x:v>公用设施用地</x:v>
      </x:c>
      <x:c r="J212" s="22" t="str">
        <x:v>其他建设</x:v>
      </x:c>
      <x:c r="K212" s="32" t="str">
        <x:v>201</x:v>
      </x:c>
      <x:c r="L212" s="22" t="str">
        <x:v>城市范围</x:v>
      </x:c>
      <x:c r="M212" s="33" t="n">
        <x:v>793395.2900000003</x:v>
      </x:c>
      <x:c r="N212" s="33" t="n">
        <x:v>79.33952900000003</x:v>
      </x:c>
      <x:c r="O212" s="22" t="str">
        <x:v>公顷</x:v>
      </x:c>
      <x:c r="P212" s="22" t="str">
        <x:v>未提供（单期横截面）</x:v>
      </x:c>
      <x:c r="Q212" s="23" t="n">
        <x:v>1520</x:v>
      </x:c>
    </x:row>
    <x:row r="213">
      <x:c r="A213" s="30" t="n">
        <x:v>350200</x:v>
      </x:c>
      <x:c r="B213" s="22" t="str">
        <x:v>厦门市</x:v>
      </x:c>
      <x:c r="C213" s="31" t="n">
        <x:v>350206</x:v>
      </x:c>
      <x:c r="D213" s="22" t="str">
        <x:v>湖里区</x:v>
      </x:c>
      <x:c r="E213" s="22" t="str">
        <x:v>建设用地</x:v>
      </x:c>
      <x:c r="F213" s="22" t="str">
        <x:v>绿地与广场用地</x:v>
      </x:c>
      <x:c r="G213" s="32" t="str">
        <x:v>810</x:v>
      </x:c>
      <x:c r="H213" s="32" t="str">
        <x:v>810</x:v>
      </x:c>
      <x:c r="I213" s="22" t="str">
        <x:v>公园与绿地</x:v>
      </x:c>
      <x:c r="J213" s="22" t="str">
        <x:v>公共空间</x:v>
      </x:c>
      <x:c r="K213" s="32" t="str">
        <x:v>201</x:v>
      </x:c>
      <x:c r="L213" s="22" t="str">
        <x:v>城市范围</x:v>
      </x:c>
      <x:c r="M213" s="33" t="n">
        <x:v>2081492.1000000006</x:v>
      </x:c>
      <x:c r="N213" s="33" t="n">
        <x:v>208.14921000000007</x:v>
      </x:c>
      <x:c r="O213" s="22" t="str">
        <x:v>公顷</x:v>
      </x:c>
      <x:c r="P213" s="22" t="str">
        <x:v>未提供（单期横截面）</x:v>
      </x:c>
      <x:c r="Q213" s="23" t="n">
        <x:v>1521</x:v>
      </x:c>
    </x:row>
    <x:row r="214">
      <x:c r="A214" s="30" t="n">
        <x:v>350200</x:v>
      </x:c>
      <x:c r="B214" s="22" t="str">
        <x:v>厦门市</x:v>
      </x:c>
      <x:c r="C214" s="31" t="n">
        <x:v>350206</x:v>
      </x:c>
      <x:c r="D214" s="22" t="str">
        <x:v>湖里区</x:v>
      </x:c>
      <x:c r="E214" s="22" t="str">
        <x:v>建设用地</x:v>
      </x:c>
      <x:c r="F214" s="22" t="str">
        <x:v>绿地与广场用地</x:v>
      </x:c>
      <x:c r="G214" s="32" t="str">
        <x:v>0810A</x:v>
      </x:c>
      <x:c r="H214" s="32" t="str">
        <x:v>0810</x:v>
      </x:c>
      <x:c r="I214" s="22" t="str">
        <x:v>广场用地</x:v>
      </x:c>
      <x:c r="J214" s="22" t="str">
        <x:v>公共空间</x:v>
      </x:c>
      <x:c r="K214" s="32" t="str">
        <x:v>201</x:v>
      </x:c>
      <x:c r="L214" s="22" t="str">
        <x:v>城市范围</x:v>
      </x:c>
      <x:c r="M214" s="33" t="n">
        <x:v>15376.08</x:v>
      </x:c>
      <x:c r="N214" s="33" t="n">
        <x:v>1.537608</x:v>
      </x:c>
      <x:c r="O214" s="22" t="str">
        <x:v>公顷</x:v>
      </x:c>
      <x:c r="P214" s="22" t="str">
        <x:v>未提供（单期横截面）</x:v>
      </x:c>
      <x:c r="Q214" s="23" t="n">
        <x:v>1522</x:v>
      </x:c>
    </x:row>
    <x:row r="215">
      <x:c r="A215" s="30" t="n">
        <x:v>350200</x:v>
      </x:c>
      <x:c r="B215" s="22" t="str">
        <x:v>厦门市</x:v>
      </x:c>
      <x:c r="C215" s="31" t="n">
        <x:v>350206</x:v>
      </x:c>
      <x:c r="D215" s="22" t="str">
        <x:v>湖里区</x:v>
      </x:c>
      <x:c r="E215" s="22" t="str">
        <x:v>建设用地</x:v>
      </x:c>
      <x:c r="F215" s="22" t="str">
        <x:v>公共管理与公共服务用地</x:v>
      </x:c>
      <x:c r="G215" s="32" t="str">
        <x:v>08H1</x:v>
      </x:c>
      <x:c r="H215" s="32" t="str">
        <x:v>08H1</x:v>
      </x:c>
      <x:c r="I215" s="22" t="str">
        <x:v>机关团体新闻出版用地</x:v>
      </x:c>
      <x:c r="J215" s="22" t="str">
        <x:v>公共服务</x:v>
      </x:c>
      <x:c r="K215" s="32" t="str">
        <x:v>201</x:v>
      </x:c>
      <x:c r="L215" s="22" t="str">
        <x:v>城市范围</x:v>
      </x:c>
      <x:c r="M215" s="33" t="n">
        <x:v>780919.93</x:v>
      </x:c>
      <x:c r="N215" s="33" t="n">
        <x:v>78.091993</x:v>
      </x:c>
      <x:c r="O215" s="22" t="str">
        <x:v>公顷</x:v>
      </x:c>
      <x:c r="P215" s="22" t="str">
        <x:v>未提供（单期横截面）</x:v>
      </x:c>
      <x:c r="Q215" s="23" t="n">
        <x:v>1523</x:v>
      </x:c>
    </x:row>
    <x:row r="216">
      <x:c r="A216" s="30" t="n">
        <x:v>350200</x:v>
      </x:c>
      <x:c r="B216" s="22" t="str">
        <x:v>厦门市</x:v>
      </x:c>
      <x:c r="C216" s="31" t="n">
        <x:v>350206</x:v>
      </x:c>
      <x:c r="D216" s="22" t="str">
        <x:v>湖里区</x:v>
      </x:c>
      <x:c r="E216" s="22" t="str">
        <x:v>建设用地</x:v>
      </x:c>
      <x:c r="F216" s="22" t="str">
        <x:v>公共管理与公共服务用地</x:v>
      </x:c>
      <x:c r="G216" s="32" t="str">
        <x:v>08H2</x:v>
      </x:c>
      <x:c r="H216" s="32" t="str">
        <x:v>08H2</x:v>
      </x:c>
      <x:c r="I216" s="22" t="str">
        <x:v>科教文卫用地</x:v>
      </x:c>
      <x:c r="J216" s="22" t="str">
        <x:v>公共服务</x:v>
      </x:c>
      <x:c r="K216" s="32" t="str">
        <x:v>201</x:v>
      </x:c>
      <x:c r="L216" s="22" t="str">
        <x:v>城市范围</x:v>
      </x:c>
      <x:c r="M216" s="33" t="n">
        <x:v>2740919.83</x:v>
      </x:c>
      <x:c r="N216" s="33" t="n">
        <x:v>274.091983</x:v>
      </x:c>
      <x:c r="O216" s="22" t="str">
        <x:v>公顷</x:v>
      </x:c>
      <x:c r="P216" s="22" t="str">
        <x:v>未提供（单期横截面）</x:v>
      </x:c>
      <x:c r="Q216" s="23" t="n">
        <x:v>1524</x:v>
      </x:c>
    </x:row>
    <x:row r="217">
      <x:c r="A217" s="30" t="n">
        <x:v>350200</x:v>
      </x:c>
      <x:c r="B217" s="22" t="str">
        <x:v>厦门市</x:v>
      </x:c>
      <x:c r="C217" s="31" t="n">
        <x:v>350206</x:v>
      </x:c>
      <x:c r="D217" s="22" t="str">
        <x:v>湖里区</x:v>
      </x:c>
      <x:c r="E217" s="22" t="str">
        <x:v>建设用地</x:v>
      </x:c>
      <x:c r="F217" s="22" t="str">
        <x:v>公共管理与公共服务用地</x:v>
      </x:c>
      <x:c r="G217" s="32" t="str">
        <x:v>08H2A</x:v>
      </x:c>
      <x:c r="H217" s="32" t="str">
        <x:v>08H2</x:v>
      </x:c>
      <x:c r="I217" s="22" t="str">
        <x:v>高教用地</x:v>
      </x:c>
      <x:c r="J217" s="22" t="str">
        <x:v>公共服务</x:v>
      </x:c>
      <x:c r="K217" s="32" t="str">
        <x:v>201</x:v>
      </x:c>
      <x:c r="L217" s="22" t="str">
        <x:v>城市范围</x:v>
      </x:c>
      <x:c r="M217" s="33" t="n">
        <x:v>16766.22</x:v>
      </x:c>
      <x:c r="N217" s="33" t="n">
        <x:v>1.676622</x:v>
      </x:c>
      <x:c r="O217" s="22" t="str">
        <x:v>公顷</x:v>
      </x:c>
      <x:c r="P217" s="22" t="str">
        <x:v>未提供（单期横截面）</x:v>
      </x:c>
      <x:c r="Q217" s="23" t="n">
        <x:v>1525</x:v>
      </x:c>
    </x:row>
    <x:row r="218">
      <x:c r="A218" s="30" t="n">
        <x:v>350200</x:v>
      </x:c>
      <x:c r="B218" s="22" t="str">
        <x:v>厦门市</x:v>
      </x:c>
      <x:c r="C218" s="31" t="n">
        <x:v>350206</x:v>
      </x:c>
      <x:c r="D218" s="22" t="str">
        <x:v>湖里区</x:v>
      </x:c>
      <x:c r="E218" s="22" t="str">
        <x:v>建设用地</x:v>
      </x:c>
      <x:c r="F218" s="22" t="str">
        <x:v>特殊用地</x:v>
      </x:c>
      <x:c r="G218" s="32" t="str">
        <x:v>9</x:v>
      </x:c>
      <x:c r="H218" s="32" t="str">
        <x:v>9</x:v>
      </x:c>
      <x:c r="I218" s="22" t="str">
        <x:v>特殊用地</x:v>
      </x:c>
      <x:c r="J218" s="22" t="str">
        <x:v>其他建设</x:v>
      </x:c>
      <x:c r="K218" s="32" t="str">
        <x:v>201</x:v>
      </x:c>
      <x:c r="L218" s="22" t="str">
        <x:v>城市范围</x:v>
      </x:c>
      <x:c r="M218" s="33" t="n">
        <x:v>1114529.0900000003</x:v>
      </x:c>
      <x:c r="N218" s="33" t="n">
        <x:v>111.45290900000003</x:v>
      </x:c>
      <x:c r="O218" s="22" t="str">
        <x:v>公顷</x:v>
      </x:c>
      <x:c r="P218" s="22" t="str">
        <x:v>未提供（单期横截面）</x:v>
      </x:c>
      <x:c r="Q218" s="23" t="n">
        <x:v>1526</x:v>
      </x:c>
    </x:row>
    <x:row r="219">
      <x:c r="A219" s="30" t="n">
        <x:v>350200</x:v>
      </x:c>
      <x:c r="B219" s="22" t="str">
        <x:v>厦门市</x:v>
      </x:c>
      <x:c r="C219" s="31" t="n">
        <x:v>350206</x:v>
      </x:c>
      <x:c r="D219" s="22" t="str">
        <x:v>湖里区</x:v>
      </x:c>
      <x:c r="E219" s="22" t="str">
        <x:v>建设用地</x:v>
      </x:c>
      <x:c r="F219" s="22" t="str">
        <x:v>交通运输用地</x:v>
      </x:c>
      <x:c r="G219" s="32" t="str">
        <x:v>1002</x:v>
      </x:c>
      <x:c r="H219" s="32" t="str">
        <x:v>1002</x:v>
      </x:c>
      <x:c r="I219" s="22" t="str">
        <x:v>轨道交通用地</x:v>
      </x:c>
      <x:c r="J219" s="22" t="str">
        <x:v>交通门户</x:v>
      </x:c>
      <x:c r="K219" s="32" t="str">
        <x:v>201</x:v>
      </x:c>
      <x:c r="L219" s="22" t="str">
        <x:v>城市范围</x:v>
      </x:c>
      <x:c r="M219" s="33" t="n">
        <x:v>635147.2000000002</x:v>
      </x:c>
      <x:c r="N219" s="33" t="n">
        <x:v>63.51472000000002</x:v>
      </x:c>
      <x:c r="O219" s="22" t="str">
        <x:v>公顷</x:v>
      </x:c>
      <x:c r="P219" s="22" t="str">
        <x:v>未提供（单期横截面）</x:v>
      </x:c>
      <x:c r="Q219" s="23" t="n">
        <x:v>1527</x:v>
      </x:c>
    </x:row>
    <x:row r="220">
      <x:c r="A220" s="30" t="n">
        <x:v>350200</x:v>
      </x:c>
      <x:c r="B220" s="22" t="str">
        <x:v>厦门市</x:v>
      </x:c>
      <x:c r="C220" s="31" t="n">
        <x:v>350206</x:v>
      </x:c>
      <x:c r="D220" s="22" t="str">
        <x:v>湖里区</x:v>
      </x:c>
      <x:c r="E220" s="22" t="str">
        <x:v>建设用地</x:v>
      </x:c>
      <x:c r="F220" s="22" t="str">
        <x:v>交通运输用地</x:v>
      </x:c>
      <x:c r="G220" s="32" t="str">
        <x:v>1003</x:v>
      </x:c>
      <x:c r="H220" s="32" t="str">
        <x:v>1003</x:v>
      </x:c>
      <x:c r="I220" s="22" t="str">
        <x:v>公路用地</x:v>
      </x:c>
      <x:c r="J220" s="22" t="str">
        <x:v>交通门户</x:v>
      </x:c>
      <x:c r="K220" s="32" t="str">
        <x:v>201</x:v>
      </x:c>
      <x:c r="L220" s="22" t="str">
        <x:v>城市范围</x:v>
      </x:c>
      <x:c r="M220" s="33" t="n">
        <x:v>411.66999999999996</x:v>
      </x:c>
      <x:c r="N220" s="33" t="n">
        <x:v>0.041166999999999995</x:v>
      </x:c>
      <x:c r="O220" s="22" t="str">
        <x:v>公顷</x:v>
      </x:c>
      <x:c r="P220" s="22" t="str">
        <x:v>未提供（单期横截面）</x:v>
      </x:c>
      <x:c r="Q220" s="23" t="n">
        <x:v>1528</x:v>
      </x:c>
    </x:row>
    <x:row r="221">
      <x:c r="A221" s="30" t="n">
        <x:v>350200</x:v>
      </x:c>
      <x:c r="B221" s="22" t="str">
        <x:v>厦门市</x:v>
      </x:c>
      <x:c r="C221" s="31" t="n">
        <x:v>350206</x:v>
      </x:c>
      <x:c r="D221" s="22" t="str">
        <x:v>湖里区</x:v>
      </x:c>
      <x:c r="E221" s="22" t="str">
        <x:v>建设用地</x:v>
      </x:c>
      <x:c r="F221" s="22" t="str">
        <x:v>交通运输用地</x:v>
      </x:c>
      <x:c r="G221" s="32" t="str">
        <x:v>1004</x:v>
      </x:c>
      <x:c r="H221" s="32" t="str">
        <x:v>1004</x:v>
      </x:c>
      <x:c r="I221" s="22" t="str">
        <x:v>城镇村道路用地</x:v>
      </x:c>
      <x:c r="J221" s="22" t="str">
        <x:v>交通门户</x:v>
      </x:c>
      <x:c r="K221" s="32" t="str">
        <x:v>201</x:v>
      </x:c>
      <x:c r="L221" s="22" t="str">
        <x:v>城市范围</x:v>
      </x:c>
      <x:c r="M221" s="33" t="n">
        <x:v>10652390.180000009</x:v>
      </x:c>
      <x:c r="N221" s="33" t="n">
        <x:v>1065.239018000001</x:v>
      </x:c>
      <x:c r="O221" s="22" t="str">
        <x:v>公顷</x:v>
      </x:c>
      <x:c r="P221" s="22" t="str">
        <x:v>未提供（单期横截面）</x:v>
      </x:c>
      <x:c r="Q221" s="23" t="n">
        <x:v>1529</x:v>
      </x:c>
    </x:row>
    <x:row r="222">
      <x:c r="A222" s="30" t="n">
        <x:v>350200</x:v>
      </x:c>
      <x:c r="B222" s="22" t="str">
        <x:v>厦门市</x:v>
      </x:c>
      <x:c r="C222" s="31" t="n">
        <x:v>350206</x:v>
      </x:c>
      <x:c r="D222" s="22" t="str">
        <x:v>湖里区</x:v>
      </x:c>
      <x:c r="E222" s="22" t="str">
        <x:v>建设用地</x:v>
      </x:c>
      <x:c r="F222" s="22" t="str">
        <x:v>交通运输用地</x:v>
      </x:c>
      <x:c r="G222" s="32" t="str">
        <x:v>1005</x:v>
      </x:c>
      <x:c r="H222" s="32" t="str">
        <x:v>1005</x:v>
      </x:c>
      <x:c r="I222" s="22" t="str">
        <x:v>交通服务场站用地</x:v>
      </x:c>
      <x:c r="J222" s="22" t="str">
        <x:v>交通门户</x:v>
      </x:c>
      <x:c r="K222" s="32" t="str">
        <x:v>201</x:v>
      </x:c>
      <x:c r="L222" s="22" t="str">
        <x:v>城市范围</x:v>
      </x:c>
      <x:c r="M222" s="33" t="n">
        <x:v>1423946.5900000003</x:v>
      </x:c>
      <x:c r="N222" s="33" t="n">
        <x:v>142.39465900000002</x:v>
      </x:c>
      <x:c r="O222" s="22" t="str">
        <x:v>公顷</x:v>
      </x:c>
      <x:c r="P222" s="22" t="str">
        <x:v>未提供（单期横截面）</x:v>
      </x:c>
      <x:c r="Q222" s="23" t="n">
        <x:v>1530</x:v>
      </x:c>
    </x:row>
    <x:row r="223">
      <x:c r="A223" s="30" t="n">
        <x:v>350200</x:v>
      </x:c>
      <x:c r="B223" s="22" t="str">
        <x:v>厦门市</x:v>
      </x:c>
      <x:c r="C223" s="31" t="n">
        <x:v>350206</x:v>
      </x:c>
      <x:c r="D223" s="22" t="str">
        <x:v>湖里区</x:v>
      </x:c>
      <x:c r="E223" s="22" t="str">
        <x:v>建设用地</x:v>
      </x:c>
      <x:c r="F223" s="22" t="str">
        <x:v>交通运输用地</x:v>
      </x:c>
      <x:c r="G223" s="32" t="str">
        <x:v>1007</x:v>
      </x:c>
      <x:c r="H223" s="32" t="str">
        <x:v>1007</x:v>
      </x:c>
      <x:c r="I223" s="22" t="str">
        <x:v>机场用地</x:v>
      </x:c>
      <x:c r="J223" s="22" t="str">
        <x:v>交通门户</x:v>
      </x:c>
      <x:c r="K223" s="32" t="str">
        <x:v>201</x:v>
      </x:c>
      <x:c r="L223" s="22" t="str">
        <x:v>城市范围</x:v>
      </x:c>
      <x:c r="M223" s="33" t="n">
        <x:v>3425412.1999999997</x:v>
      </x:c>
      <x:c r="N223" s="33" t="n">
        <x:v>342.54121999999995</x:v>
      </x:c>
      <x:c r="O223" s="22" t="str">
        <x:v>公顷</x:v>
      </x:c>
      <x:c r="P223" s="22" t="str">
        <x:v>未提供（单期横截面）</x:v>
      </x:c>
      <x:c r="Q223" s="23" t="n">
        <x:v>1531</x:v>
      </x:c>
    </x:row>
    <x:row r="224">
      <x:c r="A224" s="30" t="n">
        <x:v>350200</x:v>
      </x:c>
      <x:c r="B224" s="22" t="str">
        <x:v>厦门市</x:v>
      </x:c>
      <x:c r="C224" s="31" t="n">
        <x:v>350206</x:v>
      </x:c>
      <x:c r="D224" s="22" t="str">
        <x:v>湖里区</x:v>
      </x:c>
      <x:c r="E224" s="22" t="str">
        <x:v>建设用地</x:v>
      </x:c>
      <x:c r="F224" s="22" t="str">
        <x:v>交通运输用地</x:v>
      </x:c>
      <x:c r="G224" s="32" t="str">
        <x:v>1008</x:v>
      </x:c>
      <x:c r="H224" s="32" t="str">
        <x:v>1008</x:v>
      </x:c>
      <x:c r="I224" s="22" t="str">
        <x:v>港口码头用地</x:v>
      </x:c>
      <x:c r="J224" s="22" t="str">
        <x:v>交通门户</x:v>
      </x:c>
      <x:c r="K224" s="32" t="str">
        <x:v>201</x:v>
      </x:c>
      <x:c r="L224" s="22" t="str">
        <x:v>城市范围</x:v>
      </x:c>
      <x:c r="M224" s="33" t="n">
        <x:v>2123576.06</x:v>
      </x:c>
      <x:c r="N224" s="33" t="n">
        <x:v>212.357606</x:v>
      </x:c>
      <x:c r="O224" s="22" t="str">
        <x:v>公顷</x:v>
      </x:c>
      <x:c r="P224" s="22" t="str">
        <x:v>未提供（单期横截面）</x:v>
      </x:c>
      <x:c r="Q224" s="23" t="n">
        <x:v>1532</x:v>
      </x:c>
    </x:row>
    <x:row r="225">
      <x:c r="A225" s="30" t="n">
        <x:v>350200</x:v>
      </x:c>
      <x:c r="B225" s="22" t="str">
        <x:v>厦门市</x:v>
      </x:c>
      <x:c r="C225" s="31" t="n">
        <x:v>350206</x:v>
      </x:c>
      <x:c r="D225" s="22" t="str">
        <x:v>湖里区</x:v>
      </x:c>
      <x:c r="E225" s="22" t="str">
        <x:v>建设用地</x:v>
      </x:c>
      <x:c r="F225" s="22" t="str">
        <x:v>水域及水利设施</x:v>
      </x:c>
      <x:c r="G225" s="32" t="str">
        <x:v>1109</x:v>
      </x:c>
      <x:c r="H225" s="32" t="str">
        <x:v>1109</x:v>
      </x:c>
      <x:c r="I225" s="22" t="str">
        <x:v>水工建筑用地</x:v>
      </x:c>
      <x:c r="J225" s="22" t="str">
        <x:v>其他建设</x:v>
      </x:c>
      <x:c r="K225" s="32" t="str">
        <x:v>201</x:v>
      </x:c>
      <x:c r="L225" s="22" t="str">
        <x:v>城市范围</x:v>
      </x:c>
      <x:c r="M225" s="33" t="n">
        <x:v>13837.54</x:v>
      </x:c>
      <x:c r="N225" s="33" t="n">
        <x:v>1.3837540000000002</x:v>
      </x:c>
      <x:c r="O225" s="22" t="str">
        <x:v>公顷</x:v>
      </x:c>
      <x:c r="P225" s="22" t="str">
        <x:v>未提供（单期横截面）</x:v>
      </x:c>
      <x:c r="Q225" s="23" t="n">
        <x:v>1533</x:v>
      </x:c>
    </x:row>
    <x:row r="226">
      <x:c r="A226" s="30" t="n">
        <x:v>350200</x:v>
      </x:c>
      <x:c r="B226" s="22" t="str">
        <x:v>厦门市</x:v>
      </x:c>
      <x:c r="C226" s="31" t="n">
        <x:v>350206</x:v>
      </x:c>
      <x:c r="D226" s="22" t="str">
        <x:v>湖里区</x:v>
      </x:c>
      <x:c r="E226" s="22" t="str">
        <x:v>建设用地</x:v>
      </x:c>
      <x:c r="F226" s="22" t="str">
        <x:v>其他建设用地</x:v>
      </x:c>
      <x:c r="G226" s="32" t="str">
        <x:v>1201</x:v>
      </x:c>
      <x:c r="H226" s="32" t="str">
        <x:v>1201</x:v>
      </x:c>
      <x:c r="I226" s="22" t="str">
        <x:v>空闲地</x:v>
      </x:c>
      <x:c r="J226" s="22" t="str">
        <x:v>其他建设</x:v>
      </x:c>
      <x:c r="K226" s="32" t="str">
        <x:v>201</x:v>
      </x:c>
      <x:c r="L226" s="22" t="str">
        <x:v>城市范围</x:v>
      </x:c>
      <x:c r="M226" s="33" t="n">
        <x:v>366517.13999999996</x:v>
      </x:c>
      <x:c r="N226" s="33" t="n">
        <x:v>36.651714</x:v>
      </x:c>
      <x:c r="O226" s="22" t="str">
        <x:v>公顷</x:v>
      </x:c>
      <x:c r="P226" s="22" t="str">
        <x:v>未提供（单期横截面）</x:v>
      </x:c>
      <x:c r="Q226" s="23" t="n">
        <x:v>1534</x:v>
      </x:c>
    </x:row>
    <x:row r="227">
      <x:c r="A227" s="30" t="n">
        <x:v>350200</x:v>
      </x:c>
      <x:c r="B227" s="22" t="str">
        <x:v>厦门市</x:v>
      </x:c>
      <x:c r="C227" s="31" t="n">
        <x:v>350206</x:v>
      </x:c>
      <x:c r="D227" s="22" t="str">
        <x:v>湖里区</x:v>
      </x:c>
      <x:c r="E227" s="22" t="str">
        <x:v>建设用地</x:v>
      </x:c>
      <x:c r="F227" s="22" t="str">
        <x:v>工矿仓储用地</x:v>
      </x:c>
      <x:c r="G227" s="32" t="str">
        <x:v>601</x:v>
      </x:c>
      <x:c r="H227" s="32" t="str">
        <x:v>601</x:v>
      </x:c>
      <x:c r="I227" s="22" t="str">
        <x:v>工业用地</x:v>
      </x:c>
      <x:c r="J227" s="22" t="str">
        <x:v>产业功能</x:v>
      </x:c>
      <x:c r="K227" s="32" t="str">
        <x:v>201A</x:v>
      </x:c>
      <x:c r="L227" s="22" t="str">
        <x:v>城市独立工业用地</x:v>
      </x:c>
      <x:c r="M227" s="33" t="n">
        <x:v>7682.2</x:v>
      </x:c>
      <x:c r="N227" s="33" t="n">
        <x:v>0.76822</x:v>
      </x:c>
      <x:c r="O227" s="22" t="str">
        <x:v>公顷</x:v>
      </x:c>
      <x:c r="P227" s="22" t="str">
        <x:v>未提供（单期横截面）</x:v>
      </x:c>
      <x:c r="Q227" s="23" t="n">
        <x:v>1535</x:v>
      </x:c>
    </x:row>
    <x:row r="228">
      <x:c r="A228" s="30" t="n">
        <x:v>350200</x:v>
      </x:c>
      <x:c r="B228" s="22" t="str">
        <x:v>厦门市</x:v>
      </x:c>
      <x:c r="C228" s="31" t="n">
        <x:v>350206</x:v>
      </x:c>
      <x:c r="D228" s="22" t="str">
        <x:v>湖里区</x:v>
      </x:c>
      <x:c r="E228" s="22" t="str">
        <x:v>建设用地</x:v>
      </x:c>
      <x:c r="F228" s="22" t="str">
        <x:v>特殊用地</x:v>
      </x:c>
      <x:c r="G228" s="32" t="str">
        <x:v>9</x:v>
      </x:c>
      <x:c r="H228" s="32" t="str">
        <x:v>9</x:v>
      </x:c>
      <x:c r="I228" s="22" t="str">
        <x:v>特殊用地</x:v>
      </x:c>
      <x:c r="J228" s="22" t="str">
        <x:v>其他建设</x:v>
      </x:c>
      <x:c r="K228" s="32" t="str">
        <x:v>205</x:v>
      </x:c>
      <x:c r="L228" s="22" t="str">
        <x:v>特殊用地</x:v>
      </x:c>
      <x:c r="M228" s="33" t="n">
        <x:v>37780.429999999986</x:v>
      </x:c>
      <x:c r="N228" s="33" t="n">
        <x:v>3.7780429999999985</x:v>
      </x:c>
      <x:c r="O228" s="22" t="str">
        <x:v>公顷</x:v>
      </x:c>
      <x:c r="P228" s="22" t="str">
        <x:v>未提供（单期横截面）</x:v>
      </x:c>
      <x:c r="Q228" s="23" t="n">
        <x:v>1536</x:v>
      </x:c>
    </x:row>
    <x:row r="229">
      <x:c r="A229" s="30" t="n">
        <x:v>350200</x:v>
      </x:c>
      <x:c r="B229" s="22" t="str">
        <x:v>厦门市</x:v>
      </x:c>
      <x:c r="C229" s="31" t="n">
        <x:v>350206</x:v>
      </x:c>
      <x:c r="D229" s="22" t="str">
        <x:v>湖里区</x:v>
      </x:c>
      <x:c r="E229" s="22" t="str">
        <x:v>农用地</x:v>
      </x:c>
      <x:c r="F229" s="22" t="str">
        <x:v>耕地</x:v>
      </x:c>
      <x:c r="G229" s="32" t="str">
        <x:v>102</x:v>
      </x:c>
      <x:c r="H229" s="32" t="str">
        <x:v>102</x:v>
      </x:c>
      <x:c r="I229" s="22" t="str">
        <x:v>水浇地</x:v>
      </x:c>
      <x:c r="J229" s="22" t="str">
        <x:v>农业生态</x:v>
      </x:c>
      <x:c r="K229" s="32" t="str"/>
      <x:c r="L229" s="22" t="str">
        <x:v>不适用/未标注</x:v>
      </x:c>
      <x:c r="M229" s="33" t="n">
        <x:v>30086.690000000002</x:v>
      </x:c>
      <x:c r="N229" s="33" t="n">
        <x:v>3.0086690000000003</x:v>
      </x:c>
      <x:c r="O229" s="22" t="str">
        <x:v>公顷</x:v>
      </x:c>
      <x:c r="P229" s="22" t="str">
        <x:v>未提供（单期横截面）</x:v>
      </x:c>
      <x:c r="Q229" s="23" t="n">
        <x:v>1537</x:v>
      </x:c>
    </x:row>
    <x:row r="230">
      <x:c r="A230" s="30" t="n">
        <x:v>350200</x:v>
      </x:c>
      <x:c r="B230" s="22" t="str">
        <x:v>厦门市</x:v>
      </x:c>
      <x:c r="C230" s="31" t="n">
        <x:v>350206</x:v>
      </x:c>
      <x:c r="D230" s="22" t="str">
        <x:v>湖里区</x:v>
      </x:c>
      <x:c r="E230" s="22" t="str">
        <x:v>农用地</x:v>
      </x:c>
      <x:c r="F230" s="22" t="str">
        <x:v>耕地</x:v>
      </x:c>
      <x:c r="G230" s="32" t="str">
        <x:v>103</x:v>
      </x:c>
      <x:c r="H230" s="32" t="str">
        <x:v>103</x:v>
      </x:c>
      <x:c r="I230" s="22" t="str">
        <x:v>旱地</x:v>
      </x:c>
      <x:c r="J230" s="22" t="str">
        <x:v>农业生态</x:v>
      </x:c>
      <x:c r="K230" s="32" t="str"/>
      <x:c r="L230" s="22" t="str">
        <x:v>不适用/未标注</x:v>
      </x:c>
      <x:c r="M230" s="33" t="n">
        <x:v>20125.5</x:v>
      </x:c>
      <x:c r="N230" s="33" t="n">
        <x:v>2.01255</x:v>
      </x:c>
      <x:c r="O230" s="22" t="str">
        <x:v>公顷</x:v>
      </x:c>
      <x:c r="P230" s="22" t="str">
        <x:v>未提供（单期横截面）</x:v>
      </x:c>
      <x:c r="Q230" s="23" t="n">
        <x:v>1538</x:v>
      </x:c>
    </x:row>
    <x:row r="231">
      <x:c r="A231" s="30" t="n">
        <x:v>350200</x:v>
      </x:c>
      <x:c r="B231" s="22" t="str">
        <x:v>厦门市</x:v>
      </x:c>
      <x:c r="C231" s="31" t="n">
        <x:v>350206</x:v>
      </x:c>
      <x:c r="D231" s="22" t="str">
        <x:v>湖里区</x:v>
      </x:c>
      <x:c r="E231" s="22" t="str">
        <x:v>农用地</x:v>
      </x:c>
      <x:c r="F231" s="22" t="str">
        <x:v>园地</x:v>
      </x:c>
      <x:c r="G231" s="32" t="str">
        <x:v>201</x:v>
      </x:c>
      <x:c r="H231" s="32" t="str">
        <x:v>201</x:v>
      </x:c>
      <x:c r="I231" s="22" t="str">
        <x:v>果园</x:v>
      </x:c>
      <x:c r="J231" s="22" t="str">
        <x:v>农业生态</x:v>
      </x:c>
      <x:c r="K231" s="32" t="str"/>
      <x:c r="L231" s="22" t="str">
        <x:v>不适用/未标注</x:v>
      </x:c>
      <x:c r="M231" s="33" t="n">
        <x:v>338645.27</x:v>
      </x:c>
      <x:c r="N231" s="33" t="n">
        <x:v>33.864527</x:v>
      </x:c>
      <x:c r="O231" s="22" t="str">
        <x:v>公顷</x:v>
      </x:c>
      <x:c r="P231" s="22" t="str">
        <x:v>未提供（单期横截面）</x:v>
      </x:c>
      <x:c r="Q231" s="23" t="n">
        <x:v>1539</x:v>
      </x:c>
    </x:row>
    <x:row r="232">
      <x:c r="A232" s="30" t="n">
        <x:v>350200</x:v>
      </x:c>
      <x:c r="B232" s="22" t="str">
        <x:v>厦门市</x:v>
      </x:c>
      <x:c r="C232" s="31" t="n">
        <x:v>350206</x:v>
      </x:c>
      <x:c r="D232" s="22" t="str">
        <x:v>湖里区</x:v>
      </x:c>
      <x:c r="E232" s="22" t="str">
        <x:v>农用地</x:v>
      </x:c>
      <x:c r="F232" s="22" t="str">
        <x:v>园地</x:v>
      </x:c>
      <x:c r="G232" s="32" t="str">
        <x:v>204</x:v>
      </x:c>
      <x:c r="H232" s="32" t="str">
        <x:v>204</x:v>
      </x:c>
      <x:c r="I232" s="22" t="str">
        <x:v>其他园地</x:v>
      </x:c>
      <x:c r="J232" s="22" t="str">
        <x:v>农业生态</x:v>
      </x:c>
      <x:c r="K232" s="32" t="str"/>
      <x:c r="L232" s="22" t="str">
        <x:v>不适用/未标注</x:v>
      </x:c>
      <x:c r="M232" s="33" t="n">
        <x:v>9368.58</x:v>
      </x:c>
      <x:c r="N232" s="33" t="n">
        <x:v>0.936858</x:v>
      </x:c>
      <x:c r="O232" s="22" t="str">
        <x:v>公顷</x:v>
      </x:c>
      <x:c r="P232" s="22" t="str">
        <x:v>未提供（单期横截面）</x:v>
      </x:c>
      <x:c r="Q232" s="23" t="n">
        <x:v>1540</x:v>
      </x:c>
    </x:row>
    <x:row r="233">
      <x:c r="A233" s="30" t="n">
        <x:v>350200</x:v>
      </x:c>
      <x:c r="B233" s="22" t="str">
        <x:v>厦门市</x:v>
      </x:c>
      <x:c r="C233" s="31" t="n">
        <x:v>350206</x:v>
      </x:c>
      <x:c r="D233" s="22" t="str">
        <x:v>湖里区</x:v>
      </x:c>
      <x:c r="E233" s="22" t="str">
        <x:v>农用地</x:v>
      </x:c>
      <x:c r="F233" s="22" t="str">
        <x:v>林地</x:v>
      </x:c>
      <x:c r="G233" s="32" t="str">
        <x:v>301</x:v>
      </x:c>
      <x:c r="H233" s="32" t="str">
        <x:v>301</x:v>
      </x:c>
      <x:c r="I233" s="22" t="str">
        <x:v>乔木林地</x:v>
      </x:c>
      <x:c r="J233" s="22" t="str">
        <x:v>农业生态</x:v>
      </x:c>
      <x:c r="K233" s="32" t="str"/>
      <x:c r="L233" s="22" t="str">
        <x:v>不适用/未标注</x:v>
      </x:c>
      <x:c r="M233" s="33" t="n">
        <x:v>2322822.0899999994</x:v>
      </x:c>
      <x:c r="N233" s="33" t="n">
        <x:v>232.28220899999994</x:v>
      </x:c>
      <x:c r="O233" s="22" t="str">
        <x:v>公顷</x:v>
      </x:c>
      <x:c r="P233" s="22" t="str">
        <x:v>未提供（单期横截面）</x:v>
      </x:c>
      <x:c r="Q233" s="23" t="n">
        <x:v>1541</x:v>
      </x:c>
    </x:row>
    <x:row r="234">
      <x:c r="A234" s="30" t="n">
        <x:v>350200</x:v>
      </x:c>
      <x:c r="B234" s="22" t="str">
        <x:v>厦门市</x:v>
      </x:c>
      <x:c r="C234" s="31" t="n">
        <x:v>350206</x:v>
      </x:c>
      <x:c r="D234" s="22" t="str">
        <x:v>湖里区</x:v>
      </x:c>
      <x:c r="E234" s="22" t="str">
        <x:v>农用地</x:v>
      </x:c>
      <x:c r="F234" s="22" t="str">
        <x:v>林地</x:v>
      </x:c>
      <x:c r="G234" s="32" t="str">
        <x:v>305</x:v>
      </x:c>
      <x:c r="H234" s="32" t="str">
        <x:v>305</x:v>
      </x:c>
      <x:c r="I234" s="22" t="str">
        <x:v>灌木林地</x:v>
      </x:c>
      <x:c r="J234" s="22" t="str">
        <x:v>农业生态</x:v>
      </x:c>
      <x:c r="K234" s="32" t="str"/>
      <x:c r="L234" s="22" t="str">
        <x:v>不适用/未标注</x:v>
      </x:c>
      <x:c r="M234" s="33" t="n">
        <x:v>653245.47</x:v>
      </x:c>
      <x:c r="N234" s="33" t="n">
        <x:v>65.324547</x:v>
      </x:c>
      <x:c r="O234" s="22" t="str">
        <x:v>公顷</x:v>
      </x:c>
      <x:c r="P234" s="22" t="str">
        <x:v>未提供（单期横截面）</x:v>
      </x:c>
      <x:c r="Q234" s="23" t="n">
        <x:v>1542</x:v>
      </x:c>
    </x:row>
    <x:row r="235">
      <x:c r="A235" s="30" t="n">
        <x:v>350200</x:v>
      </x:c>
      <x:c r="B235" s="22" t="str">
        <x:v>厦门市</x:v>
      </x:c>
      <x:c r="C235" s="31" t="n">
        <x:v>350206</x:v>
      </x:c>
      <x:c r="D235" s="22" t="str">
        <x:v>湖里区</x:v>
      </x:c>
      <x:c r="E235" s="22" t="str">
        <x:v>农用地</x:v>
      </x:c>
      <x:c r="F235" s="22" t="str">
        <x:v>林地</x:v>
      </x:c>
      <x:c r="G235" s="32" t="str">
        <x:v>307</x:v>
      </x:c>
      <x:c r="H235" s="32" t="str">
        <x:v>307</x:v>
      </x:c>
      <x:c r="I235" s="22" t="str">
        <x:v>其他林地</x:v>
      </x:c>
      <x:c r="J235" s="22" t="str">
        <x:v>农业生态</x:v>
      </x:c>
      <x:c r="K235" s="32" t="str"/>
      <x:c r="L235" s="22" t="str">
        <x:v>不适用/未标注</x:v>
      </x:c>
      <x:c r="M235" s="33" t="n">
        <x:v>247018.77999999997</x:v>
      </x:c>
      <x:c r="N235" s="33" t="n">
        <x:v>24.701877999999997</x:v>
      </x:c>
      <x:c r="O235" s="22" t="str">
        <x:v>公顷</x:v>
      </x:c>
      <x:c r="P235" s="22" t="str">
        <x:v>未提供（单期横截面）</x:v>
      </x:c>
      <x:c r="Q235" s="23" t="n">
        <x:v>1543</x:v>
      </x:c>
    </x:row>
    <x:row r="236">
      <x:c r="A236" s="30" t="n">
        <x:v>350200</x:v>
      </x:c>
      <x:c r="B236" s="22" t="str">
        <x:v>厦门市</x:v>
      </x:c>
      <x:c r="C236" s="31" t="n">
        <x:v>350206</x:v>
      </x:c>
      <x:c r="D236" s="22" t="str">
        <x:v>湖里区</x:v>
      </x:c>
      <x:c r="E236" s="22" t="str">
        <x:v>农用地</x:v>
      </x:c>
      <x:c r="F236" s="22" t="str">
        <x:v>其他农用地</x:v>
      </x:c>
      <x:c r="G236" s="32" t="str">
        <x:v>1006</x:v>
      </x:c>
      <x:c r="H236" s="32" t="str">
        <x:v>1006</x:v>
      </x:c>
      <x:c r="I236" s="22" t="str">
        <x:v>农村道路</x:v>
      </x:c>
      <x:c r="J236" s="22" t="str">
        <x:v>农业生态</x:v>
      </x:c>
      <x:c r="K236" s="32" t="str"/>
      <x:c r="L236" s="22" t="str">
        <x:v>不适用/未标注</x:v>
      </x:c>
      <x:c r="M236" s="33" t="n">
        <x:v>53181.01000000001</x:v>
      </x:c>
      <x:c r="N236" s="33" t="n">
        <x:v>5.318101000000001</x:v>
      </x:c>
      <x:c r="O236" s="22" t="str">
        <x:v>公顷</x:v>
      </x:c>
      <x:c r="P236" s="22" t="str">
        <x:v>未提供（单期横截面）</x:v>
      </x:c>
      <x:c r="Q236" s="23" t="n">
        <x:v>1544</x:v>
      </x:c>
    </x:row>
    <x:row r="237">
      <x:c r="A237" s="30" t="n">
        <x:v>350200</x:v>
      </x:c>
      <x:c r="B237" s="22" t="str">
        <x:v>厦门市</x:v>
      </x:c>
      <x:c r="C237" s="31" t="n">
        <x:v>350206</x:v>
      </x:c>
      <x:c r="D237" s="22" t="str">
        <x:v>湖里区</x:v>
      </x:c>
      <x:c r="E237" s="22" t="str">
        <x:v>农用地</x:v>
      </x:c>
      <x:c r="F237" s="22" t="str">
        <x:v>水域及水利设施</x:v>
      </x:c>
      <x:c r="G237" s="32" t="str">
        <x:v>1103</x:v>
      </x:c>
      <x:c r="H237" s="32" t="str">
        <x:v>1103</x:v>
      </x:c>
      <x:c r="I237" s="22" t="str">
        <x:v>水库水面</x:v>
      </x:c>
      <x:c r="J237" s="22" t="str">
        <x:v>农业生态</x:v>
      </x:c>
      <x:c r="K237" s="32" t="str"/>
      <x:c r="L237" s="22" t="str">
        <x:v>不适用/未标注</x:v>
      </x:c>
      <x:c r="M237" s="33" t="n">
        <x:v>956348.85</x:v>
      </x:c>
      <x:c r="N237" s="33" t="n">
        <x:v>95.634885</x:v>
      </x:c>
      <x:c r="O237" s="22" t="str">
        <x:v>公顷</x:v>
      </x:c>
      <x:c r="P237" s="22" t="str">
        <x:v>未提供（单期横截面）</x:v>
      </x:c>
      <x:c r="Q237" s="23" t="n">
        <x:v>1545</x:v>
      </x:c>
    </x:row>
    <x:row r="238">
      <x:c r="A238" s="30" t="n">
        <x:v>350200</x:v>
      </x:c>
      <x:c r="B238" s="22" t="str">
        <x:v>厦门市</x:v>
      </x:c>
      <x:c r="C238" s="31" t="n">
        <x:v>350206</x:v>
      </x:c>
      <x:c r="D238" s="22" t="str">
        <x:v>湖里区</x:v>
      </x:c>
      <x:c r="E238" s="22" t="str">
        <x:v>农用地</x:v>
      </x:c>
      <x:c r="F238" s="22" t="str">
        <x:v>水域及水利设施</x:v>
      </x:c>
      <x:c r="G238" s="32" t="str">
        <x:v>1104</x:v>
      </x:c>
      <x:c r="H238" s="32" t="str">
        <x:v>1104</x:v>
      </x:c>
      <x:c r="I238" s="22" t="str">
        <x:v>坑塘水面</x:v>
      </x:c>
      <x:c r="J238" s="22" t="str">
        <x:v>农业生态</x:v>
      </x:c>
      <x:c r="K238" s="32" t="str"/>
      <x:c r="L238" s="22" t="str">
        <x:v>不适用/未标注</x:v>
      </x:c>
      <x:c r="M238" s="33" t="n">
        <x:v>2123</x:v>
      </x:c>
      <x:c r="N238" s="33" t="n">
        <x:v>0.2123</x:v>
      </x:c>
      <x:c r="O238" s="22" t="str">
        <x:v>公顷</x:v>
      </x:c>
      <x:c r="P238" s="22" t="str">
        <x:v>未提供（单期横截面）</x:v>
      </x:c>
      <x:c r="Q238" s="23" t="n">
        <x:v>1546</x:v>
      </x:c>
    </x:row>
    <x:row r="239">
      <x:c r="A239" s="30" t="n">
        <x:v>350200</x:v>
      </x:c>
      <x:c r="B239" s="22" t="str">
        <x:v>厦门市</x:v>
      </x:c>
      <x:c r="C239" s="31" t="n">
        <x:v>350206</x:v>
      </x:c>
      <x:c r="D239" s="22" t="str">
        <x:v>湖里区</x:v>
      </x:c>
      <x:c r="E239" s="22" t="str">
        <x:v>农用地</x:v>
      </x:c>
      <x:c r="F239" s="22" t="str">
        <x:v>水域及水利设施</x:v>
      </x:c>
      <x:c r="G239" s="32" t="str">
        <x:v>1107</x:v>
      </x:c>
      <x:c r="H239" s="32" t="str">
        <x:v>1107</x:v>
      </x:c>
      <x:c r="I239" s="22" t="str">
        <x:v>沟渠</x:v>
      </x:c>
      <x:c r="J239" s="22" t="str">
        <x:v>农业生态</x:v>
      </x:c>
      <x:c r="K239" s="32" t="str"/>
      <x:c r="L239" s="22" t="str">
        <x:v>不适用/未标注</x:v>
      </x:c>
      <x:c r="M239" s="33" t="n">
        <x:v>1943.4700000000003</x:v>
      </x:c>
      <x:c r="N239" s="33" t="n">
        <x:v>0.19434700000000002</x:v>
      </x:c>
      <x:c r="O239" s="22" t="str">
        <x:v>公顷</x:v>
      </x:c>
      <x:c r="P239" s="22" t="str">
        <x:v>未提供（单期横截面）</x:v>
      </x:c>
      <x:c r="Q239" s="23" t="n">
        <x:v>1547</x:v>
      </x:c>
    </x:row>
    <x:row r="240">
      <x:c r="A240" s="30" t="n">
        <x:v>350200</x:v>
      </x:c>
      <x:c r="B240" s="22" t="str">
        <x:v>厦门市</x:v>
      </x:c>
      <x:c r="C240" s="31" t="n">
        <x:v>350206</x:v>
      </x:c>
      <x:c r="D240" s="22" t="str">
        <x:v>湖里区</x:v>
      </x:c>
      <x:c r="E240" s="22" t="str">
        <x:v>农用地</x:v>
      </x:c>
      <x:c r="F240" s="22" t="str">
        <x:v>其他农用地</x:v>
      </x:c>
      <x:c r="G240" s="32" t="str">
        <x:v>1202</x:v>
      </x:c>
      <x:c r="H240" s="32" t="str">
        <x:v>1202</x:v>
      </x:c>
      <x:c r="I240" s="22" t="str">
        <x:v>设施农用地</x:v>
      </x:c>
      <x:c r="J240" s="22" t="str">
        <x:v>农业生态</x:v>
      </x:c>
      <x:c r="K240" s="32" t="str"/>
      <x:c r="L240" s="22" t="str">
        <x:v>不适用/未标注</x:v>
      </x:c>
      <x:c r="M240" s="33" t="n">
        <x:v>9395.420000000002</x:v>
      </x:c>
      <x:c r="N240" s="33" t="n">
        <x:v>0.9395420000000002</x:v>
      </x:c>
      <x:c r="O240" s="22" t="str">
        <x:v>公顷</x:v>
      </x:c>
      <x:c r="P240" s="22" t="str">
        <x:v>未提供（单期横截面）</x:v>
      </x:c>
      <x:c r="Q240" s="23" t="n">
        <x:v>1548</x:v>
      </x:c>
    </x:row>
    <x:row r="241">
      <x:c r="A241" s="30" t="n">
        <x:v>350200</x:v>
      </x:c>
      <x:c r="B241" s="22" t="str">
        <x:v>厦门市</x:v>
      </x:c>
      <x:c r="C241" s="31" t="n">
        <x:v>350206</x:v>
      </x:c>
      <x:c r="D241" s="22" t="str">
        <x:v>湖里区</x:v>
      </x:c>
      <x:c r="E241" s="22" t="str">
        <x:v>农用地</x:v>
      </x:c>
      <x:c r="F241" s="22" t="str">
        <x:v>耕地</x:v>
      </x:c>
      <x:c r="G241" s="32" t="str">
        <x:v>102</x:v>
      </x:c>
      <x:c r="H241" s="32" t="str">
        <x:v>102</x:v>
      </x:c>
      <x:c r="I241" s="22" t="str">
        <x:v>水浇地</x:v>
      </x:c>
      <x:c r="J241" s="22" t="str">
        <x:v>农业生态</x:v>
      </x:c>
      <x:c r="K241" s="32" t="str">
        <x:v>201</x:v>
      </x:c>
      <x:c r="L241" s="22" t="str">
        <x:v>城市范围</x:v>
      </x:c>
      <x:c r="M241" s="33" t="n">
        <x:v>15015.239999999998</x:v>
      </x:c>
      <x:c r="N241" s="33" t="n">
        <x:v>1.5015239999999999</x:v>
      </x:c>
      <x:c r="O241" s="22" t="str">
        <x:v>公顷</x:v>
      </x:c>
      <x:c r="P241" s="22" t="str">
        <x:v>未提供（单期横截面）</x:v>
      </x:c>
      <x:c r="Q241" s="23" t="n">
        <x:v>1549</x:v>
      </x:c>
    </x:row>
    <x:row r="242">
      <x:c r="A242" s="30" t="n">
        <x:v>350200</x:v>
      </x:c>
      <x:c r="B242" s="22" t="str">
        <x:v>厦门市</x:v>
      </x:c>
      <x:c r="C242" s="31" t="n">
        <x:v>350206</x:v>
      </x:c>
      <x:c r="D242" s="22" t="str">
        <x:v>湖里区</x:v>
      </x:c>
      <x:c r="E242" s="22" t="str">
        <x:v>农用地</x:v>
      </x:c>
      <x:c r="F242" s="22" t="str">
        <x:v>耕地</x:v>
      </x:c>
      <x:c r="G242" s="32" t="str">
        <x:v>103</x:v>
      </x:c>
      <x:c r="H242" s="32" t="str">
        <x:v>103</x:v>
      </x:c>
      <x:c r="I242" s="22" t="str">
        <x:v>旱地</x:v>
      </x:c>
      <x:c r="J242" s="22" t="str">
        <x:v>农业生态</x:v>
      </x:c>
      <x:c r="K242" s="32" t="str">
        <x:v>201</x:v>
      </x:c>
      <x:c r="L242" s="22" t="str">
        <x:v>城市范围</x:v>
      </x:c>
      <x:c r="M242" s="33" t="n">
        <x:v>23847.999999999996</x:v>
      </x:c>
      <x:c r="N242" s="33" t="n">
        <x:v>2.3848</x:v>
      </x:c>
      <x:c r="O242" s="22" t="str">
        <x:v>公顷</x:v>
      </x:c>
      <x:c r="P242" s="22" t="str">
        <x:v>未提供（单期横截面）</x:v>
      </x:c>
      <x:c r="Q242" s="23" t="n">
        <x:v>1550</x:v>
      </x:c>
    </x:row>
    <x:row r="243">
      <x:c r="A243" s="30" t="n">
        <x:v>350200</x:v>
      </x:c>
      <x:c r="B243" s="22" t="str">
        <x:v>厦门市</x:v>
      </x:c>
      <x:c r="C243" s="31" t="n">
        <x:v>350206</x:v>
      </x:c>
      <x:c r="D243" s="22" t="str">
        <x:v>湖里区</x:v>
      </x:c>
      <x:c r="E243" s="22" t="str">
        <x:v>农用地</x:v>
      </x:c>
      <x:c r="F243" s="22" t="str">
        <x:v>园地</x:v>
      </x:c>
      <x:c r="G243" s="32" t="str">
        <x:v>201</x:v>
      </x:c>
      <x:c r="H243" s="32" t="str">
        <x:v>201</x:v>
      </x:c>
      <x:c r="I243" s="22" t="str">
        <x:v>果园</x:v>
      </x:c>
      <x:c r="J243" s="22" t="str">
        <x:v>农业生态</x:v>
      </x:c>
      <x:c r="K243" s="32" t="str">
        <x:v>201</x:v>
      </x:c>
      <x:c r="L243" s="22" t="str">
        <x:v>城市范围</x:v>
      </x:c>
      <x:c r="M243" s="33" t="n">
        <x:v>56752.15</x:v>
      </x:c>
      <x:c r="N243" s="33" t="n">
        <x:v>5.675215000000001</x:v>
      </x:c>
      <x:c r="O243" s="22" t="str">
        <x:v>公顷</x:v>
      </x:c>
      <x:c r="P243" s="22" t="str">
        <x:v>未提供（单期横截面）</x:v>
      </x:c>
      <x:c r="Q243" s="23" t="n">
        <x:v>1551</x:v>
      </x:c>
    </x:row>
    <x:row r="244">
      <x:c r="A244" s="30" t="n">
        <x:v>350200</x:v>
      </x:c>
      <x:c r="B244" s="22" t="str">
        <x:v>厦门市</x:v>
      </x:c>
      <x:c r="C244" s="31" t="n">
        <x:v>350206</x:v>
      </x:c>
      <x:c r="D244" s="22" t="str">
        <x:v>湖里区</x:v>
      </x:c>
      <x:c r="E244" s="22" t="str">
        <x:v>农用地</x:v>
      </x:c>
      <x:c r="F244" s="22" t="str">
        <x:v>园地</x:v>
      </x:c>
      <x:c r="G244" s="32" t="str">
        <x:v>204</x:v>
      </x:c>
      <x:c r="H244" s="32" t="str">
        <x:v>204</x:v>
      </x:c>
      <x:c r="I244" s="22" t="str">
        <x:v>其他园地</x:v>
      </x:c>
      <x:c r="J244" s="22" t="str">
        <x:v>农业生态</x:v>
      </x:c>
      <x:c r="K244" s="32" t="str">
        <x:v>201</x:v>
      </x:c>
      <x:c r="L244" s="22" t="str">
        <x:v>城市范围</x:v>
      </x:c>
      <x:c r="M244" s="33" t="n">
        <x:v>10353.45</x:v>
      </x:c>
      <x:c r="N244" s="33" t="n">
        <x:v>1.0353450000000002</x:v>
      </x:c>
      <x:c r="O244" s="22" t="str">
        <x:v>公顷</x:v>
      </x:c>
      <x:c r="P244" s="22" t="str">
        <x:v>未提供（单期横截面）</x:v>
      </x:c>
      <x:c r="Q244" s="23" t="n">
        <x:v>1552</x:v>
      </x:c>
    </x:row>
    <x:row r="245">
      <x:c r="A245" s="30" t="n">
        <x:v>350200</x:v>
      </x:c>
      <x:c r="B245" s="22" t="str">
        <x:v>厦门市</x:v>
      </x:c>
      <x:c r="C245" s="31" t="n">
        <x:v>350206</x:v>
      </x:c>
      <x:c r="D245" s="22" t="str">
        <x:v>湖里区</x:v>
      </x:c>
      <x:c r="E245" s="22" t="str">
        <x:v>农用地</x:v>
      </x:c>
      <x:c r="F245" s="22" t="str">
        <x:v>林地</x:v>
      </x:c>
      <x:c r="G245" s="32" t="str">
        <x:v>301</x:v>
      </x:c>
      <x:c r="H245" s="32" t="str">
        <x:v>301</x:v>
      </x:c>
      <x:c r="I245" s="22" t="str">
        <x:v>乔木林地</x:v>
      </x:c>
      <x:c r="J245" s="22" t="str">
        <x:v>农业生态</x:v>
      </x:c>
      <x:c r="K245" s="32" t="str">
        <x:v>201</x:v>
      </x:c>
      <x:c r="L245" s="22" t="str">
        <x:v>城市范围</x:v>
      </x:c>
      <x:c r="M245" s="33" t="n">
        <x:v>1368813.769999999</x:v>
      </x:c>
      <x:c r="N245" s="33" t="n">
        <x:v>136.8813769999999</x:v>
      </x:c>
      <x:c r="O245" s="22" t="str">
        <x:v>公顷</x:v>
      </x:c>
      <x:c r="P245" s="22" t="str">
        <x:v>未提供（单期横截面）</x:v>
      </x:c>
      <x:c r="Q245" s="23" t="n">
        <x:v>1553</x:v>
      </x:c>
    </x:row>
    <x:row r="246">
      <x:c r="A246" s="30" t="n">
        <x:v>350200</x:v>
      </x:c>
      <x:c r="B246" s="22" t="str">
        <x:v>厦门市</x:v>
      </x:c>
      <x:c r="C246" s="31" t="n">
        <x:v>350206</x:v>
      </x:c>
      <x:c r="D246" s="22" t="str">
        <x:v>湖里区</x:v>
      </x:c>
      <x:c r="E246" s="22" t="str">
        <x:v>农用地</x:v>
      </x:c>
      <x:c r="F246" s="22" t="str">
        <x:v>林地</x:v>
      </x:c>
      <x:c r="G246" s="32" t="str">
        <x:v>305</x:v>
      </x:c>
      <x:c r="H246" s="32" t="str">
        <x:v>305</x:v>
      </x:c>
      <x:c r="I246" s="22" t="str">
        <x:v>灌木林地</x:v>
      </x:c>
      <x:c r="J246" s="22" t="str">
        <x:v>农业生态</x:v>
      </x:c>
      <x:c r="K246" s="32" t="str">
        <x:v>201</x:v>
      </x:c>
      <x:c r="L246" s="22" t="str">
        <x:v>城市范围</x:v>
      </x:c>
      <x:c r="M246" s="33" t="n">
        <x:v>318492.06</x:v>
      </x:c>
      <x:c r="N246" s="33" t="n">
        <x:v>31.849206</x:v>
      </x:c>
      <x:c r="O246" s="22" t="str">
        <x:v>公顷</x:v>
      </x:c>
      <x:c r="P246" s="22" t="str">
        <x:v>未提供（单期横截面）</x:v>
      </x:c>
      <x:c r="Q246" s="23" t="n">
        <x:v>1554</x:v>
      </x:c>
    </x:row>
    <x:row r="247">
      <x:c r="A247" s="30" t="n">
        <x:v>350200</x:v>
      </x:c>
      <x:c r="B247" s="22" t="str">
        <x:v>厦门市</x:v>
      </x:c>
      <x:c r="C247" s="31" t="n">
        <x:v>350206</x:v>
      </x:c>
      <x:c r="D247" s="22" t="str">
        <x:v>湖里区</x:v>
      </x:c>
      <x:c r="E247" s="22" t="str">
        <x:v>农用地</x:v>
      </x:c>
      <x:c r="F247" s="22" t="str">
        <x:v>林地</x:v>
      </x:c>
      <x:c r="G247" s="32" t="str">
        <x:v>307</x:v>
      </x:c>
      <x:c r="H247" s="32" t="str">
        <x:v>307</x:v>
      </x:c>
      <x:c r="I247" s="22" t="str">
        <x:v>其他林地</x:v>
      </x:c>
      <x:c r="J247" s="22" t="str">
        <x:v>农业生态</x:v>
      </x:c>
      <x:c r="K247" s="32" t="str">
        <x:v>201</x:v>
      </x:c>
      <x:c r="L247" s="22" t="str">
        <x:v>城市范围</x:v>
      </x:c>
      <x:c r="M247" s="33" t="n">
        <x:v>358267.8400000001</x:v>
      </x:c>
      <x:c r="N247" s="33" t="n">
        <x:v>35.82678400000001</x:v>
      </x:c>
      <x:c r="O247" s="22" t="str">
        <x:v>公顷</x:v>
      </x:c>
      <x:c r="P247" s="22" t="str">
        <x:v>未提供（单期横截面）</x:v>
      </x:c>
      <x:c r="Q247" s="23" t="n">
        <x:v>1555</x:v>
      </x:c>
    </x:row>
    <x:row r="248">
      <x:c r="A248" s="30" t="n">
        <x:v>350200</x:v>
      </x:c>
      <x:c r="B248" s="22" t="str">
        <x:v>厦门市</x:v>
      </x:c>
      <x:c r="C248" s="31" t="n">
        <x:v>350206</x:v>
      </x:c>
      <x:c r="D248" s="22" t="str">
        <x:v>湖里区</x:v>
      </x:c>
      <x:c r="E248" s="22" t="str">
        <x:v>农用地</x:v>
      </x:c>
      <x:c r="F248" s="22" t="str">
        <x:v>其他农用地</x:v>
      </x:c>
      <x:c r="G248" s="32" t="str">
        <x:v>1006</x:v>
      </x:c>
      <x:c r="H248" s="32" t="str">
        <x:v>1006</x:v>
      </x:c>
      <x:c r="I248" s="22" t="str">
        <x:v>农村道路</x:v>
      </x:c>
      <x:c r="J248" s="22" t="str">
        <x:v>农业生态</x:v>
      </x:c>
      <x:c r="K248" s="32" t="str">
        <x:v>201</x:v>
      </x:c>
      <x:c r="L248" s="22" t="str">
        <x:v>城市范围</x:v>
      </x:c>
      <x:c r="M248" s="33" t="n">
        <x:v>3262.75</x:v>
      </x:c>
      <x:c r="N248" s="33" t="n">
        <x:v>0.326275</x:v>
      </x:c>
      <x:c r="O248" s="22" t="str">
        <x:v>公顷</x:v>
      </x:c>
      <x:c r="P248" s="22" t="str">
        <x:v>未提供（单期横截面）</x:v>
      </x:c>
      <x:c r="Q248" s="23" t="n">
        <x:v>1556</x:v>
      </x:c>
    </x:row>
    <x:row r="249">
      <x:c r="A249" s="30" t="n">
        <x:v>350200</x:v>
      </x:c>
      <x:c r="B249" s="22" t="str">
        <x:v>厦门市</x:v>
      </x:c>
      <x:c r="C249" s="31" t="n">
        <x:v>350206</x:v>
      </x:c>
      <x:c r="D249" s="22" t="str">
        <x:v>湖里区</x:v>
      </x:c>
      <x:c r="E249" s="22" t="str">
        <x:v>农用地</x:v>
      </x:c>
      <x:c r="F249" s="22" t="str">
        <x:v>水域及水利设施</x:v>
      </x:c>
      <x:c r="G249" s="32" t="str">
        <x:v>1104</x:v>
      </x:c>
      <x:c r="H249" s="32" t="str">
        <x:v>1104</x:v>
      </x:c>
      <x:c r="I249" s="22" t="str">
        <x:v>坑塘水面</x:v>
      </x:c>
      <x:c r="J249" s="22" t="str">
        <x:v>农业生态</x:v>
      </x:c>
      <x:c r="K249" s="32" t="str">
        <x:v>201</x:v>
      </x:c>
      <x:c r="L249" s="22" t="str">
        <x:v>城市范围</x:v>
      </x:c>
      <x:c r="M249" s="33" t="n">
        <x:v>65382.7</x:v>
      </x:c>
      <x:c r="N249" s="33" t="n">
        <x:v>6.53827</x:v>
      </x:c>
      <x:c r="O249" s="22" t="str">
        <x:v>公顷</x:v>
      </x:c>
      <x:c r="P249" s="22" t="str">
        <x:v>未提供（单期横截面）</x:v>
      </x:c>
      <x:c r="Q249" s="23" t="n">
        <x:v>1557</x:v>
      </x:c>
    </x:row>
    <x:row r="250">
      <x:c r="A250" s="30" t="n">
        <x:v>350200</x:v>
      </x:c>
      <x:c r="B250" s="22" t="str">
        <x:v>厦门市</x:v>
      </x:c>
      <x:c r="C250" s="31" t="n">
        <x:v>350206</x:v>
      </x:c>
      <x:c r="D250" s="22" t="str">
        <x:v>湖里区</x:v>
      </x:c>
      <x:c r="E250" s="22" t="str">
        <x:v>农用地</x:v>
      </x:c>
      <x:c r="F250" s="22" t="str">
        <x:v>水域及水利设施</x:v>
      </x:c>
      <x:c r="G250" s="32" t="str">
        <x:v>1104A</x:v>
      </x:c>
      <x:c r="H250" s="32" t="str">
        <x:v>1104</x:v>
      </x:c>
      <x:c r="I250" s="22" t="str">
        <x:v>养殖坑塘</x:v>
      </x:c>
      <x:c r="J250" s="22" t="str">
        <x:v>农业生态</x:v>
      </x:c>
      <x:c r="K250" s="32" t="str">
        <x:v>201</x:v>
      </x:c>
      <x:c r="L250" s="22" t="str">
        <x:v>城市范围</x:v>
      </x:c>
      <x:c r="M250" s="33" t="n">
        <x:v>1112.03</x:v>
      </x:c>
      <x:c r="N250" s="33" t="n">
        <x:v>0.111203</x:v>
      </x:c>
      <x:c r="O250" s="22" t="str">
        <x:v>公顷</x:v>
      </x:c>
      <x:c r="P250" s="22" t="str">
        <x:v>未提供（单期横截面）</x:v>
      </x:c>
      <x:c r="Q250" s="23" t="n">
        <x:v>1558</x:v>
      </x:c>
    </x:row>
    <x:row r="251">
      <x:c r="A251" s="30" t="n">
        <x:v>350200</x:v>
      </x:c>
      <x:c r="B251" s="22" t="str">
        <x:v>厦门市</x:v>
      </x:c>
      <x:c r="C251" s="31" t="n">
        <x:v>350206</x:v>
      </x:c>
      <x:c r="D251" s="22" t="str">
        <x:v>湖里区</x:v>
      </x:c>
      <x:c r="E251" s="22" t="str">
        <x:v>农用地</x:v>
      </x:c>
      <x:c r="F251" s="22" t="str">
        <x:v>水域及水利设施</x:v>
      </x:c>
      <x:c r="G251" s="32" t="str">
        <x:v>1107</x:v>
      </x:c>
      <x:c r="H251" s="32" t="str">
        <x:v>1107</x:v>
      </x:c>
      <x:c r="I251" s="22" t="str">
        <x:v>沟渠</x:v>
      </x:c>
      <x:c r="J251" s="22" t="str">
        <x:v>农业生态</x:v>
      </x:c>
      <x:c r="K251" s="32" t="str">
        <x:v>201</x:v>
      </x:c>
      <x:c r="L251" s="22" t="str">
        <x:v>城市范围</x:v>
      </x:c>
      <x:c r="M251" s="33" t="n">
        <x:v>28977.54</x:v>
      </x:c>
      <x:c r="N251" s="33" t="n">
        <x:v>2.897754</x:v>
      </x:c>
      <x:c r="O251" s="22" t="str">
        <x:v>公顷</x:v>
      </x:c>
      <x:c r="P251" s="22" t="str">
        <x:v>未提供（单期横截面）</x:v>
      </x:c>
      <x:c r="Q251" s="23" t="n">
        <x:v>1559</x:v>
      </x:c>
    </x:row>
    <x:row r="252">
      <x:c r="A252" s="30" t="n">
        <x:v>350200</x:v>
      </x:c>
      <x:c r="B252" s="22" t="str">
        <x:v>厦门市</x:v>
      </x:c>
      <x:c r="C252" s="31" t="n">
        <x:v>350206</x:v>
      </x:c>
      <x:c r="D252" s="22" t="str">
        <x:v>湖里区</x:v>
      </x:c>
      <x:c r="E252" s="22" t="str">
        <x:v>农用地</x:v>
      </x:c>
      <x:c r="F252" s="22" t="str">
        <x:v>其他农用地</x:v>
      </x:c>
      <x:c r="G252" s="32" t="str">
        <x:v>1202</x:v>
      </x:c>
      <x:c r="H252" s="32" t="str">
        <x:v>1202</x:v>
      </x:c>
      <x:c r="I252" s="22" t="str">
        <x:v>设施农用地</x:v>
      </x:c>
      <x:c r="J252" s="22" t="str">
        <x:v>农业生态</x:v>
      </x:c>
      <x:c r="K252" s="32" t="str">
        <x:v>201</x:v>
      </x:c>
      <x:c r="L252" s="22" t="str">
        <x:v>城市范围</x:v>
      </x:c>
      <x:c r="M252" s="33" t="n">
        <x:v>4594.66</x:v>
      </x:c>
      <x:c r="N252" s="33" t="n">
        <x:v>0.459466</x:v>
      </x:c>
      <x:c r="O252" s="22" t="str">
        <x:v>公顷</x:v>
      </x:c>
      <x:c r="P252" s="22" t="str">
        <x:v>未提供（单期横截面）</x:v>
      </x:c>
      <x:c r="Q252" s="23" t="n">
        <x:v>1560</x:v>
      </x:c>
    </x:row>
    <x:row r="253">
      <x:c r="A253" s="30" t="n">
        <x:v>350200</x:v>
      </x:c>
      <x:c r="B253" s="22" t="str">
        <x:v>厦门市</x:v>
      </x:c>
      <x:c r="C253" s="31" t="n">
        <x:v>350206</x:v>
      </x:c>
      <x:c r="D253" s="22" t="str">
        <x:v>湖里区</x:v>
      </x:c>
      <x:c r="E253" s="22" t="str">
        <x:v>未利用地</x:v>
      </x:c>
      <x:c r="F253" s="22" t="str">
        <x:v>草地</x:v>
      </x:c>
      <x:c r="G253" s="32" t="str">
        <x:v>404</x:v>
      </x:c>
      <x:c r="H253" s="32" t="str">
        <x:v>404</x:v>
      </x:c>
      <x:c r="I253" s="22" t="str">
        <x:v>其他草地</x:v>
      </x:c>
      <x:c r="J253" s="22" t="str">
        <x:v>农业生态</x:v>
      </x:c>
      <x:c r="K253" s="32" t="str"/>
      <x:c r="L253" s="22" t="str">
        <x:v>不适用/未标注</x:v>
      </x:c>
      <x:c r="M253" s="33" t="n">
        <x:v>659376.59</x:v>
      </x:c>
      <x:c r="N253" s="33" t="n">
        <x:v>65.937659</x:v>
      </x:c>
      <x:c r="O253" s="22" t="str">
        <x:v>公顷</x:v>
      </x:c>
      <x:c r="P253" s="22" t="str">
        <x:v>未提供（单期横截面）</x:v>
      </x:c>
      <x:c r="Q253" s="23" t="n">
        <x:v>1561</x:v>
      </x:c>
    </x:row>
    <x:row r="254">
      <x:c r="A254" s="30" t="n">
        <x:v>350200</x:v>
      </x:c>
      <x:c r="B254" s="22" t="str">
        <x:v>厦门市</x:v>
      </x:c>
      <x:c r="C254" s="31" t="n">
        <x:v>350206</x:v>
      </x:c>
      <x:c r="D254" s="22" t="str">
        <x:v>湖里区</x:v>
      </x:c>
      <x:c r="E254" s="22" t="str">
        <x:v>未利用地</x:v>
      </x:c>
      <x:c r="F254" s="22" t="str">
        <x:v>水域及水利设施</x:v>
      </x:c>
      <x:c r="G254" s="32" t="str">
        <x:v>1102</x:v>
      </x:c>
      <x:c r="H254" s="32" t="str">
        <x:v>1102</x:v>
      </x:c>
      <x:c r="I254" s="22" t="str">
        <x:v>湖泊水面</x:v>
      </x:c>
      <x:c r="J254" s="22" t="str">
        <x:v>农业生态</x:v>
      </x:c>
      <x:c r="K254" s="32" t="str"/>
      <x:c r="L254" s="22" t="str">
        <x:v>不适用/未标注</x:v>
      </x:c>
      <x:c r="M254" s="33" t="n">
        <x:v>1015058.7</x:v>
      </x:c>
      <x:c r="N254" s="33" t="n">
        <x:v>101.50587</x:v>
      </x:c>
      <x:c r="O254" s="22" t="str">
        <x:v>公顷</x:v>
      </x:c>
      <x:c r="P254" s="22" t="str">
        <x:v>未提供（单期横截面）</x:v>
      </x:c>
      <x:c r="Q254" s="23" t="n">
        <x:v>1562</x:v>
      </x:c>
    </x:row>
    <x:row r="255">
      <x:c r="A255" s="30" t="n">
        <x:v>350200</x:v>
      </x:c>
      <x:c r="B255" s="22" t="str">
        <x:v>厦门市</x:v>
      </x:c>
      <x:c r="C255" s="31" t="n">
        <x:v>350206</x:v>
      </x:c>
      <x:c r="D255" s="22" t="str">
        <x:v>湖里区</x:v>
      </x:c>
      <x:c r="E255" s="22" t="str">
        <x:v>未利用地</x:v>
      </x:c>
      <x:c r="F255" s="22" t="str">
        <x:v>水域及水利设施</x:v>
      </x:c>
      <x:c r="G255" s="32" t="str">
        <x:v>1105</x:v>
      </x:c>
      <x:c r="H255" s="32" t="str">
        <x:v>1105</x:v>
      </x:c>
      <x:c r="I255" s="22" t="str">
        <x:v>沿海滩涂</x:v>
      </x:c>
      <x:c r="J255" s="22" t="str">
        <x:v>农业生态</x:v>
      </x:c>
      <x:c r="K255" s="32" t="str"/>
      <x:c r="L255" s="22" t="str">
        <x:v>不适用/未标注</x:v>
      </x:c>
      <x:c r="M255" s="33" t="n">
        <x:v>4598015.140000002</x:v>
      </x:c>
      <x:c r="N255" s="33" t="n">
        <x:v>459.8015140000002</x:v>
      </x:c>
      <x:c r="O255" s="22" t="str">
        <x:v>公顷</x:v>
      </x:c>
      <x:c r="P255" s="22" t="str">
        <x:v>未提供（单期横截面）</x:v>
      </x:c>
      <x:c r="Q255" s="23" t="n">
        <x:v>1563</x:v>
      </x:c>
    </x:row>
    <x:row r="256">
      <x:c r="A256" s="30" t="n">
        <x:v>350200</x:v>
      </x:c>
      <x:c r="B256" s="22" t="str">
        <x:v>厦门市</x:v>
      </x:c>
      <x:c r="C256" s="31" t="n">
        <x:v>350206</x:v>
      </x:c>
      <x:c r="D256" s="22" t="str">
        <x:v>湖里区</x:v>
      </x:c>
      <x:c r="E256" s="22" t="str">
        <x:v>未利用地</x:v>
      </x:c>
      <x:c r="F256" s="22" t="str">
        <x:v>水域及水利设施</x:v>
      </x:c>
      <x:c r="G256" s="32" t="str">
        <x:v>1106</x:v>
      </x:c>
      <x:c r="H256" s="32" t="str">
        <x:v>1106</x:v>
      </x:c>
      <x:c r="I256" s="22" t="str">
        <x:v>内陆滩涂</x:v>
      </x:c>
      <x:c r="J256" s="22" t="str">
        <x:v>农业生态</x:v>
      </x:c>
      <x:c r="K256" s="32" t="str"/>
      <x:c r="L256" s="22" t="str">
        <x:v>不适用/未标注</x:v>
      </x:c>
      <x:c r="M256" s="33" t="n">
        <x:v>90785.82000000002</x:v>
      </x:c>
      <x:c r="N256" s="33" t="n">
        <x:v>9.078582000000003</x:v>
      </x:c>
      <x:c r="O256" s="22" t="str">
        <x:v>公顷</x:v>
      </x:c>
      <x:c r="P256" s="22" t="str">
        <x:v>未提供（单期横截面）</x:v>
      </x:c>
      <x:c r="Q256" s="23" t="n">
        <x:v>1564</x:v>
      </x:c>
    </x:row>
    <x:row r="257">
      <x:c r="A257" s="30" t="n">
        <x:v>350200</x:v>
      </x:c>
      <x:c r="B257" s="22" t="str">
        <x:v>厦门市</x:v>
      </x:c>
      <x:c r="C257" s="31" t="n">
        <x:v>350206</x:v>
      </x:c>
      <x:c r="D257" s="22" t="str">
        <x:v>湖里区</x:v>
      </x:c>
      <x:c r="E257" s="22" t="str">
        <x:v>未利用地</x:v>
      </x:c>
      <x:c r="F257" s="22" t="str">
        <x:v>未利用地</x:v>
      </x:c>
      <x:c r="G257" s="32" t="str">
        <x:v>1207</x:v>
      </x:c>
      <x:c r="H257" s="32" t="str">
        <x:v>1207</x:v>
      </x:c>
      <x:c r="I257" s="22" t="str">
        <x:v>裸岩石砾地</x:v>
      </x:c>
      <x:c r="J257" s="22" t="str">
        <x:v>未利用地</x:v>
      </x:c>
      <x:c r="K257" s="32" t="str"/>
      <x:c r="L257" s="22" t="str">
        <x:v>不适用/未标注</x:v>
      </x:c>
      <x:c r="M257" s="33" t="n">
        <x:v>991.39</x:v>
      </x:c>
      <x:c r="N257" s="33" t="n">
        <x:v>0.099139</x:v>
      </x:c>
      <x:c r="O257" s="22" t="str">
        <x:v>公顷</x:v>
      </x:c>
      <x:c r="P257" s="22" t="str">
        <x:v>未提供（单期横截面）</x:v>
      </x:c>
      <x:c r="Q257" s="23" t="n">
        <x:v>1565</x:v>
      </x:c>
    </x:row>
    <x:row r="258">
      <x:c r="A258" s="30" t="n">
        <x:v>350200</x:v>
      </x:c>
      <x:c r="B258" s="22" t="str">
        <x:v>厦门市</x:v>
      </x:c>
      <x:c r="C258" s="31" t="n">
        <x:v>350206</x:v>
      </x:c>
      <x:c r="D258" s="22" t="str">
        <x:v>湖里区</x:v>
      </x:c>
      <x:c r="E258" s="22" t="str">
        <x:v>未利用地</x:v>
      </x:c>
      <x:c r="F258" s="22" t="str">
        <x:v>草地</x:v>
      </x:c>
      <x:c r="G258" s="32" t="str">
        <x:v>404</x:v>
      </x:c>
      <x:c r="H258" s="32" t="str">
        <x:v>404</x:v>
      </x:c>
      <x:c r="I258" s="22" t="str">
        <x:v>其他草地</x:v>
      </x:c>
      <x:c r="J258" s="22" t="str">
        <x:v>农业生态</x:v>
      </x:c>
      <x:c r="K258" s="32" t="str">
        <x:v>201</x:v>
      </x:c>
      <x:c r="L258" s="22" t="str">
        <x:v>城市范围</x:v>
      </x:c>
      <x:c r="M258" s="33" t="n">
        <x:v>328730.68</x:v>
      </x:c>
      <x:c r="N258" s="33" t="n">
        <x:v>32.873067999999996</x:v>
      </x:c>
      <x:c r="O258" s="22" t="str">
        <x:v>公顷</x:v>
      </x:c>
      <x:c r="P258" s="22" t="str">
        <x:v>未提供（单期横截面）</x:v>
      </x:c>
      <x:c r="Q258" s="23" t="n">
        <x:v>1566</x:v>
      </x:c>
    </x:row>
    <x:row r="259">
      <x:c r="A259" s="30" t="n">
        <x:v>350200</x:v>
      </x:c>
      <x:c r="B259" s="22" t="str">
        <x:v>厦门市</x:v>
      </x:c>
      <x:c r="C259" s="31" t="n">
        <x:v>350206</x:v>
      </x:c>
      <x:c r="D259" s="22" t="str">
        <x:v>湖里区</x:v>
      </x:c>
      <x:c r="E259" s="22" t="str">
        <x:v>未利用地</x:v>
      </x:c>
      <x:c r="F259" s="22" t="str">
        <x:v>水域及水利设施</x:v>
      </x:c>
      <x:c r="G259" s="32" t="str">
        <x:v>1102</x:v>
      </x:c>
      <x:c r="H259" s="32" t="str">
        <x:v>1102</x:v>
      </x:c>
      <x:c r="I259" s="22" t="str">
        <x:v>湖泊水面</x:v>
      </x:c>
      <x:c r="J259" s="22" t="str">
        <x:v>农业生态</x:v>
      </x:c>
      <x:c r="K259" s="32" t="str">
        <x:v>201</x:v>
      </x:c>
      <x:c r="L259" s="22" t="str">
        <x:v>城市范围</x:v>
      </x:c>
      <x:c r="M259" s="33" t="n">
        <x:v>6496.18</x:v>
      </x:c>
      <x:c r="N259" s="33" t="n">
        <x:v>0.649618</x:v>
      </x:c>
      <x:c r="O259" s="22" t="str">
        <x:v>公顷</x:v>
      </x:c>
      <x:c r="P259" s="22" t="str">
        <x:v>未提供（单期横截面）</x:v>
      </x:c>
      <x:c r="Q259" s="23" t="n">
        <x:v>1567</x:v>
      </x:c>
    </x:row>
    <x:row r="260">
      <x:c r="A260" s="30" t="n">
        <x:v>350200</x:v>
      </x:c>
      <x:c r="B260" s="22" t="str">
        <x:v>厦门市</x:v>
      </x:c>
      <x:c r="C260" s="31" t="n">
        <x:v>350206</x:v>
      </x:c>
      <x:c r="D260" s="22" t="str">
        <x:v>湖里区</x:v>
      </x:c>
      <x:c r="E260" s="22" t="str">
        <x:v>未利用地</x:v>
      </x:c>
      <x:c r="F260" s="22" t="str">
        <x:v>水域及水利设施</x:v>
      </x:c>
      <x:c r="G260" s="32" t="str">
        <x:v>1105</x:v>
      </x:c>
      <x:c r="H260" s="32" t="str">
        <x:v>1105</x:v>
      </x:c>
      <x:c r="I260" s="22" t="str">
        <x:v>沿海滩涂</x:v>
      </x:c>
      <x:c r="J260" s="22" t="str">
        <x:v>农业生态</x:v>
      </x:c>
      <x:c r="K260" s="32" t="str">
        <x:v>201</x:v>
      </x:c>
      <x:c r="L260" s="22" t="str">
        <x:v>城市范围</x:v>
      </x:c>
      <x:c r="M260" s="33" t="n">
        <x:v>1134.11</x:v>
      </x:c>
      <x:c r="N260" s="33" t="n">
        <x:v>0.11341099999999998</x:v>
      </x:c>
      <x:c r="O260" s="22" t="str">
        <x:v>公顷</x:v>
      </x:c>
      <x:c r="P260" s="22" t="str">
        <x:v>未提供（单期横截面）</x:v>
      </x:c>
      <x:c r="Q260" s="23" t="n">
        <x:v>1568</x:v>
      </x:c>
    </x:row>
    <x:row r="261">
      <x:c r="A261" s="30" t="n">
        <x:v>350200</x:v>
      </x:c>
      <x:c r="B261" s="22" t="str">
        <x:v>厦门市</x:v>
      </x:c>
      <x:c r="C261" s="31" t="n">
        <x:v>350206</x:v>
      </x:c>
      <x:c r="D261" s="22" t="str">
        <x:v>湖里区</x:v>
      </x:c>
      <x:c r="E261" s="22" t="str">
        <x:v>未利用地</x:v>
      </x:c>
      <x:c r="F261" s="22" t="str">
        <x:v>未利用地</x:v>
      </x:c>
      <x:c r="G261" s="32" t="str">
        <x:v>1207</x:v>
      </x:c>
      <x:c r="H261" s="32" t="str">
        <x:v>1207</x:v>
      </x:c>
      <x:c r="I261" s="22" t="str">
        <x:v>裸岩石砾地</x:v>
      </x:c>
      <x:c r="J261" s="22" t="str">
        <x:v>未利用地</x:v>
      </x:c>
      <x:c r="K261" s="32" t="str">
        <x:v>201</x:v>
      </x:c>
      <x:c r="L261" s="22" t="str">
        <x:v>城市范围</x:v>
      </x:c>
      <x:c r="M261" s="33" t="n">
        <x:v>2743.12</x:v>
      </x:c>
      <x:c r="N261" s="33" t="n">
        <x:v>0.274312</x:v>
      </x:c>
      <x:c r="O261" s="22" t="str">
        <x:v>公顷</x:v>
      </x:c>
      <x:c r="P261" s="22" t="str">
        <x:v>未提供（单期横截面）</x:v>
      </x:c>
      <x:c r="Q261" s="23" t="n">
        <x:v>1569</x:v>
      </x:c>
    </x:row>
    <x:row r="262">
      <x:c r="A262" s="30" t="n">
        <x:v>350200</x:v>
      </x:c>
      <x:c r="B262" s="22" t="str">
        <x:v>厦门市</x:v>
      </x:c>
      <x:c r="C262" s="31" t="n">
        <x:v>350211</x:v>
      </x:c>
      <x:c r="D262" s="22" t="str">
        <x:v>集美区</x:v>
      </x:c>
      <x:c r="E262" s="22" t="str">
        <x:v>建设用地</x:v>
      </x:c>
      <x:c r="F262" s="22" t="str">
        <x:v>交通运输用地</x:v>
      </x:c>
      <x:c r="G262" s="32" t="str">
        <x:v>1001</x:v>
      </x:c>
      <x:c r="H262" s="32" t="str">
        <x:v>1001</x:v>
      </x:c>
      <x:c r="I262" s="22" t="str">
        <x:v>铁路用地</x:v>
      </x:c>
      <x:c r="J262" s="22" t="str">
        <x:v>交通门户</x:v>
      </x:c>
      <x:c r="K262" s="32" t="str"/>
      <x:c r="L262" s="22" t="str">
        <x:v>不适用/未标注</x:v>
      </x:c>
      <x:c r="M262" s="33" t="n">
        <x:v>1457594.21</x:v>
      </x:c>
      <x:c r="N262" s="33" t="n">
        <x:v>145.759421</x:v>
      </x:c>
      <x:c r="O262" s="22" t="str">
        <x:v>公顷</x:v>
      </x:c>
      <x:c r="P262" s="22" t="str">
        <x:v>未提供（单期横截面）</x:v>
      </x:c>
      <x:c r="Q262" s="23" t="n">
        <x:v>1570</x:v>
      </x:c>
    </x:row>
    <x:row r="263">
      <x:c r="A263" s="30" t="n">
        <x:v>350200</x:v>
      </x:c>
      <x:c r="B263" s="22" t="str">
        <x:v>厦门市</x:v>
      </x:c>
      <x:c r="C263" s="31" t="n">
        <x:v>350211</x:v>
      </x:c>
      <x:c r="D263" s="22" t="str">
        <x:v>集美区</x:v>
      </x:c>
      <x:c r="E263" s="22" t="str">
        <x:v>建设用地</x:v>
      </x:c>
      <x:c r="F263" s="22" t="str">
        <x:v>交通运输用地</x:v>
      </x:c>
      <x:c r="G263" s="32" t="str">
        <x:v>1002</x:v>
      </x:c>
      <x:c r="H263" s="32" t="str">
        <x:v>1002</x:v>
      </x:c>
      <x:c r="I263" s="22" t="str">
        <x:v>轨道交通用地</x:v>
      </x:c>
      <x:c r="J263" s="22" t="str">
        <x:v>交通门户</x:v>
      </x:c>
      <x:c r="K263" s="32" t="str"/>
      <x:c r="L263" s="22" t="str">
        <x:v>不适用/未标注</x:v>
      </x:c>
      <x:c r="M263" s="33" t="n">
        <x:v>152899.94999999998</x:v>
      </x:c>
      <x:c r="N263" s="33" t="n">
        <x:v>15.289994999999998</x:v>
      </x:c>
      <x:c r="O263" s="22" t="str">
        <x:v>公顷</x:v>
      </x:c>
      <x:c r="P263" s="22" t="str">
        <x:v>未提供（单期横截面）</x:v>
      </x:c>
      <x:c r="Q263" s="23" t="n">
        <x:v>1571</x:v>
      </x:c>
    </x:row>
    <x:row r="264">
      <x:c r="A264" s="30" t="n">
        <x:v>350200</x:v>
      </x:c>
      <x:c r="B264" s="22" t="str">
        <x:v>厦门市</x:v>
      </x:c>
      <x:c r="C264" s="31" t="n">
        <x:v>350211</x:v>
      </x:c>
      <x:c r="D264" s="22" t="str">
        <x:v>集美区</x:v>
      </x:c>
      <x:c r="E264" s="22" t="str">
        <x:v>建设用地</x:v>
      </x:c>
      <x:c r="F264" s="22" t="str">
        <x:v>交通运输用地</x:v>
      </x:c>
      <x:c r="G264" s="32" t="str">
        <x:v>1003</x:v>
      </x:c>
      <x:c r="H264" s="32" t="str">
        <x:v>1003</x:v>
      </x:c>
      <x:c r="I264" s="22" t="str">
        <x:v>公路用地</x:v>
      </x:c>
      <x:c r="J264" s="22" t="str">
        <x:v>交通门户</x:v>
      </x:c>
      <x:c r="K264" s="32" t="str"/>
      <x:c r="L264" s="22" t="str">
        <x:v>不适用/未标注</x:v>
      </x:c>
      <x:c r="M264" s="33" t="n">
        <x:v>11855003.740000006</x:v>
      </x:c>
      <x:c r="N264" s="33" t="n">
        <x:v>1185.5003740000006</x:v>
      </x:c>
      <x:c r="O264" s="22" t="str">
        <x:v>公顷</x:v>
      </x:c>
      <x:c r="P264" s="22" t="str">
        <x:v>未提供（单期横截面）</x:v>
      </x:c>
      <x:c r="Q264" s="23" t="n">
        <x:v>1572</x:v>
      </x:c>
    </x:row>
    <x:row r="265">
      <x:c r="A265" s="30" t="n">
        <x:v>350200</x:v>
      </x:c>
      <x:c r="B265" s="22" t="str">
        <x:v>厦门市</x:v>
      </x:c>
      <x:c r="C265" s="31" t="n">
        <x:v>350211</x:v>
      </x:c>
      <x:c r="D265" s="22" t="str">
        <x:v>集美区</x:v>
      </x:c>
      <x:c r="E265" s="22" t="str">
        <x:v>建设用地</x:v>
      </x:c>
      <x:c r="F265" s="22" t="str">
        <x:v>交通运输用地</x:v>
      </x:c>
      <x:c r="G265" s="32" t="str">
        <x:v>1008</x:v>
      </x:c>
      <x:c r="H265" s="32" t="str">
        <x:v>1008</x:v>
      </x:c>
      <x:c r="I265" s="22" t="str">
        <x:v>港口码头用地</x:v>
      </x:c>
      <x:c r="J265" s="22" t="str">
        <x:v>交通门户</x:v>
      </x:c>
      <x:c r="K265" s="32" t="str"/>
      <x:c r="L265" s="22" t="str">
        <x:v>不适用/未标注</x:v>
      </x:c>
      <x:c r="M265" s="33" t="n">
        <x:v>1207.71</x:v>
      </x:c>
      <x:c r="N265" s="33" t="n">
        <x:v>0.120771</x:v>
      </x:c>
      <x:c r="O265" s="22" t="str">
        <x:v>公顷</x:v>
      </x:c>
      <x:c r="P265" s="22" t="str">
        <x:v>未提供（单期横截面）</x:v>
      </x:c>
      <x:c r="Q265" s="23" t="n">
        <x:v>1573</x:v>
      </x:c>
    </x:row>
    <x:row r="266">
      <x:c r="A266" s="30" t="n">
        <x:v>350200</x:v>
      </x:c>
      <x:c r="B266" s="22" t="str">
        <x:v>厦门市</x:v>
      </x:c>
      <x:c r="C266" s="31" t="n">
        <x:v>350211</x:v>
      </x:c>
      <x:c r="D266" s="22" t="str">
        <x:v>集美区</x:v>
      </x:c>
      <x:c r="E266" s="22" t="str">
        <x:v>建设用地</x:v>
      </x:c>
      <x:c r="F266" s="22" t="str">
        <x:v>交通运输用地</x:v>
      </x:c>
      <x:c r="G266" s="32" t="str">
        <x:v>1009</x:v>
      </x:c>
      <x:c r="H266" s="32" t="str">
        <x:v>1009</x:v>
      </x:c>
      <x:c r="I266" s="22" t="str">
        <x:v>管道运输用地</x:v>
      </x:c>
      <x:c r="J266" s="22" t="str">
        <x:v>交通门户</x:v>
      </x:c>
      <x:c r="K266" s="32" t="str"/>
      <x:c r="L266" s="22" t="str">
        <x:v>不适用/未标注</x:v>
      </x:c>
      <x:c r="M266" s="33" t="n">
        <x:v>1018.04</x:v>
      </x:c>
      <x:c r="N266" s="33" t="n">
        <x:v>0.10180399999999999</x:v>
      </x:c>
      <x:c r="O266" s="22" t="str">
        <x:v>公顷</x:v>
      </x:c>
      <x:c r="P266" s="22" t="str">
        <x:v>未提供（单期横截面）</x:v>
      </x:c>
      <x:c r="Q266" s="23" t="n">
        <x:v>1574</x:v>
      </x:c>
    </x:row>
    <x:row r="267">
      <x:c r="A267" s="30" t="n">
        <x:v>350200</x:v>
      </x:c>
      <x:c r="B267" s="22" t="str">
        <x:v>厦门市</x:v>
      </x:c>
      <x:c r="C267" s="31" t="n">
        <x:v>350211</x:v>
      </x:c>
      <x:c r="D267" s="22" t="str">
        <x:v>集美区</x:v>
      </x:c>
      <x:c r="E267" s="22" t="str">
        <x:v>建设用地</x:v>
      </x:c>
      <x:c r="F267" s="22" t="str">
        <x:v>水域及水利设施</x:v>
      </x:c>
      <x:c r="G267" s="32" t="str">
        <x:v>1109</x:v>
      </x:c>
      <x:c r="H267" s="32" t="str">
        <x:v>1109</x:v>
      </x:c>
      <x:c r="I267" s="22" t="str">
        <x:v>水工建筑用地</x:v>
      </x:c>
      <x:c r="J267" s="22" t="str">
        <x:v>其他建设</x:v>
      </x:c>
      <x:c r="K267" s="32" t="str"/>
      <x:c r="L267" s="22" t="str">
        <x:v>不适用/未标注</x:v>
      </x:c>
      <x:c r="M267" s="33" t="n">
        <x:v>514965.36000000016</x:v>
      </x:c>
      <x:c r="N267" s="33" t="n">
        <x:v>51.49653600000001</x:v>
      </x:c>
      <x:c r="O267" s="22" t="str">
        <x:v>公顷</x:v>
      </x:c>
      <x:c r="P267" s="22" t="str">
        <x:v>未提供（单期横截面）</x:v>
      </x:c>
      <x:c r="Q267" s="23" t="n">
        <x:v>1575</x:v>
      </x:c>
    </x:row>
    <x:row r="268">
      <x:c r="A268" s="30" t="n">
        <x:v>350200</x:v>
      </x:c>
      <x:c r="B268" s="22" t="str">
        <x:v>厦门市</x:v>
      </x:c>
      <x:c r="C268" s="31" t="n">
        <x:v>350211</x:v>
      </x:c>
      <x:c r="D268" s="22" t="str">
        <x:v>集美区</x:v>
      </x:c>
      <x:c r="E268" s="22" t="str">
        <x:v>建设用地</x:v>
      </x:c>
      <x:c r="F268" s="22" t="str">
        <x:v>工矿仓储用地</x:v>
      </x:c>
      <x:c r="G268" s="32" t="str">
        <x:v>508</x:v>
      </x:c>
      <x:c r="H268" s="32" t="str">
        <x:v>508</x:v>
      </x:c>
      <x:c r="I268" s="22" t="str">
        <x:v>物流仓储用地</x:v>
      </x:c>
      <x:c r="J268" s="22" t="str">
        <x:v>产业功能</x:v>
      </x:c>
      <x:c r="K268" s="32" t="str">
        <x:v>201</x:v>
      </x:c>
      <x:c r="L268" s="22" t="str">
        <x:v>城市范围</x:v>
      </x:c>
      <x:c r="M268" s="33" t="n">
        <x:v>1191164.1199999996</x:v>
      </x:c>
      <x:c r="N268" s="33" t="n">
        <x:v>119.11641199999997</x:v>
      </x:c>
      <x:c r="O268" s="22" t="str">
        <x:v>公顷</x:v>
      </x:c>
      <x:c r="P268" s="22" t="str">
        <x:v>未提供（单期横截面）</x:v>
      </x:c>
      <x:c r="Q268" s="23" t="n">
        <x:v>1576</x:v>
      </x:c>
    </x:row>
    <x:row r="269">
      <x:c r="A269" s="30" t="n">
        <x:v>350200</x:v>
      </x:c>
      <x:c r="B269" s="22" t="str">
        <x:v>厦门市</x:v>
      </x:c>
      <x:c r="C269" s="31" t="n">
        <x:v>350211</x:v>
      </x:c>
      <x:c r="D269" s="22" t="str">
        <x:v>集美区</x:v>
      </x:c>
      <x:c r="E269" s="22" t="str">
        <x:v>建设用地</x:v>
      </x:c>
      <x:c r="F269" s="22" t="str">
        <x:v>商业服务业用地</x:v>
      </x:c>
      <x:c r="G269" s="32" t="str">
        <x:v>05H1</x:v>
      </x:c>
      <x:c r="H269" s="32" t="str">
        <x:v>05H1</x:v>
      </x:c>
      <x:c r="I269" s="22" t="str">
        <x:v>商业服务业设施用地</x:v>
      </x:c>
      <x:c r="J269" s="22" t="str">
        <x:v>商业服务</x:v>
      </x:c>
      <x:c r="K269" s="32" t="str">
        <x:v>201</x:v>
      </x:c>
      <x:c r="L269" s="22" t="str">
        <x:v>城市范围</x:v>
      </x:c>
      <x:c r="M269" s="33" t="n">
        <x:v>4987321.080000003</x:v>
      </x:c>
      <x:c r="N269" s="33" t="n">
        <x:v>498.73210800000027</x:v>
      </x:c>
      <x:c r="O269" s="22" t="str">
        <x:v>公顷</x:v>
      </x:c>
      <x:c r="P269" s="22" t="str">
        <x:v>未提供（单期横截面）</x:v>
      </x:c>
      <x:c r="Q269" s="23" t="n">
        <x:v>1577</x:v>
      </x:c>
    </x:row>
    <x:row r="270">
      <x:c r="A270" s="30" t="n">
        <x:v>350200</x:v>
      </x:c>
      <x:c r="B270" s="22" t="str">
        <x:v>厦门市</x:v>
      </x:c>
      <x:c r="C270" s="31" t="n">
        <x:v>350211</x:v>
      </x:c>
      <x:c r="D270" s="22" t="str">
        <x:v>集美区</x:v>
      </x:c>
      <x:c r="E270" s="22" t="str">
        <x:v>建设用地</x:v>
      </x:c>
      <x:c r="F270" s="22" t="str">
        <x:v>工矿仓储用地</x:v>
      </x:c>
      <x:c r="G270" s="32" t="str">
        <x:v>601</x:v>
      </x:c>
      <x:c r="H270" s="32" t="str">
        <x:v>601</x:v>
      </x:c>
      <x:c r="I270" s="22" t="str">
        <x:v>工业用地</x:v>
      </x:c>
      <x:c r="J270" s="22" t="str">
        <x:v>产业功能</x:v>
      </x:c>
      <x:c r="K270" s="32" t="str">
        <x:v>201</x:v>
      </x:c>
      <x:c r="L270" s="22" t="str">
        <x:v>城市范围</x:v>
      </x:c>
      <x:c r="M270" s="33" t="n">
        <x:v>13837157.890000006</x:v>
      </x:c>
      <x:c r="N270" s="33" t="n">
        <x:v>1383.7157890000005</x:v>
      </x:c>
      <x:c r="O270" s="22" t="str">
        <x:v>公顷</x:v>
      </x:c>
      <x:c r="P270" s="22" t="str">
        <x:v>未提供（单期横截面）</x:v>
      </x:c>
      <x:c r="Q270" s="23" t="n">
        <x:v>1578</x:v>
      </x:c>
    </x:row>
    <x:row r="271">
      <x:c r="A271" s="30" t="n">
        <x:v>350200</x:v>
      </x:c>
      <x:c r="B271" s="22" t="str">
        <x:v>厦门市</x:v>
      </x:c>
      <x:c r="C271" s="31" t="n">
        <x:v>350211</x:v>
      </x:c>
      <x:c r="D271" s="22" t="str">
        <x:v>集美区</x:v>
      </x:c>
      <x:c r="E271" s="22" t="str">
        <x:v>建设用地</x:v>
      </x:c>
      <x:c r="F271" s="22" t="str">
        <x:v>工矿仓储用地</x:v>
      </x:c>
      <x:c r="G271" s="32" t="str">
        <x:v>602</x:v>
      </x:c>
      <x:c r="H271" s="32" t="str">
        <x:v>602</x:v>
      </x:c>
      <x:c r="I271" s="22" t="str">
        <x:v>采矿用地</x:v>
      </x:c>
      <x:c r="J271" s="22" t="str">
        <x:v>产业功能</x:v>
      </x:c>
      <x:c r="K271" s="32" t="str">
        <x:v>201</x:v>
      </x:c>
      <x:c r="L271" s="22" t="str">
        <x:v>城市范围</x:v>
      </x:c>
      <x:c r="M271" s="33" t="n">
        <x:v>2165.05</x:v>
      </x:c>
      <x:c r="N271" s="33" t="n">
        <x:v>0.21650500000000003</x:v>
      </x:c>
      <x:c r="O271" s="22" t="str">
        <x:v>公顷</x:v>
      </x:c>
      <x:c r="P271" s="22" t="str">
        <x:v>未提供（单期横截面）</x:v>
      </x:c>
      <x:c r="Q271" s="23" t="n">
        <x:v>1579</x:v>
      </x:c>
    </x:row>
    <x:row r="272">
      <x:c r="A272" s="30" t="n">
        <x:v>350200</x:v>
      </x:c>
      <x:c r="B272" s="22" t="str">
        <x:v>厦门市</x:v>
      </x:c>
      <x:c r="C272" s="31" t="n">
        <x:v>350211</x:v>
      </x:c>
      <x:c r="D272" s="22" t="str">
        <x:v>集美区</x:v>
      </x:c>
      <x:c r="E272" s="22" t="str">
        <x:v>建设用地</x:v>
      </x:c>
      <x:c r="F272" s="22" t="str">
        <x:v>居住用地</x:v>
      </x:c>
      <x:c r="G272" s="32" t="str">
        <x:v>701</x:v>
      </x:c>
      <x:c r="H272" s="32" t="str">
        <x:v>701</x:v>
      </x:c>
      <x:c r="I272" s="22" t="str">
        <x:v>城镇住宅用地</x:v>
      </x:c>
      <x:c r="J272" s="22" t="str">
        <x:v>居住功能</x:v>
      </x:c>
      <x:c r="K272" s="32" t="str">
        <x:v>201</x:v>
      </x:c>
      <x:c r="L272" s="22" t="str">
        <x:v>城市范围</x:v>
      </x:c>
      <x:c r="M272" s="33" t="n">
        <x:v>8800986.41</x:v>
      </x:c>
      <x:c r="N272" s="33" t="n">
        <x:v>880.098641</x:v>
      </x:c>
      <x:c r="O272" s="22" t="str">
        <x:v>公顷</x:v>
      </x:c>
      <x:c r="P272" s="22" t="str">
        <x:v>未提供（单期横截面）</x:v>
      </x:c>
      <x:c r="Q272" s="23" t="n">
        <x:v>1580</x:v>
      </x:c>
    </x:row>
    <x:row r="273">
      <x:c r="A273" s="30" t="n">
        <x:v>350200</x:v>
      </x:c>
      <x:c r="B273" s="22" t="str">
        <x:v>厦门市</x:v>
      </x:c>
      <x:c r="C273" s="31" t="n">
        <x:v>350211</x:v>
      </x:c>
      <x:c r="D273" s="22" t="str">
        <x:v>集美区</x:v>
      </x:c>
      <x:c r="E273" s="22" t="str">
        <x:v>建设用地</x:v>
      </x:c>
      <x:c r="F273" s="22" t="str">
        <x:v>居住用地</x:v>
      </x:c>
      <x:c r="G273" s="32" t="str">
        <x:v>702</x:v>
      </x:c>
      <x:c r="H273" s="32" t="str">
        <x:v>702</x:v>
      </x:c>
      <x:c r="I273" s="22" t="str">
        <x:v>农村宅基地</x:v>
      </x:c>
      <x:c r="J273" s="22" t="str">
        <x:v>居住功能</x:v>
      </x:c>
      <x:c r="K273" s="32" t="str">
        <x:v>201</x:v>
      </x:c>
      <x:c r="L273" s="22" t="str">
        <x:v>城市范围</x:v>
      </x:c>
      <x:c r="M273" s="33" t="n">
        <x:v>8710199.620000003</x:v>
      </x:c>
      <x:c r="N273" s="33" t="n">
        <x:v>871.0199620000003</x:v>
      </x:c>
      <x:c r="O273" s="22" t="str">
        <x:v>公顷</x:v>
      </x:c>
      <x:c r="P273" s="22" t="str">
        <x:v>未提供（单期横截面）</x:v>
      </x:c>
      <x:c r="Q273" s="23" t="n">
        <x:v>1581</x:v>
      </x:c>
    </x:row>
    <x:row r="274">
      <x:c r="A274" s="30" t="n">
        <x:v>350200</x:v>
      </x:c>
      <x:c r="B274" s="22" t="str">
        <x:v>厦门市</x:v>
      </x:c>
      <x:c r="C274" s="31" t="n">
        <x:v>350211</x:v>
      </x:c>
      <x:c r="D274" s="22" t="str">
        <x:v>集美区</x:v>
      </x:c>
      <x:c r="E274" s="22" t="str">
        <x:v>建设用地</x:v>
      </x:c>
      <x:c r="F274" s="22" t="str">
        <x:v>公用设施用地</x:v>
      </x:c>
      <x:c r="G274" s="32" t="str">
        <x:v>809</x:v>
      </x:c>
      <x:c r="H274" s="32" t="str">
        <x:v>809</x:v>
      </x:c>
      <x:c r="I274" s="22" t="str">
        <x:v>公用设施用地</x:v>
      </x:c>
      <x:c r="J274" s="22" t="str">
        <x:v>其他建设</x:v>
      </x:c>
      <x:c r="K274" s="32" t="str">
        <x:v>201</x:v>
      </x:c>
      <x:c r="L274" s="22" t="str">
        <x:v>城市范围</x:v>
      </x:c>
      <x:c r="M274" s="33" t="n">
        <x:v>724275.4</x:v>
      </x:c>
      <x:c r="N274" s="33" t="n">
        <x:v>72.42754000000001</x:v>
      </x:c>
      <x:c r="O274" s="22" t="str">
        <x:v>公顷</x:v>
      </x:c>
      <x:c r="P274" s="22" t="str">
        <x:v>未提供（单期横截面）</x:v>
      </x:c>
      <x:c r="Q274" s="23" t="n">
        <x:v>1582</x:v>
      </x:c>
    </x:row>
    <x:row r="275">
      <x:c r="A275" s="30" t="n">
        <x:v>350200</x:v>
      </x:c>
      <x:c r="B275" s="22" t="str">
        <x:v>厦门市</x:v>
      </x:c>
      <x:c r="C275" s="31" t="n">
        <x:v>350211</x:v>
      </x:c>
      <x:c r="D275" s="22" t="str">
        <x:v>集美区</x:v>
      </x:c>
      <x:c r="E275" s="22" t="str">
        <x:v>建设用地</x:v>
      </x:c>
      <x:c r="F275" s="22" t="str">
        <x:v>绿地与广场用地</x:v>
      </x:c>
      <x:c r="G275" s="32" t="str">
        <x:v>810</x:v>
      </x:c>
      <x:c r="H275" s="32" t="str">
        <x:v>810</x:v>
      </x:c>
      <x:c r="I275" s="22" t="str">
        <x:v>公园与绿地</x:v>
      </x:c>
      <x:c r="J275" s="22" t="str">
        <x:v>公共空间</x:v>
      </x:c>
      <x:c r="K275" s="32" t="str">
        <x:v>201</x:v>
      </x:c>
      <x:c r="L275" s="22" t="str">
        <x:v>城市范围</x:v>
      </x:c>
      <x:c r="M275" s="33" t="n">
        <x:v>4379243.21</x:v>
      </x:c>
      <x:c r="N275" s="33" t="n">
        <x:v>437.924321</x:v>
      </x:c>
      <x:c r="O275" s="22" t="str">
        <x:v>公顷</x:v>
      </x:c>
      <x:c r="P275" s="22" t="str">
        <x:v>未提供（单期横截面）</x:v>
      </x:c>
      <x:c r="Q275" s="23" t="n">
        <x:v>1583</x:v>
      </x:c>
    </x:row>
    <x:row r="276">
      <x:c r="A276" s="30" t="n">
        <x:v>350200</x:v>
      </x:c>
      <x:c r="B276" s="22" t="str">
        <x:v>厦门市</x:v>
      </x:c>
      <x:c r="C276" s="31" t="n">
        <x:v>350211</x:v>
      </x:c>
      <x:c r="D276" s="22" t="str">
        <x:v>集美区</x:v>
      </x:c>
      <x:c r="E276" s="22" t="str">
        <x:v>建设用地</x:v>
      </x:c>
      <x:c r="F276" s="22" t="str">
        <x:v>绿地与广场用地</x:v>
      </x:c>
      <x:c r="G276" s="32" t="str">
        <x:v>0810A</x:v>
      </x:c>
      <x:c r="H276" s="32" t="str">
        <x:v>0810</x:v>
      </x:c>
      <x:c r="I276" s="22" t="str">
        <x:v>广场用地</x:v>
      </x:c>
      <x:c r="J276" s="22" t="str">
        <x:v>公共空间</x:v>
      </x:c>
      <x:c r="K276" s="32" t="str">
        <x:v>201</x:v>
      </x:c>
      <x:c r="L276" s="22" t="str">
        <x:v>城市范围</x:v>
      </x:c>
      <x:c r="M276" s="33" t="n">
        <x:v>210194.52999999997</x:v>
      </x:c>
      <x:c r="N276" s="33" t="n">
        <x:v>21.019453</x:v>
      </x:c>
      <x:c r="O276" s="22" t="str">
        <x:v>公顷</x:v>
      </x:c>
      <x:c r="P276" s="22" t="str">
        <x:v>未提供（单期横截面）</x:v>
      </x:c>
      <x:c r="Q276" s="23" t="n">
        <x:v>1584</x:v>
      </x:c>
    </x:row>
    <x:row r="277">
      <x:c r="A277" s="30" t="n">
        <x:v>350200</x:v>
      </x:c>
      <x:c r="B277" s="22" t="str">
        <x:v>厦门市</x:v>
      </x:c>
      <x:c r="C277" s="31" t="n">
        <x:v>350211</x:v>
      </x:c>
      <x:c r="D277" s="22" t="str">
        <x:v>集美区</x:v>
      </x:c>
      <x:c r="E277" s="22" t="str">
        <x:v>建设用地</x:v>
      </x:c>
      <x:c r="F277" s="22" t="str">
        <x:v>公共管理与公共服务用地</x:v>
      </x:c>
      <x:c r="G277" s="32" t="str">
        <x:v>08H1</x:v>
      </x:c>
      <x:c r="H277" s="32" t="str">
        <x:v>08H1</x:v>
      </x:c>
      <x:c r="I277" s="22" t="str">
        <x:v>机关团体新闻出版用地</x:v>
      </x:c>
      <x:c r="J277" s="22" t="str">
        <x:v>公共服务</x:v>
      </x:c>
      <x:c r="K277" s="32" t="str">
        <x:v>201</x:v>
      </x:c>
      <x:c r="L277" s="22" t="str">
        <x:v>城市范围</x:v>
      </x:c>
      <x:c r="M277" s="33" t="n">
        <x:v>757529.8299999998</x:v>
      </x:c>
      <x:c r="N277" s="33" t="n">
        <x:v>75.75298299999999</x:v>
      </x:c>
      <x:c r="O277" s="22" t="str">
        <x:v>公顷</x:v>
      </x:c>
      <x:c r="P277" s="22" t="str">
        <x:v>未提供（单期横截面）</x:v>
      </x:c>
      <x:c r="Q277" s="23" t="n">
        <x:v>1585</x:v>
      </x:c>
    </x:row>
    <x:row r="278">
      <x:c r="A278" s="30" t="n">
        <x:v>350200</x:v>
      </x:c>
      <x:c r="B278" s="22" t="str">
        <x:v>厦门市</x:v>
      </x:c>
      <x:c r="C278" s="31" t="n">
        <x:v>350211</x:v>
      </x:c>
      <x:c r="D278" s="22" t="str">
        <x:v>集美区</x:v>
      </x:c>
      <x:c r="E278" s="22" t="str">
        <x:v>建设用地</x:v>
      </x:c>
      <x:c r="F278" s="22" t="str">
        <x:v>公共管理与公共服务用地</x:v>
      </x:c>
      <x:c r="G278" s="32" t="str">
        <x:v>08H2</x:v>
      </x:c>
      <x:c r="H278" s="32" t="str">
        <x:v>08H2</x:v>
      </x:c>
      <x:c r="I278" s="22" t="str">
        <x:v>科教文卫用地</x:v>
      </x:c>
      <x:c r="J278" s="22" t="str">
        <x:v>公共服务</x:v>
      </x:c>
      <x:c r="K278" s="32" t="str">
        <x:v>201</x:v>
      </x:c>
      <x:c r="L278" s="22" t="str">
        <x:v>城市范围</x:v>
      </x:c>
      <x:c r="M278" s="33" t="n">
        <x:v>3536071.4200000004</x:v>
      </x:c>
      <x:c r="N278" s="33" t="n">
        <x:v>353.60714200000007</x:v>
      </x:c>
      <x:c r="O278" s="22" t="str">
        <x:v>公顷</x:v>
      </x:c>
      <x:c r="P278" s="22" t="str">
        <x:v>未提供（单期横截面）</x:v>
      </x:c>
      <x:c r="Q278" s="23" t="n">
        <x:v>1586</x:v>
      </x:c>
    </x:row>
    <x:row r="279">
      <x:c r="A279" s="30" t="n">
        <x:v>350200</x:v>
      </x:c>
      <x:c r="B279" s="22" t="str">
        <x:v>厦门市</x:v>
      </x:c>
      <x:c r="C279" s="31" t="n">
        <x:v>350211</x:v>
      </x:c>
      <x:c r="D279" s="22" t="str">
        <x:v>集美区</x:v>
      </x:c>
      <x:c r="E279" s="22" t="str">
        <x:v>建设用地</x:v>
      </x:c>
      <x:c r="F279" s="22" t="str">
        <x:v>公共管理与公共服务用地</x:v>
      </x:c>
      <x:c r="G279" s="32" t="str">
        <x:v>08H2A</x:v>
      </x:c>
      <x:c r="H279" s="32" t="str">
        <x:v>08H2</x:v>
      </x:c>
      <x:c r="I279" s="22" t="str">
        <x:v>高教用地</x:v>
      </x:c>
      <x:c r="J279" s="22" t="str">
        <x:v>公共服务</x:v>
      </x:c>
      <x:c r="K279" s="32" t="str">
        <x:v>201</x:v>
      </x:c>
      <x:c r="L279" s="22" t="str">
        <x:v>城市范围</x:v>
      </x:c>
      <x:c r="M279" s="33" t="n">
        <x:v>4521627.97</x:v>
      </x:c>
      <x:c r="N279" s="33" t="n">
        <x:v>452.16279699999996</x:v>
      </x:c>
      <x:c r="O279" s="22" t="str">
        <x:v>公顷</x:v>
      </x:c>
      <x:c r="P279" s="22" t="str">
        <x:v>未提供（单期横截面）</x:v>
      </x:c>
      <x:c r="Q279" s="23" t="n">
        <x:v>1587</x:v>
      </x:c>
    </x:row>
    <x:row r="280">
      <x:c r="A280" s="30" t="n">
        <x:v>350200</x:v>
      </x:c>
      <x:c r="B280" s="22" t="str">
        <x:v>厦门市</x:v>
      </x:c>
      <x:c r="C280" s="31" t="n">
        <x:v>350211</x:v>
      </x:c>
      <x:c r="D280" s="22" t="str">
        <x:v>集美区</x:v>
      </x:c>
      <x:c r="E280" s="22" t="str">
        <x:v>建设用地</x:v>
      </x:c>
      <x:c r="F280" s="22" t="str">
        <x:v>特殊用地</x:v>
      </x:c>
      <x:c r="G280" s="32" t="str">
        <x:v>9</x:v>
      </x:c>
      <x:c r="H280" s="32" t="str">
        <x:v>9</x:v>
      </x:c>
      <x:c r="I280" s="22" t="str">
        <x:v>特殊用地</x:v>
      </x:c>
      <x:c r="J280" s="22" t="str">
        <x:v>其他建设</x:v>
      </x:c>
      <x:c r="K280" s="32" t="str">
        <x:v>201</x:v>
      </x:c>
      <x:c r="L280" s="22" t="str">
        <x:v>城市范围</x:v>
      </x:c>
      <x:c r="M280" s="33" t="n">
        <x:v>702160.5199999999</x:v>
      </x:c>
      <x:c r="N280" s="33" t="n">
        <x:v>70.21605199999999</x:v>
      </x:c>
      <x:c r="O280" s="22" t="str">
        <x:v>公顷</x:v>
      </x:c>
      <x:c r="P280" s="22" t="str">
        <x:v>未提供（单期横截面）</x:v>
      </x:c>
      <x:c r="Q280" s="23" t="n">
        <x:v>1588</x:v>
      </x:c>
    </x:row>
    <x:row r="281">
      <x:c r="A281" s="30" t="n">
        <x:v>350200</x:v>
      </x:c>
      <x:c r="B281" s="22" t="str">
        <x:v>厦门市</x:v>
      </x:c>
      <x:c r="C281" s="31" t="n">
        <x:v>350211</x:v>
      </x:c>
      <x:c r="D281" s="22" t="str">
        <x:v>集美区</x:v>
      </x:c>
      <x:c r="E281" s="22" t="str">
        <x:v>建设用地</x:v>
      </x:c>
      <x:c r="F281" s="22" t="str">
        <x:v>交通运输用地</x:v>
      </x:c>
      <x:c r="G281" s="32" t="str">
        <x:v>1001</x:v>
      </x:c>
      <x:c r="H281" s="32" t="str">
        <x:v>1001</x:v>
      </x:c>
      <x:c r="I281" s="22" t="str">
        <x:v>铁路用地</x:v>
      </x:c>
      <x:c r="J281" s="22" t="str">
        <x:v>交通门户</x:v>
      </x:c>
      <x:c r="K281" s="32" t="str">
        <x:v>201</x:v>
      </x:c>
      <x:c r="L281" s="22" t="str">
        <x:v>城市范围</x:v>
      </x:c>
      <x:c r="M281" s="33" t="n">
        <x:v>248174.05999999997</x:v>
      </x:c>
      <x:c r="N281" s="33" t="n">
        <x:v>24.817406</x:v>
      </x:c>
      <x:c r="O281" s="22" t="str">
        <x:v>公顷</x:v>
      </x:c>
      <x:c r="P281" s="22" t="str">
        <x:v>未提供（单期横截面）</x:v>
      </x:c>
      <x:c r="Q281" s="23" t="n">
        <x:v>1589</x:v>
      </x:c>
    </x:row>
    <x:row r="282">
      <x:c r="A282" s="30" t="n">
        <x:v>350200</x:v>
      </x:c>
      <x:c r="B282" s="22" t="str">
        <x:v>厦门市</x:v>
      </x:c>
      <x:c r="C282" s="31" t="n">
        <x:v>350211</x:v>
      </x:c>
      <x:c r="D282" s="22" t="str">
        <x:v>集美区</x:v>
      </x:c>
      <x:c r="E282" s="22" t="str">
        <x:v>建设用地</x:v>
      </x:c>
      <x:c r="F282" s="22" t="str">
        <x:v>交通运输用地</x:v>
      </x:c>
      <x:c r="G282" s="32" t="str">
        <x:v>1002</x:v>
      </x:c>
      <x:c r="H282" s="32" t="str">
        <x:v>1002</x:v>
      </x:c>
      <x:c r="I282" s="22" t="str">
        <x:v>轨道交通用地</x:v>
      </x:c>
      <x:c r="J282" s="22" t="str">
        <x:v>交通门户</x:v>
      </x:c>
      <x:c r="K282" s="32" t="str">
        <x:v>201</x:v>
      </x:c>
      <x:c r="L282" s="22" t="str">
        <x:v>城市范围</x:v>
      </x:c>
      <x:c r="M282" s="33" t="n">
        <x:v>651487.5999999997</x:v>
      </x:c>
      <x:c r="N282" s="33" t="n">
        <x:v>65.14875999999997</x:v>
      </x:c>
      <x:c r="O282" s="22" t="str">
        <x:v>公顷</x:v>
      </x:c>
      <x:c r="P282" s="22" t="str">
        <x:v>未提供（单期横截面）</x:v>
      </x:c>
      <x:c r="Q282" s="23" t="n">
        <x:v>1590</x:v>
      </x:c>
    </x:row>
    <x:row r="283">
      <x:c r="A283" s="30" t="n">
        <x:v>350200</x:v>
      </x:c>
      <x:c r="B283" s="22" t="str">
        <x:v>厦门市</x:v>
      </x:c>
      <x:c r="C283" s="31" t="n">
        <x:v>350211</x:v>
      </x:c>
      <x:c r="D283" s="22" t="str">
        <x:v>集美区</x:v>
      </x:c>
      <x:c r="E283" s="22" t="str">
        <x:v>建设用地</x:v>
      </x:c>
      <x:c r="F283" s="22" t="str">
        <x:v>交通运输用地</x:v>
      </x:c>
      <x:c r="G283" s="32" t="str">
        <x:v>1003</x:v>
      </x:c>
      <x:c r="H283" s="32" t="str">
        <x:v>1003</x:v>
      </x:c>
      <x:c r="I283" s="22" t="str">
        <x:v>公路用地</x:v>
      </x:c>
      <x:c r="J283" s="22" t="str">
        <x:v>交通门户</x:v>
      </x:c>
      <x:c r="K283" s="32" t="str">
        <x:v>201</x:v>
      </x:c>
      <x:c r="L283" s="22" t="str">
        <x:v>城市范围</x:v>
      </x:c>
      <x:c r="M283" s="33" t="n">
        <x:v>157999.10999999996</x:v>
      </x:c>
      <x:c r="N283" s="33" t="n">
        <x:v>15.799910999999996</x:v>
      </x:c>
      <x:c r="O283" s="22" t="str">
        <x:v>公顷</x:v>
      </x:c>
      <x:c r="P283" s="22" t="str">
        <x:v>未提供（单期横截面）</x:v>
      </x:c>
      <x:c r="Q283" s="23" t="n">
        <x:v>1591</x:v>
      </x:c>
    </x:row>
    <x:row r="284">
      <x:c r="A284" s="30" t="n">
        <x:v>350200</x:v>
      </x:c>
      <x:c r="B284" s="22" t="str">
        <x:v>厦门市</x:v>
      </x:c>
      <x:c r="C284" s="31" t="n">
        <x:v>350211</x:v>
      </x:c>
      <x:c r="D284" s="22" t="str">
        <x:v>集美区</x:v>
      </x:c>
      <x:c r="E284" s="22" t="str">
        <x:v>建设用地</x:v>
      </x:c>
      <x:c r="F284" s="22" t="str">
        <x:v>交通运输用地</x:v>
      </x:c>
      <x:c r="G284" s="32" t="str">
        <x:v>1004</x:v>
      </x:c>
      <x:c r="H284" s="32" t="str">
        <x:v>1004</x:v>
      </x:c>
      <x:c r="I284" s="22" t="str">
        <x:v>城镇村道路用地</x:v>
      </x:c>
      <x:c r="J284" s="22" t="str">
        <x:v>交通门户</x:v>
      </x:c>
      <x:c r="K284" s="32" t="str">
        <x:v>201</x:v>
      </x:c>
      <x:c r="L284" s="22" t="str">
        <x:v>城市范围</x:v>
      </x:c>
      <x:c r="M284" s="33" t="n">
        <x:v>6677557.890000002</x:v>
      </x:c>
      <x:c r="N284" s="33" t="n">
        <x:v>667.7557890000003</x:v>
      </x:c>
      <x:c r="O284" s="22" t="str">
        <x:v>公顷</x:v>
      </x:c>
      <x:c r="P284" s="22" t="str">
        <x:v>未提供（单期横截面）</x:v>
      </x:c>
      <x:c r="Q284" s="23" t="n">
        <x:v>1592</x:v>
      </x:c>
    </x:row>
    <x:row r="285">
      <x:c r="A285" s="30" t="n">
        <x:v>350200</x:v>
      </x:c>
      <x:c r="B285" s="22" t="str">
        <x:v>厦门市</x:v>
      </x:c>
      <x:c r="C285" s="31" t="n">
        <x:v>350211</x:v>
      </x:c>
      <x:c r="D285" s="22" t="str">
        <x:v>集美区</x:v>
      </x:c>
      <x:c r="E285" s="22" t="str">
        <x:v>建设用地</x:v>
      </x:c>
      <x:c r="F285" s="22" t="str">
        <x:v>交通运输用地</x:v>
      </x:c>
      <x:c r="G285" s="32" t="str">
        <x:v>1005</x:v>
      </x:c>
      <x:c r="H285" s="32" t="str">
        <x:v>1005</x:v>
      </x:c>
      <x:c r="I285" s="22" t="str">
        <x:v>交通服务场站用地</x:v>
      </x:c>
      <x:c r="J285" s="22" t="str">
        <x:v>交通门户</x:v>
      </x:c>
      <x:c r="K285" s="32" t="str">
        <x:v>201</x:v>
      </x:c>
      <x:c r="L285" s="22" t="str">
        <x:v>城市范围</x:v>
      </x:c>
      <x:c r="M285" s="33" t="n">
        <x:v>1668359.0800000005</x:v>
      </x:c>
      <x:c r="N285" s="33" t="n">
        <x:v>166.83590800000005</x:v>
      </x:c>
      <x:c r="O285" s="22" t="str">
        <x:v>公顷</x:v>
      </x:c>
      <x:c r="P285" s="22" t="str">
        <x:v>未提供（单期横截面）</x:v>
      </x:c>
      <x:c r="Q285" s="23" t="n">
        <x:v>1593</x:v>
      </x:c>
    </x:row>
    <x:row r="286">
      <x:c r="A286" s="30" t="n">
        <x:v>350200</x:v>
      </x:c>
      <x:c r="B286" s="22" t="str">
        <x:v>厦门市</x:v>
      </x:c>
      <x:c r="C286" s="31" t="n">
        <x:v>350211</x:v>
      </x:c>
      <x:c r="D286" s="22" t="str">
        <x:v>集美区</x:v>
      </x:c>
      <x:c r="E286" s="22" t="str">
        <x:v>建设用地</x:v>
      </x:c>
      <x:c r="F286" s="22" t="str">
        <x:v>交通运输用地</x:v>
      </x:c>
      <x:c r="G286" s="32" t="str">
        <x:v>1008</x:v>
      </x:c>
      <x:c r="H286" s="32" t="str">
        <x:v>1008</x:v>
      </x:c>
      <x:c r="I286" s="22" t="str">
        <x:v>港口码头用地</x:v>
      </x:c>
      <x:c r="J286" s="22" t="str">
        <x:v>交通门户</x:v>
      </x:c>
      <x:c r="K286" s="32" t="str">
        <x:v>201</x:v>
      </x:c>
      <x:c r="L286" s="22" t="str">
        <x:v>城市范围</x:v>
      </x:c>
      <x:c r="M286" s="33" t="n">
        <x:v>3331.2</x:v>
      </x:c>
      <x:c r="N286" s="33" t="n">
        <x:v>0.33311999999999997</x:v>
      </x:c>
      <x:c r="O286" s="22" t="str">
        <x:v>公顷</x:v>
      </x:c>
      <x:c r="P286" s="22" t="str">
        <x:v>未提供（单期横截面）</x:v>
      </x:c>
      <x:c r="Q286" s="23" t="n">
        <x:v>1594</x:v>
      </x:c>
    </x:row>
    <x:row r="287">
      <x:c r="A287" s="30" t="n">
        <x:v>350200</x:v>
      </x:c>
      <x:c r="B287" s="22" t="str">
        <x:v>厦门市</x:v>
      </x:c>
      <x:c r="C287" s="31" t="n">
        <x:v>350211</x:v>
      </x:c>
      <x:c r="D287" s="22" t="str">
        <x:v>集美区</x:v>
      </x:c>
      <x:c r="E287" s="22" t="str">
        <x:v>建设用地</x:v>
      </x:c>
      <x:c r="F287" s="22" t="str">
        <x:v>交通运输用地</x:v>
      </x:c>
      <x:c r="G287" s="32" t="str">
        <x:v>1009</x:v>
      </x:c>
      <x:c r="H287" s="32" t="str">
        <x:v>1009</x:v>
      </x:c>
      <x:c r="I287" s="22" t="str">
        <x:v>管道运输用地</x:v>
      </x:c>
      <x:c r="J287" s="22" t="str">
        <x:v>交通门户</x:v>
      </x:c>
      <x:c r="K287" s="32" t="str">
        <x:v>201</x:v>
      </x:c>
      <x:c r="L287" s="22" t="str">
        <x:v>城市范围</x:v>
      </x:c>
      <x:c r="M287" s="33" t="n">
        <x:v>71976.24</x:v>
      </x:c>
      <x:c r="N287" s="33" t="n">
        <x:v>7.197624</x:v>
      </x:c>
      <x:c r="O287" s="22" t="str">
        <x:v>公顷</x:v>
      </x:c>
      <x:c r="P287" s="22" t="str">
        <x:v>未提供（单期横截面）</x:v>
      </x:c>
      <x:c r="Q287" s="23" t="n">
        <x:v>1595</x:v>
      </x:c>
    </x:row>
    <x:row r="288">
      <x:c r="A288" s="30" t="n">
        <x:v>350200</x:v>
      </x:c>
      <x:c r="B288" s="22" t="str">
        <x:v>厦门市</x:v>
      </x:c>
      <x:c r="C288" s="31" t="n">
        <x:v>350211</x:v>
      </x:c>
      <x:c r="D288" s="22" t="str">
        <x:v>集美区</x:v>
      </x:c>
      <x:c r="E288" s="22" t="str">
        <x:v>建设用地</x:v>
      </x:c>
      <x:c r="F288" s="22" t="str">
        <x:v>水域及水利设施</x:v>
      </x:c>
      <x:c r="G288" s="32" t="str">
        <x:v>1109</x:v>
      </x:c>
      <x:c r="H288" s="32" t="str">
        <x:v>1109</x:v>
      </x:c>
      <x:c r="I288" s="22" t="str">
        <x:v>水工建筑用地</x:v>
      </x:c>
      <x:c r="J288" s="22" t="str">
        <x:v>其他建设</x:v>
      </x:c>
      <x:c r="K288" s="32" t="str">
        <x:v>201</x:v>
      </x:c>
      <x:c r="L288" s="22" t="str">
        <x:v>城市范围</x:v>
      </x:c>
      <x:c r="M288" s="33" t="n">
        <x:v>2571.4700000000003</x:v>
      </x:c>
      <x:c r="N288" s="33" t="n">
        <x:v>0.257147</x:v>
      </x:c>
      <x:c r="O288" s="22" t="str">
        <x:v>公顷</x:v>
      </x:c>
      <x:c r="P288" s="22" t="str">
        <x:v>未提供（单期横截面）</x:v>
      </x:c>
      <x:c r="Q288" s="23" t="n">
        <x:v>1596</x:v>
      </x:c>
    </x:row>
    <x:row r="289">
      <x:c r="A289" s="30" t="n">
        <x:v>350200</x:v>
      </x:c>
      <x:c r="B289" s="22" t="str">
        <x:v>厦门市</x:v>
      </x:c>
      <x:c r="C289" s="31" t="n">
        <x:v>350211</x:v>
      </x:c>
      <x:c r="D289" s="22" t="str">
        <x:v>集美区</x:v>
      </x:c>
      <x:c r="E289" s="22" t="str">
        <x:v>建设用地</x:v>
      </x:c>
      <x:c r="F289" s="22" t="str">
        <x:v>其他建设用地</x:v>
      </x:c>
      <x:c r="G289" s="32" t="str">
        <x:v>1201</x:v>
      </x:c>
      <x:c r="H289" s="32" t="str">
        <x:v>1201</x:v>
      </x:c>
      <x:c r="I289" s="22" t="str">
        <x:v>空闲地</x:v>
      </x:c>
      <x:c r="J289" s="22" t="str">
        <x:v>其他建设</x:v>
      </x:c>
      <x:c r="K289" s="32" t="str">
        <x:v>201</x:v>
      </x:c>
      <x:c r="L289" s="22" t="str">
        <x:v>城市范围</x:v>
      </x:c>
      <x:c r="M289" s="33" t="n">
        <x:v>951419.22</x:v>
      </x:c>
      <x:c r="N289" s="33" t="n">
        <x:v>95.141922</x:v>
      </x:c>
      <x:c r="O289" s="22" t="str">
        <x:v>公顷</x:v>
      </x:c>
      <x:c r="P289" s="22" t="str">
        <x:v>未提供（单期横截面）</x:v>
      </x:c>
      <x:c r="Q289" s="23" t="n">
        <x:v>1597</x:v>
      </x:c>
    </x:row>
    <x:row r="290">
      <x:c r="A290" s="30" t="n">
        <x:v>350200</x:v>
      </x:c>
      <x:c r="B290" s="22" t="str">
        <x:v>厦门市</x:v>
      </x:c>
      <x:c r="C290" s="31" t="n">
        <x:v>350211</x:v>
      </x:c>
      <x:c r="D290" s="22" t="str">
        <x:v>集美区</x:v>
      </x:c>
      <x:c r="E290" s="22" t="str">
        <x:v>建设用地</x:v>
      </x:c>
      <x:c r="F290" s="22" t="str">
        <x:v>工矿仓储用地</x:v>
      </x:c>
      <x:c r="G290" s="32" t="str">
        <x:v>601</x:v>
      </x:c>
      <x:c r="H290" s="32" t="str">
        <x:v>601</x:v>
      </x:c>
      <x:c r="I290" s="22" t="str">
        <x:v>工业用地</x:v>
      </x:c>
      <x:c r="J290" s="22" t="str">
        <x:v>产业功能</x:v>
      </x:c>
      <x:c r="K290" s="32" t="str">
        <x:v>201A</x:v>
      </x:c>
      <x:c r="L290" s="22" t="str">
        <x:v>城市独立工业用地</x:v>
      </x:c>
      <x:c r="M290" s="33" t="n">
        <x:v>42625.15</x:v>
      </x:c>
      <x:c r="N290" s="33" t="n">
        <x:v>4.2625150000000005</x:v>
      </x:c>
      <x:c r="O290" s="22" t="str">
        <x:v>公顷</x:v>
      </x:c>
      <x:c r="P290" s="22" t="str">
        <x:v>未提供（单期横截面）</x:v>
      </x:c>
      <x:c r="Q290" s="23" t="n">
        <x:v>1598</x:v>
      </x:c>
    </x:row>
    <x:row r="291">
      <x:c r="A291" s="30" t="n">
        <x:v>350200</x:v>
      </x:c>
      <x:c r="B291" s="22" t="str">
        <x:v>厦门市</x:v>
      </x:c>
      <x:c r="C291" s="31" t="n">
        <x:v>350211</x:v>
      </x:c>
      <x:c r="D291" s="22" t="str">
        <x:v>集美区</x:v>
      </x:c>
      <x:c r="E291" s="22" t="str">
        <x:v>建设用地</x:v>
      </x:c>
      <x:c r="F291" s="22" t="str">
        <x:v>工矿仓储用地</x:v>
      </x:c>
      <x:c r="G291" s="32" t="str">
        <x:v>508</x:v>
      </x:c>
      <x:c r="H291" s="32" t="str">
        <x:v>508</x:v>
      </x:c>
      <x:c r="I291" s="22" t="str">
        <x:v>物流仓储用地</x:v>
      </x:c>
      <x:c r="J291" s="22" t="str">
        <x:v>产业功能</x:v>
      </x:c>
      <x:c r="K291" s="32" t="str">
        <x:v>202</x:v>
      </x:c>
      <x:c r="L291" s="22" t="str">
        <x:v>建制镇范围</x:v>
      </x:c>
      <x:c r="M291" s="33" t="n">
        <x:v>517368.29999999993</x:v>
      </x:c>
      <x:c r="N291" s="33" t="n">
        <x:v>51.73682999999999</x:v>
      </x:c>
      <x:c r="O291" s="22" t="str">
        <x:v>公顷</x:v>
      </x:c>
      <x:c r="P291" s="22" t="str">
        <x:v>未提供（单期横截面）</x:v>
      </x:c>
      <x:c r="Q291" s="23" t="n">
        <x:v>1599</x:v>
      </x:c>
    </x:row>
    <x:row r="292">
      <x:c r="A292" s="30" t="n">
        <x:v>350200</x:v>
      </x:c>
      <x:c r="B292" s="22" t="str">
        <x:v>厦门市</x:v>
      </x:c>
      <x:c r="C292" s="31" t="n">
        <x:v>350211</x:v>
      </x:c>
      <x:c r="D292" s="22" t="str">
        <x:v>集美区</x:v>
      </x:c>
      <x:c r="E292" s="22" t="str">
        <x:v>建设用地</x:v>
      </x:c>
      <x:c r="F292" s="22" t="str">
        <x:v>商业服务业用地</x:v>
      </x:c>
      <x:c r="G292" s="32" t="str">
        <x:v>05H1</x:v>
      </x:c>
      <x:c r="H292" s="32" t="str">
        <x:v>05H1</x:v>
      </x:c>
      <x:c r="I292" s="22" t="str">
        <x:v>商业服务业设施用地</x:v>
      </x:c>
      <x:c r="J292" s="22" t="str">
        <x:v>商业服务</x:v>
      </x:c>
      <x:c r="K292" s="32" t="str">
        <x:v>202</x:v>
      </x:c>
      <x:c r="L292" s="22" t="str">
        <x:v>建制镇范围</x:v>
      </x:c>
      <x:c r="M292" s="33" t="n">
        <x:v>252829.02999999994</x:v>
      </x:c>
      <x:c r="N292" s="33" t="n">
        <x:v>25.282902999999994</x:v>
      </x:c>
      <x:c r="O292" s="22" t="str">
        <x:v>公顷</x:v>
      </x:c>
      <x:c r="P292" s="22" t="str">
        <x:v>未提供（单期横截面）</x:v>
      </x:c>
      <x:c r="Q292" s="23" t="n">
        <x:v>1600</x:v>
      </x:c>
    </x:row>
    <x:row r="293">
      <x:c r="A293" s="30" t="n">
        <x:v>350200</x:v>
      </x:c>
      <x:c r="B293" s="22" t="str">
        <x:v>厦门市</x:v>
      </x:c>
      <x:c r="C293" s="31" t="n">
        <x:v>350211</x:v>
      </x:c>
      <x:c r="D293" s="22" t="str">
        <x:v>集美区</x:v>
      </x:c>
      <x:c r="E293" s="22" t="str">
        <x:v>建设用地</x:v>
      </x:c>
      <x:c r="F293" s="22" t="str">
        <x:v>工矿仓储用地</x:v>
      </x:c>
      <x:c r="G293" s="32" t="str">
        <x:v>601</x:v>
      </x:c>
      <x:c r="H293" s="32" t="str">
        <x:v>601</x:v>
      </x:c>
      <x:c r="I293" s="22" t="str">
        <x:v>工业用地</x:v>
      </x:c>
      <x:c r="J293" s="22" t="str">
        <x:v>产业功能</x:v>
      </x:c>
      <x:c r="K293" s="32" t="str">
        <x:v>202</x:v>
      </x:c>
      <x:c r="L293" s="22" t="str">
        <x:v>建制镇范围</x:v>
      </x:c>
      <x:c r="M293" s="33" t="n">
        <x:v>3469040.879999998</x:v>
      </x:c>
      <x:c r="N293" s="33" t="n">
        <x:v>346.9040879999998</x:v>
      </x:c>
      <x:c r="O293" s="22" t="str">
        <x:v>公顷</x:v>
      </x:c>
      <x:c r="P293" s="22" t="str">
        <x:v>未提供（单期横截面）</x:v>
      </x:c>
      <x:c r="Q293" s="23" t="n">
        <x:v>1601</x:v>
      </x:c>
    </x:row>
    <x:row r="294">
      <x:c r="A294" s="30" t="n">
        <x:v>350200</x:v>
      </x:c>
      <x:c r="B294" s="22" t="str">
        <x:v>厦门市</x:v>
      </x:c>
      <x:c r="C294" s="31" t="n">
        <x:v>350211</x:v>
      </x:c>
      <x:c r="D294" s="22" t="str">
        <x:v>集美区</x:v>
      </x:c>
      <x:c r="E294" s="22" t="str">
        <x:v>建设用地</x:v>
      </x:c>
      <x:c r="F294" s="22" t="str">
        <x:v>工矿仓储用地</x:v>
      </x:c>
      <x:c r="G294" s="32" t="str">
        <x:v>602</x:v>
      </x:c>
      <x:c r="H294" s="32" t="str">
        <x:v>602</x:v>
      </x:c>
      <x:c r="I294" s="22" t="str">
        <x:v>采矿用地</x:v>
      </x:c>
      <x:c r="J294" s="22" t="str">
        <x:v>产业功能</x:v>
      </x:c>
      <x:c r="K294" s="32" t="str">
        <x:v>202</x:v>
      </x:c>
      <x:c r="L294" s="22" t="str">
        <x:v>建制镇范围</x:v>
      </x:c>
      <x:c r="M294" s="33" t="n">
        <x:v>14737</x:v>
      </x:c>
      <x:c r="N294" s="33" t="n">
        <x:v>1.4737</x:v>
      </x:c>
      <x:c r="O294" s="22" t="str">
        <x:v>公顷</x:v>
      </x:c>
      <x:c r="P294" s="22" t="str">
        <x:v>未提供（单期横截面）</x:v>
      </x:c>
      <x:c r="Q294" s="23" t="n">
        <x:v>1602</x:v>
      </x:c>
    </x:row>
    <x:row r="295">
      <x:c r="A295" s="30" t="n">
        <x:v>350200</x:v>
      </x:c>
      <x:c r="B295" s="22" t="str">
        <x:v>厦门市</x:v>
      </x:c>
      <x:c r="C295" s="31" t="n">
        <x:v>350211</x:v>
      </x:c>
      <x:c r="D295" s="22" t="str">
        <x:v>集美区</x:v>
      </x:c>
      <x:c r="E295" s="22" t="str">
        <x:v>建设用地</x:v>
      </x:c>
      <x:c r="F295" s="22" t="str">
        <x:v>居住用地</x:v>
      </x:c>
      <x:c r="G295" s="32" t="str">
        <x:v>701</x:v>
      </x:c>
      <x:c r="H295" s="32" t="str">
        <x:v>701</x:v>
      </x:c>
      <x:c r="I295" s="22" t="str">
        <x:v>城镇住宅用地</x:v>
      </x:c>
      <x:c r="J295" s="22" t="str">
        <x:v>居住功能</x:v>
      </x:c>
      <x:c r="K295" s="32" t="str">
        <x:v>202</x:v>
      </x:c>
      <x:c r="L295" s="22" t="str">
        <x:v>建制镇范围</x:v>
      </x:c>
      <x:c r="M295" s="33" t="n">
        <x:v>1022129.1099999999</x:v>
      </x:c>
      <x:c r="N295" s="33" t="n">
        <x:v>102.21291099999999</x:v>
      </x:c>
      <x:c r="O295" s="22" t="str">
        <x:v>公顷</x:v>
      </x:c>
      <x:c r="P295" s="22" t="str">
        <x:v>未提供（单期横截面）</x:v>
      </x:c>
      <x:c r="Q295" s="23" t="n">
        <x:v>1603</x:v>
      </x:c>
    </x:row>
    <x:row r="296">
      <x:c r="A296" s="30" t="n">
        <x:v>350200</x:v>
      </x:c>
      <x:c r="B296" s="22" t="str">
        <x:v>厦门市</x:v>
      </x:c>
      <x:c r="C296" s="31" t="n">
        <x:v>350211</x:v>
      </x:c>
      <x:c r="D296" s="22" t="str">
        <x:v>集美区</x:v>
      </x:c>
      <x:c r="E296" s="22" t="str">
        <x:v>建设用地</x:v>
      </x:c>
      <x:c r="F296" s="22" t="str">
        <x:v>居住用地</x:v>
      </x:c>
      <x:c r="G296" s="32" t="str">
        <x:v>702</x:v>
      </x:c>
      <x:c r="H296" s="32" t="str">
        <x:v>702</x:v>
      </x:c>
      <x:c r="I296" s="22" t="str">
        <x:v>农村宅基地</x:v>
      </x:c>
      <x:c r="J296" s="22" t="str">
        <x:v>居住功能</x:v>
      </x:c>
      <x:c r="K296" s="32" t="str">
        <x:v>202</x:v>
      </x:c>
      <x:c r="L296" s="22" t="str">
        <x:v>建制镇范围</x:v>
      </x:c>
      <x:c r="M296" s="33" t="n">
        <x:v>2406427.6699999985</x:v>
      </x:c>
      <x:c r="N296" s="33" t="n">
        <x:v>240.64276699999985</x:v>
      </x:c>
      <x:c r="O296" s="22" t="str">
        <x:v>公顷</x:v>
      </x:c>
      <x:c r="P296" s="22" t="str">
        <x:v>未提供（单期横截面）</x:v>
      </x:c>
      <x:c r="Q296" s="23" t="n">
        <x:v>1604</x:v>
      </x:c>
    </x:row>
    <x:row r="297">
      <x:c r="A297" s="30" t="n">
        <x:v>350200</x:v>
      </x:c>
      <x:c r="B297" s="22" t="str">
        <x:v>厦门市</x:v>
      </x:c>
      <x:c r="C297" s="31" t="n">
        <x:v>350211</x:v>
      </x:c>
      <x:c r="D297" s="22" t="str">
        <x:v>集美区</x:v>
      </x:c>
      <x:c r="E297" s="22" t="str">
        <x:v>建设用地</x:v>
      </x:c>
      <x:c r="F297" s="22" t="str">
        <x:v>公用设施用地</x:v>
      </x:c>
      <x:c r="G297" s="32" t="str">
        <x:v>809</x:v>
      </x:c>
      <x:c r="H297" s="32" t="str">
        <x:v>809</x:v>
      </x:c>
      <x:c r="I297" s="22" t="str">
        <x:v>公用设施用地</x:v>
      </x:c>
      <x:c r="J297" s="22" t="str">
        <x:v>其他建设</x:v>
      </x:c>
      <x:c r="K297" s="32" t="str">
        <x:v>202</x:v>
      </x:c>
      <x:c r="L297" s="22" t="str">
        <x:v>建制镇范围</x:v>
      </x:c>
      <x:c r="M297" s="33" t="n">
        <x:v>128250.98</x:v>
      </x:c>
      <x:c r="N297" s="33" t="n">
        <x:v>12.825097999999999</x:v>
      </x:c>
      <x:c r="O297" s="22" t="str">
        <x:v>公顷</x:v>
      </x:c>
      <x:c r="P297" s="22" t="str">
        <x:v>未提供（单期横截面）</x:v>
      </x:c>
      <x:c r="Q297" s="23" t="n">
        <x:v>1605</x:v>
      </x:c>
    </x:row>
    <x:row r="298">
      <x:c r="A298" s="30" t="n">
        <x:v>350200</x:v>
      </x:c>
      <x:c r="B298" s="22" t="str">
        <x:v>厦门市</x:v>
      </x:c>
      <x:c r="C298" s="31" t="n">
        <x:v>350211</x:v>
      </x:c>
      <x:c r="D298" s="22" t="str">
        <x:v>集美区</x:v>
      </x:c>
      <x:c r="E298" s="22" t="str">
        <x:v>建设用地</x:v>
      </x:c>
      <x:c r="F298" s="22" t="str">
        <x:v>绿地与广场用地</x:v>
      </x:c>
      <x:c r="G298" s="32" t="str">
        <x:v>810</x:v>
      </x:c>
      <x:c r="H298" s="32" t="str">
        <x:v>810</x:v>
      </x:c>
      <x:c r="I298" s="22" t="str">
        <x:v>公园与绿地</x:v>
      </x:c>
      <x:c r="J298" s="22" t="str">
        <x:v>公共空间</x:v>
      </x:c>
      <x:c r="K298" s="32" t="str">
        <x:v>202</x:v>
      </x:c>
      <x:c r="L298" s="22" t="str">
        <x:v>建制镇范围</x:v>
      </x:c>
      <x:c r="M298" s="33" t="n">
        <x:v>248183.41000000003</x:v>
      </x:c>
      <x:c r="N298" s="33" t="n">
        <x:v>24.818341000000004</x:v>
      </x:c>
      <x:c r="O298" s="22" t="str">
        <x:v>公顷</x:v>
      </x:c>
      <x:c r="P298" s="22" t="str">
        <x:v>未提供（单期横截面）</x:v>
      </x:c>
      <x:c r="Q298" s="23" t="n">
        <x:v>1606</x:v>
      </x:c>
    </x:row>
    <x:row r="299">
      <x:c r="A299" s="30" t="n">
        <x:v>350200</x:v>
      </x:c>
      <x:c r="B299" s="22" t="str">
        <x:v>厦门市</x:v>
      </x:c>
      <x:c r="C299" s="31" t="n">
        <x:v>350211</x:v>
      </x:c>
      <x:c r="D299" s="22" t="str">
        <x:v>集美区</x:v>
      </x:c>
      <x:c r="E299" s="22" t="str">
        <x:v>建设用地</x:v>
      </x:c>
      <x:c r="F299" s="22" t="str">
        <x:v>绿地与广场用地</x:v>
      </x:c>
      <x:c r="G299" s="32" t="str">
        <x:v>0810A</x:v>
      </x:c>
      <x:c r="H299" s="32" t="str">
        <x:v>0810</x:v>
      </x:c>
      <x:c r="I299" s="22" t="str">
        <x:v>广场用地</x:v>
      </x:c>
      <x:c r="J299" s="22" t="str">
        <x:v>公共空间</x:v>
      </x:c>
      <x:c r="K299" s="32" t="str">
        <x:v>202</x:v>
      </x:c>
      <x:c r="L299" s="22" t="str">
        <x:v>建制镇范围</x:v>
      </x:c>
      <x:c r="M299" s="33" t="n">
        <x:v>34502.350000000006</x:v>
      </x:c>
      <x:c r="N299" s="33" t="n">
        <x:v>3.4502350000000006</x:v>
      </x:c>
      <x:c r="O299" s="22" t="str">
        <x:v>公顷</x:v>
      </x:c>
      <x:c r="P299" s="22" t="str">
        <x:v>未提供（单期横截面）</x:v>
      </x:c>
      <x:c r="Q299" s="23" t="n">
        <x:v>1607</x:v>
      </x:c>
    </x:row>
    <x:row r="300">
      <x:c r="A300" s="30" t="n">
        <x:v>350200</x:v>
      </x:c>
      <x:c r="B300" s="22" t="str">
        <x:v>厦门市</x:v>
      </x:c>
      <x:c r="C300" s="31" t="n">
        <x:v>350211</x:v>
      </x:c>
      <x:c r="D300" s="22" t="str">
        <x:v>集美区</x:v>
      </x:c>
      <x:c r="E300" s="22" t="str">
        <x:v>建设用地</x:v>
      </x:c>
      <x:c r="F300" s="22" t="str">
        <x:v>公共管理与公共服务用地</x:v>
      </x:c>
      <x:c r="G300" s="32" t="str">
        <x:v>08H1</x:v>
      </x:c>
      <x:c r="H300" s="32" t="str">
        <x:v>08H1</x:v>
      </x:c>
      <x:c r="I300" s="22" t="str">
        <x:v>机关团体新闻出版用地</x:v>
      </x:c>
      <x:c r="J300" s="22" t="str">
        <x:v>公共服务</x:v>
      </x:c>
      <x:c r="K300" s="32" t="str">
        <x:v>202</x:v>
      </x:c>
      <x:c r="L300" s="22" t="str">
        <x:v>建制镇范围</x:v>
      </x:c>
      <x:c r="M300" s="33" t="n">
        <x:v>978388.7499999999</x:v>
      </x:c>
      <x:c r="N300" s="33" t="n">
        <x:v>97.83887499999999</x:v>
      </x:c>
      <x:c r="O300" s="22" t="str">
        <x:v>公顷</x:v>
      </x:c>
      <x:c r="P300" s="22" t="str">
        <x:v>未提供（单期横截面）</x:v>
      </x:c>
      <x:c r="Q300" s="23" t="n">
        <x:v>1608</x:v>
      </x:c>
    </x:row>
    <x:row r="301">
      <x:c r="A301" s="30" t="n">
        <x:v>350200</x:v>
      </x:c>
      <x:c r="B301" s="22" t="str">
        <x:v>厦门市</x:v>
      </x:c>
      <x:c r="C301" s="31" t="n">
        <x:v>350211</x:v>
      </x:c>
      <x:c r="D301" s="22" t="str">
        <x:v>集美区</x:v>
      </x:c>
      <x:c r="E301" s="22" t="str">
        <x:v>建设用地</x:v>
      </x:c>
      <x:c r="F301" s="22" t="str">
        <x:v>公共管理与公共服务用地</x:v>
      </x:c>
      <x:c r="G301" s="32" t="str">
        <x:v>08H2</x:v>
      </x:c>
      <x:c r="H301" s="32" t="str">
        <x:v>08H2</x:v>
      </x:c>
      <x:c r="I301" s="22" t="str">
        <x:v>科教文卫用地</x:v>
      </x:c>
      <x:c r="J301" s="22" t="str">
        <x:v>公共服务</x:v>
      </x:c>
      <x:c r="K301" s="32" t="str">
        <x:v>202</x:v>
      </x:c>
      <x:c r="L301" s="22" t="str">
        <x:v>建制镇范围</x:v>
      </x:c>
      <x:c r="M301" s="33" t="n">
        <x:v>394855.75999999995</x:v>
      </x:c>
      <x:c r="N301" s="33" t="n">
        <x:v>39.485575999999995</x:v>
      </x:c>
      <x:c r="O301" s="22" t="str">
        <x:v>公顷</x:v>
      </x:c>
      <x:c r="P301" s="22" t="str">
        <x:v>未提供（单期横截面）</x:v>
      </x:c>
      <x:c r="Q301" s="23" t="n">
        <x:v>1609</x:v>
      </x:c>
    </x:row>
    <x:row r="302">
      <x:c r="A302" s="30" t="n">
        <x:v>350200</x:v>
      </x:c>
      <x:c r="B302" s="22" t="str">
        <x:v>厦门市</x:v>
      </x:c>
      <x:c r="C302" s="31" t="n">
        <x:v>350211</x:v>
      </x:c>
      <x:c r="D302" s="22" t="str">
        <x:v>集美区</x:v>
      </x:c>
      <x:c r="E302" s="22" t="str">
        <x:v>建设用地</x:v>
      </x:c>
      <x:c r="F302" s="22" t="str">
        <x:v>公共管理与公共服务用地</x:v>
      </x:c>
      <x:c r="G302" s="32" t="str">
        <x:v>08H2A</x:v>
      </x:c>
      <x:c r="H302" s="32" t="str">
        <x:v>08H2</x:v>
      </x:c>
      <x:c r="I302" s="22" t="str">
        <x:v>高教用地</x:v>
      </x:c>
      <x:c r="J302" s="22" t="str">
        <x:v>公共服务</x:v>
      </x:c>
      <x:c r="K302" s="32" t="str">
        <x:v>202</x:v>
      </x:c>
      <x:c r="L302" s="22" t="str">
        <x:v>建制镇范围</x:v>
      </x:c>
      <x:c r="M302" s="33" t="n">
        <x:v>2632.12</x:v>
      </x:c>
      <x:c r="N302" s="33" t="n">
        <x:v>0.263212</x:v>
      </x:c>
      <x:c r="O302" s="22" t="str">
        <x:v>公顷</x:v>
      </x:c>
      <x:c r="P302" s="22" t="str">
        <x:v>未提供（单期横截面）</x:v>
      </x:c>
      <x:c r="Q302" s="23" t="n">
        <x:v>1610</x:v>
      </x:c>
    </x:row>
    <x:row r="303">
      <x:c r="A303" s="30" t="n">
        <x:v>350200</x:v>
      </x:c>
      <x:c r="B303" s="22" t="str">
        <x:v>厦门市</x:v>
      </x:c>
      <x:c r="C303" s="31" t="n">
        <x:v>350211</x:v>
      </x:c>
      <x:c r="D303" s="22" t="str">
        <x:v>集美区</x:v>
      </x:c>
      <x:c r="E303" s="22" t="str">
        <x:v>建设用地</x:v>
      </x:c>
      <x:c r="F303" s="22" t="str">
        <x:v>特殊用地</x:v>
      </x:c>
      <x:c r="G303" s="32" t="str">
        <x:v>9</x:v>
      </x:c>
      <x:c r="H303" s="32" t="str">
        <x:v>9</x:v>
      </x:c>
      <x:c r="I303" s="22" t="str">
        <x:v>特殊用地</x:v>
      </x:c>
      <x:c r="J303" s="22" t="str">
        <x:v>其他建设</x:v>
      </x:c>
      <x:c r="K303" s="32" t="str">
        <x:v>202</x:v>
      </x:c>
      <x:c r="L303" s="22" t="str">
        <x:v>建制镇范围</x:v>
      </x:c>
      <x:c r="M303" s="33" t="n">
        <x:v>59100.65</x:v>
      </x:c>
      <x:c r="N303" s="33" t="n">
        <x:v>5.910065</x:v>
      </x:c>
      <x:c r="O303" s="22" t="str">
        <x:v>公顷</x:v>
      </x:c>
      <x:c r="P303" s="22" t="str">
        <x:v>未提供（单期横截面）</x:v>
      </x:c>
      <x:c r="Q303" s="23" t="n">
        <x:v>1611</x:v>
      </x:c>
    </x:row>
    <x:row r="304">
      <x:c r="A304" s="30" t="n">
        <x:v>350200</x:v>
      </x:c>
      <x:c r="B304" s="22" t="str">
        <x:v>厦门市</x:v>
      </x:c>
      <x:c r="C304" s="31" t="n">
        <x:v>350211</x:v>
      </x:c>
      <x:c r="D304" s="22" t="str">
        <x:v>集美区</x:v>
      </x:c>
      <x:c r="E304" s="22" t="str">
        <x:v>建设用地</x:v>
      </x:c>
      <x:c r="F304" s="22" t="str">
        <x:v>交通运输用地</x:v>
      </x:c>
      <x:c r="G304" s="32" t="str">
        <x:v>1001</x:v>
      </x:c>
      <x:c r="H304" s="32" t="str">
        <x:v>1001</x:v>
      </x:c>
      <x:c r="I304" s="22" t="str">
        <x:v>铁路用地</x:v>
      </x:c>
      <x:c r="J304" s="22" t="str">
        <x:v>交通门户</x:v>
      </x:c>
      <x:c r="K304" s="32" t="str">
        <x:v>202</x:v>
      </x:c>
      <x:c r="L304" s="22" t="str">
        <x:v>建制镇范围</x:v>
      </x:c>
      <x:c r="M304" s="33" t="n">
        <x:v>12317.27</x:v>
      </x:c>
      <x:c r="N304" s="33" t="n">
        <x:v>1.231727</x:v>
      </x:c>
      <x:c r="O304" s="22" t="str">
        <x:v>公顷</x:v>
      </x:c>
      <x:c r="P304" s="22" t="str">
        <x:v>未提供（单期横截面）</x:v>
      </x:c>
      <x:c r="Q304" s="23" t="n">
        <x:v>1612</x:v>
      </x:c>
    </x:row>
    <x:row r="305">
      <x:c r="A305" s="30" t="n">
        <x:v>350200</x:v>
      </x:c>
      <x:c r="B305" s="22" t="str">
        <x:v>厦门市</x:v>
      </x:c>
      <x:c r="C305" s="31" t="n">
        <x:v>350211</x:v>
      </x:c>
      <x:c r="D305" s="22" t="str">
        <x:v>集美区</x:v>
      </x:c>
      <x:c r="E305" s="22" t="str">
        <x:v>建设用地</x:v>
      </x:c>
      <x:c r="F305" s="22" t="str">
        <x:v>交通运输用地</x:v>
      </x:c>
      <x:c r="G305" s="32" t="str">
        <x:v>1002</x:v>
      </x:c>
      <x:c r="H305" s="32" t="str">
        <x:v>1002</x:v>
      </x:c>
      <x:c r="I305" s="22" t="str">
        <x:v>轨道交通用地</x:v>
      </x:c>
      <x:c r="J305" s="22" t="str">
        <x:v>交通门户</x:v>
      </x:c>
      <x:c r="K305" s="32" t="str">
        <x:v>202</x:v>
      </x:c>
      <x:c r="L305" s="22" t="str">
        <x:v>建制镇范围</x:v>
      </x:c>
      <x:c r="M305" s="33" t="n">
        <x:v>8603.65</x:v>
      </x:c>
      <x:c r="N305" s="33" t="n">
        <x:v>0.8603649999999999</x:v>
      </x:c>
      <x:c r="O305" s="22" t="str">
        <x:v>公顷</x:v>
      </x:c>
      <x:c r="P305" s="22" t="str">
        <x:v>未提供（单期横截面）</x:v>
      </x:c>
      <x:c r="Q305" s="23" t="n">
        <x:v>1613</x:v>
      </x:c>
    </x:row>
    <x:row r="306">
      <x:c r="A306" s="30" t="n">
        <x:v>350200</x:v>
      </x:c>
      <x:c r="B306" s="22" t="str">
        <x:v>厦门市</x:v>
      </x:c>
      <x:c r="C306" s="31" t="n">
        <x:v>350211</x:v>
      </x:c>
      <x:c r="D306" s="22" t="str">
        <x:v>集美区</x:v>
      </x:c>
      <x:c r="E306" s="22" t="str">
        <x:v>建设用地</x:v>
      </x:c>
      <x:c r="F306" s="22" t="str">
        <x:v>交通运输用地</x:v>
      </x:c>
      <x:c r="G306" s="32" t="str">
        <x:v>1003</x:v>
      </x:c>
      <x:c r="H306" s="32" t="str">
        <x:v>1003</x:v>
      </x:c>
      <x:c r="I306" s="22" t="str">
        <x:v>公路用地</x:v>
      </x:c>
      <x:c r="J306" s="22" t="str">
        <x:v>交通门户</x:v>
      </x:c>
      <x:c r="K306" s="32" t="str">
        <x:v>202</x:v>
      </x:c>
      <x:c r="L306" s="22" t="str">
        <x:v>建制镇范围</x:v>
      </x:c>
      <x:c r="M306" s="33" t="n">
        <x:v>4656.8</x:v>
      </x:c>
      <x:c r="N306" s="33" t="n">
        <x:v>0.46568000000000004</x:v>
      </x:c>
      <x:c r="O306" s="22" t="str">
        <x:v>公顷</x:v>
      </x:c>
      <x:c r="P306" s="22" t="str">
        <x:v>未提供（单期横截面）</x:v>
      </x:c>
      <x:c r="Q306" s="23" t="n">
        <x:v>1614</x:v>
      </x:c>
    </x:row>
    <x:row r="307">
      <x:c r="A307" s="30" t="n">
        <x:v>350200</x:v>
      </x:c>
      <x:c r="B307" s="22" t="str">
        <x:v>厦门市</x:v>
      </x:c>
      <x:c r="C307" s="31" t="n">
        <x:v>350211</x:v>
      </x:c>
      <x:c r="D307" s="22" t="str">
        <x:v>集美区</x:v>
      </x:c>
      <x:c r="E307" s="22" t="str">
        <x:v>建设用地</x:v>
      </x:c>
      <x:c r="F307" s="22" t="str">
        <x:v>交通运输用地</x:v>
      </x:c>
      <x:c r="G307" s="32" t="str">
        <x:v>1004</x:v>
      </x:c>
      <x:c r="H307" s="32" t="str">
        <x:v>1004</x:v>
      </x:c>
      <x:c r="I307" s="22" t="str">
        <x:v>城镇村道路用地</x:v>
      </x:c>
      <x:c r="J307" s="22" t="str">
        <x:v>交通门户</x:v>
      </x:c>
      <x:c r="K307" s="32" t="str">
        <x:v>202</x:v>
      </x:c>
      <x:c r="L307" s="22" t="str">
        <x:v>建制镇范围</x:v>
      </x:c>
      <x:c r="M307" s="33" t="n">
        <x:v>746852.0199999998</x:v>
      </x:c>
      <x:c r="N307" s="33" t="n">
        <x:v>74.68520199999998</x:v>
      </x:c>
      <x:c r="O307" s="22" t="str">
        <x:v>公顷</x:v>
      </x:c>
      <x:c r="P307" s="22" t="str">
        <x:v>未提供（单期横截面）</x:v>
      </x:c>
      <x:c r="Q307" s="23" t="n">
        <x:v>1615</x:v>
      </x:c>
    </x:row>
    <x:row r="308">
      <x:c r="A308" s="30" t="n">
        <x:v>350200</x:v>
      </x:c>
      <x:c r="B308" s="22" t="str">
        <x:v>厦门市</x:v>
      </x:c>
      <x:c r="C308" s="31" t="n">
        <x:v>350211</x:v>
      </x:c>
      <x:c r="D308" s="22" t="str">
        <x:v>集美区</x:v>
      </x:c>
      <x:c r="E308" s="22" t="str">
        <x:v>建设用地</x:v>
      </x:c>
      <x:c r="F308" s="22" t="str">
        <x:v>交通运输用地</x:v>
      </x:c>
      <x:c r="G308" s="32" t="str">
        <x:v>1005</x:v>
      </x:c>
      <x:c r="H308" s="32" t="str">
        <x:v>1005</x:v>
      </x:c>
      <x:c r="I308" s="22" t="str">
        <x:v>交通服务场站用地</x:v>
      </x:c>
      <x:c r="J308" s="22" t="str">
        <x:v>交通门户</x:v>
      </x:c>
      <x:c r="K308" s="32" t="str">
        <x:v>202</x:v>
      </x:c>
      <x:c r="L308" s="22" t="str">
        <x:v>建制镇范围</x:v>
      </x:c>
      <x:c r="M308" s="33" t="n">
        <x:v>141462.15000000002</x:v>
      </x:c>
      <x:c r="N308" s="33" t="n">
        <x:v>14.146215000000002</x:v>
      </x:c>
      <x:c r="O308" s="22" t="str">
        <x:v>公顷</x:v>
      </x:c>
      <x:c r="P308" s="22" t="str">
        <x:v>未提供（单期横截面）</x:v>
      </x:c>
      <x:c r="Q308" s="23" t="n">
        <x:v>1616</x:v>
      </x:c>
    </x:row>
    <x:row r="309">
      <x:c r="A309" s="30" t="n">
        <x:v>350200</x:v>
      </x:c>
      <x:c r="B309" s="22" t="str">
        <x:v>厦门市</x:v>
      </x:c>
      <x:c r="C309" s="31" t="n">
        <x:v>350211</x:v>
      </x:c>
      <x:c r="D309" s="22" t="str">
        <x:v>集美区</x:v>
      </x:c>
      <x:c r="E309" s="22" t="str">
        <x:v>建设用地</x:v>
      </x:c>
      <x:c r="F309" s="22" t="str">
        <x:v>其他建设用地</x:v>
      </x:c>
      <x:c r="G309" s="32" t="str">
        <x:v>1201</x:v>
      </x:c>
      <x:c r="H309" s="32" t="str">
        <x:v>1201</x:v>
      </x:c>
      <x:c r="I309" s="22" t="str">
        <x:v>空闲地</x:v>
      </x:c>
      <x:c r="J309" s="22" t="str">
        <x:v>其他建设</x:v>
      </x:c>
      <x:c r="K309" s="32" t="str">
        <x:v>202</x:v>
      </x:c>
      <x:c r="L309" s="22" t="str">
        <x:v>建制镇范围</x:v>
      </x:c>
      <x:c r="M309" s="33" t="n">
        <x:v>128358.71</x:v>
      </x:c>
      <x:c r="N309" s="33" t="n">
        <x:v>12.835871000000001</x:v>
      </x:c>
      <x:c r="O309" s="22" t="str">
        <x:v>公顷</x:v>
      </x:c>
      <x:c r="P309" s="22" t="str">
        <x:v>未提供（单期横截面）</x:v>
      </x:c>
      <x:c r="Q309" s="23" t="n">
        <x:v>1617</x:v>
      </x:c>
    </x:row>
    <x:row r="310">
      <x:c r="A310" s="30" t="n">
        <x:v>350200</x:v>
      </x:c>
      <x:c r="B310" s="22" t="str">
        <x:v>厦门市</x:v>
      </x:c>
      <x:c r="C310" s="31" t="n">
        <x:v>350211</x:v>
      </x:c>
      <x:c r="D310" s="22" t="str">
        <x:v>集美区</x:v>
      </x:c>
      <x:c r="E310" s="22" t="str">
        <x:v>建设用地</x:v>
      </x:c>
      <x:c r="F310" s="22" t="str">
        <x:v>工矿仓储用地</x:v>
      </x:c>
      <x:c r="G310" s="32" t="str">
        <x:v>601</x:v>
      </x:c>
      <x:c r="H310" s="32" t="str">
        <x:v>601</x:v>
      </x:c>
      <x:c r="I310" s="22" t="str">
        <x:v>工业用地</x:v>
      </x:c>
      <x:c r="J310" s="22" t="str">
        <x:v>产业功能</x:v>
      </x:c>
      <x:c r="K310" s="32" t="str">
        <x:v>202A</x:v>
      </x:c>
      <x:c r="L310" s="22" t="str">
        <x:v>建制镇独立工业用地</x:v>
      </x:c>
      <x:c r="M310" s="33" t="n">
        <x:v>107761.72</x:v>
      </x:c>
      <x:c r="N310" s="33" t="n">
        <x:v>10.776172</x:v>
      </x:c>
      <x:c r="O310" s="22" t="str">
        <x:v>公顷</x:v>
      </x:c>
      <x:c r="P310" s="22" t="str">
        <x:v>未提供（单期横截面）</x:v>
      </x:c>
      <x:c r="Q310" s="23" t="n">
        <x:v>1618</x:v>
      </x:c>
    </x:row>
    <x:row r="311">
      <x:c r="A311" s="30" t="n">
        <x:v>350200</x:v>
      </x:c>
      <x:c r="B311" s="22" t="str">
        <x:v>厦门市</x:v>
      </x:c>
      <x:c r="C311" s="31" t="n">
        <x:v>350211</x:v>
      </x:c>
      <x:c r="D311" s="22" t="str">
        <x:v>集美区</x:v>
      </x:c>
      <x:c r="E311" s="22" t="str">
        <x:v>建设用地</x:v>
      </x:c>
      <x:c r="F311" s="22" t="str">
        <x:v>工矿仓储用地</x:v>
      </x:c>
      <x:c r="G311" s="32" t="str">
        <x:v>508</x:v>
      </x:c>
      <x:c r="H311" s="32" t="str">
        <x:v>508</x:v>
      </x:c>
      <x:c r="I311" s="22" t="str">
        <x:v>物流仓储用地</x:v>
      </x:c>
      <x:c r="J311" s="22" t="str">
        <x:v>产业功能</x:v>
      </x:c>
      <x:c r="K311" s="32" t="str">
        <x:v>203</x:v>
      </x:c>
      <x:c r="L311" s="22" t="str">
        <x:v>村庄范围</x:v>
      </x:c>
      <x:c r="M311" s="33" t="n">
        <x:v>21773.35</x:v>
      </x:c>
      <x:c r="N311" s="33" t="n">
        <x:v>2.177335</x:v>
      </x:c>
      <x:c r="O311" s="22" t="str">
        <x:v>公顷</x:v>
      </x:c>
      <x:c r="P311" s="22" t="str">
        <x:v>未提供（单期横截面）</x:v>
      </x:c>
      <x:c r="Q311" s="23" t="n">
        <x:v>1619</x:v>
      </x:c>
    </x:row>
    <x:row r="312">
      <x:c r="A312" s="30" t="n">
        <x:v>350200</x:v>
      </x:c>
      <x:c r="B312" s="22" t="str">
        <x:v>厦门市</x:v>
      </x:c>
      <x:c r="C312" s="31" t="n">
        <x:v>350211</x:v>
      </x:c>
      <x:c r="D312" s="22" t="str">
        <x:v>集美区</x:v>
      </x:c>
      <x:c r="E312" s="22" t="str">
        <x:v>建设用地</x:v>
      </x:c>
      <x:c r="F312" s="22" t="str">
        <x:v>商业服务业用地</x:v>
      </x:c>
      <x:c r="G312" s="32" t="str">
        <x:v>05H1</x:v>
      </x:c>
      <x:c r="H312" s="32" t="str">
        <x:v>05H1</x:v>
      </x:c>
      <x:c r="I312" s="22" t="str">
        <x:v>商业服务业设施用地</x:v>
      </x:c>
      <x:c r="J312" s="22" t="str">
        <x:v>商业服务</x:v>
      </x:c>
      <x:c r="K312" s="32" t="str">
        <x:v>203</x:v>
      </x:c>
      <x:c r="L312" s="22" t="str">
        <x:v>村庄范围</x:v>
      </x:c>
      <x:c r="M312" s="33" t="n">
        <x:v>633538.8299999998</x:v>
      </x:c>
      <x:c r="N312" s="33" t="n">
        <x:v>63.35388299999998</x:v>
      </x:c>
      <x:c r="O312" s="22" t="str">
        <x:v>公顷</x:v>
      </x:c>
      <x:c r="P312" s="22" t="str">
        <x:v>未提供（单期横截面）</x:v>
      </x:c>
      <x:c r="Q312" s="23" t="n">
        <x:v>1620</x:v>
      </x:c>
    </x:row>
    <x:row r="313">
      <x:c r="A313" s="30" t="n">
        <x:v>350200</x:v>
      </x:c>
      <x:c r="B313" s="22" t="str">
        <x:v>厦门市</x:v>
      </x:c>
      <x:c r="C313" s="31" t="n">
        <x:v>350211</x:v>
      </x:c>
      <x:c r="D313" s="22" t="str">
        <x:v>集美区</x:v>
      </x:c>
      <x:c r="E313" s="22" t="str">
        <x:v>建设用地</x:v>
      </x:c>
      <x:c r="F313" s="22" t="str">
        <x:v>工矿仓储用地</x:v>
      </x:c>
      <x:c r="G313" s="32" t="str">
        <x:v>601</x:v>
      </x:c>
      <x:c r="H313" s="32" t="str">
        <x:v>601</x:v>
      </x:c>
      <x:c r="I313" s="22" t="str">
        <x:v>工业用地</x:v>
      </x:c>
      <x:c r="J313" s="22" t="str">
        <x:v>产业功能</x:v>
      </x:c>
      <x:c r="K313" s="32" t="str">
        <x:v>203</x:v>
      </x:c>
      <x:c r="L313" s="22" t="str">
        <x:v>村庄范围</x:v>
      </x:c>
      <x:c r="M313" s="33" t="n">
        <x:v>1439107.6399999997</x:v>
      </x:c>
      <x:c r="N313" s="33" t="n">
        <x:v>143.91076399999997</x:v>
      </x:c>
      <x:c r="O313" s="22" t="str">
        <x:v>公顷</x:v>
      </x:c>
      <x:c r="P313" s="22" t="str">
        <x:v>未提供（单期横截面）</x:v>
      </x:c>
      <x:c r="Q313" s="23" t="n">
        <x:v>1621</x:v>
      </x:c>
    </x:row>
    <x:row r="314">
      <x:c r="A314" s="30" t="n">
        <x:v>350200</x:v>
      </x:c>
      <x:c r="B314" s="22" t="str">
        <x:v>厦门市</x:v>
      </x:c>
      <x:c r="C314" s="31" t="n">
        <x:v>350211</x:v>
      </x:c>
      <x:c r="D314" s="22" t="str">
        <x:v>集美区</x:v>
      </x:c>
      <x:c r="E314" s="22" t="str">
        <x:v>建设用地</x:v>
      </x:c>
      <x:c r="F314" s="22" t="str">
        <x:v>工矿仓储用地</x:v>
      </x:c>
      <x:c r="G314" s="32" t="str">
        <x:v>602</x:v>
      </x:c>
      <x:c r="H314" s="32" t="str">
        <x:v>602</x:v>
      </x:c>
      <x:c r="I314" s="22" t="str">
        <x:v>采矿用地</x:v>
      </x:c>
      <x:c r="J314" s="22" t="str">
        <x:v>产业功能</x:v>
      </x:c>
      <x:c r="K314" s="32" t="str">
        <x:v>203</x:v>
      </x:c>
      <x:c r="L314" s="22" t="str">
        <x:v>村庄范围</x:v>
      </x:c>
      <x:c r="M314" s="33" t="n">
        <x:v>234276.90000000002</x:v>
      </x:c>
      <x:c r="N314" s="33" t="n">
        <x:v>23.427690000000002</x:v>
      </x:c>
      <x:c r="O314" s="22" t="str">
        <x:v>公顷</x:v>
      </x:c>
      <x:c r="P314" s="22" t="str">
        <x:v>未提供（单期横截面）</x:v>
      </x:c>
      <x:c r="Q314" s="23" t="n">
        <x:v>1622</x:v>
      </x:c>
    </x:row>
    <x:row r="315">
      <x:c r="A315" s="30" t="n">
        <x:v>350200</x:v>
      </x:c>
      <x:c r="B315" s="22" t="str">
        <x:v>厦门市</x:v>
      </x:c>
      <x:c r="C315" s="31" t="n">
        <x:v>350211</x:v>
      </x:c>
      <x:c r="D315" s="22" t="str">
        <x:v>集美区</x:v>
      </x:c>
      <x:c r="E315" s="22" t="str">
        <x:v>建设用地</x:v>
      </x:c>
      <x:c r="F315" s="22" t="str">
        <x:v>居住用地</x:v>
      </x:c>
      <x:c r="G315" s="32" t="str">
        <x:v>701</x:v>
      </x:c>
      <x:c r="H315" s="32" t="str">
        <x:v>701</x:v>
      </x:c>
      <x:c r="I315" s="22" t="str">
        <x:v>城镇住宅用地</x:v>
      </x:c>
      <x:c r="J315" s="22" t="str">
        <x:v>居住功能</x:v>
      </x:c>
      <x:c r="K315" s="32" t="str">
        <x:v>203</x:v>
      </x:c>
      <x:c r="L315" s="22" t="str">
        <x:v>村庄范围</x:v>
      </x:c>
      <x:c r="M315" s="33" t="n">
        <x:v>3685.51</x:v>
      </x:c>
      <x:c r="N315" s="33" t="n">
        <x:v>0.368551</x:v>
      </x:c>
      <x:c r="O315" s="22" t="str">
        <x:v>公顷</x:v>
      </x:c>
      <x:c r="P315" s="22" t="str">
        <x:v>未提供（单期横截面）</x:v>
      </x:c>
      <x:c r="Q315" s="23" t="n">
        <x:v>1623</x:v>
      </x:c>
    </x:row>
    <x:row r="316">
      <x:c r="A316" s="30" t="n">
        <x:v>350200</x:v>
      </x:c>
      <x:c r="B316" s="22" t="str">
        <x:v>厦门市</x:v>
      </x:c>
      <x:c r="C316" s="31" t="n">
        <x:v>350211</x:v>
      </x:c>
      <x:c r="D316" s="22" t="str">
        <x:v>集美区</x:v>
      </x:c>
      <x:c r="E316" s="22" t="str">
        <x:v>建设用地</x:v>
      </x:c>
      <x:c r="F316" s="22" t="str">
        <x:v>居住用地</x:v>
      </x:c>
      <x:c r="G316" s="32" t="str">
        <x:v>702</x:v>
      </x:c>
      <x:c r="H316" s="32" t="str">
        <x:v>702</x:v>
      </x:c>
      <x:c r="I316" s="22" t="str">
        <x:v>农村宅基地</x:v>
      </x:c>
      <x:c r="J316" s="22" t="str">
        <x:v>居住功能</x:v>
      </x:c>
      <x:c r="K316" s="32" t="str">
        <x:v>203</x:v>
      </x:c>
      <x:c r="L316" s="22" t="str">
        <x:v>村庄范围</x:v>
      </x:c>
      <x:c r="M316" s="33" t="n">
        <x:v>5791801.050000002</x:v>
      </x:c>
      <x:c r="N316" s="33" t="n">
        <x:v>579.1801050000001</x:v>
      </x:c>
      <x:c r="O316" s="22" t="str">
        <x:v>公顷</x:v>
      </x:c>
      <x:c r="P316" s="22" t="str">
        <x:v>未提供（单期横截面）</x:v>
      </x:c>
      <x:c r="Q316" s="23" t="n">
        <x:v>1624</x:v>
      </x:c>
    </x:row>
    <x:row r="317">
      <x:c r="A317" s="30" t="n">
        <x:v>350200</x:v>
      </x:c>
      <x:c r="B317" s="22" t="str">
        <x:v>厦门市</x:v>
      </x:c>
      <x:c r="C317" s="31" t="n">
        <x:v>350211</x:v>
      </x:c>
      <x:c r="D317" s="22" t="str">
        <x:v>集美区</x:v>
      </x:c>
      <x:c r="E317" s="22" t="str">
        <x:v>建设用地</x:v>
      </x:c>
      <x:c r="F317" s="22" t="str">
        <x:v>公用设施用地</x:v>
      </x:c>
      <x:c r="G317" s="32" t="str">
        <x:v>809</x:v>
      </x:c>
      <x:c r="H317" s="32" t="str">
        <x:v>809</x:v>
      </x:c>
      <x:c r="I317" s="22" t="str">
        <x:v>公用设施用地</x:v>
      </x:c>
      <x:c r="J317" s="22" t="str">
        <x:v>其他建设</x:v>
      </x:c>
      <x:c r="K317" s="32" t="str">
        <x:v>203</x:v>
      </x:c>
      <x:c r="L317" s="22" t="str">
        <x:v>村庄范围</x:v>
      </x:c>
      <x:c r="M317" s="33" t="n">
        <x:v>202678.6899999999</x:v>
      </x:c>
      <x:c r="N317" s="33" t="n">
        <x:v>20.26786899999999</x:v>
      </x:c>
      <x:c r="O317" s="22" t="str">
        <x:v>公顷</x:v>
      </x:c>
      <x:c r="P317" s="22" t="str">
        <x:v>未提供（单期横截面）</x:v>
      </x:c>
      <x:c r="Q317" s="23" t="n">
        <x:v>1625</x:v>
      </x:c>
    </x:row>
    <x:row r="318">
      <x:c r="A318" s="30" t="n">
        <x:v>350200</x:v>
      </x:c>
      <x:c r="B318" s="22" t="str">
        <x:v>厦门市</x:v>
      </x:c>
      <x:c r="C318" s="31" t="n">
        <x:v>350211</x:v>
      </x:c>
      <x:c r="D318" s="22" t="str">
        <x:v>集美区</x:v>
      </x:c>
      <x:c r="E318" s="22" t="str">
        <x:v>建设用地</x:v>
      </x:c>
      <x:c r="F318" s="22" t="str">
        <x:v>绿地与广场用地</x:v>
      </x:c>
      <x:c r="G318" s="32" t="str">
        <x:v>810</x:v>
      </x:c>
      <x:c r="H318" s="32" t="str">
        <x:v>810</x:v>
      </x:c>
      <x:c r="I318" s="22" t="str">
        <x:v>公园与绿地</x:v>
      </x:c>
      <x:c r="J318" s="22" t="str">
        <x:v>公共空间</x:v>
      </x:c>
      <x:c r="K318" s="32" t="str">
        <x:v>203</x:v>
      </x:c>
      <x:c r="L318" s="22" t="str">
        <x:v>村庄范围</x:v>
      </x:c>
      <x:c r="M318" s="33" t="n">
        <x:v>39720.6</x:v>
      </x:c>
      <x:c r="N318" s="33" t="n">
        <x:v>3.97206</x:v>
      </x:c>
      <x:c r="O318" s="22" t="str">
        <x:v>公顷</x:v>
      </x:c>
      <x:c r="P318" s="22" t="str">
        <x:v>未提供（单期横截面）</x:v>
      </x:c>
      <x:c r="Q318" s="23" t="n">
        <x:v>1626</x:v>
      </x:c>
    </x:row>
    <x:row r="319">
      <x:c r="A319" s="30" t="n">
        <x:v>350200</x:v>
      </x:c>
      <x:c r="B319" s="22" t="str">
        <x:v>厦门市</x:v>
      </x:c>
      <x:c r="C319" s="31" t="n">
        <x:v>350211</x:v>
      </x:c>
      <x:c r="D319" s="22" t="str">
        <x:v>集美区</x:v>
      </x:c>
      <x:c r="E319" s="22" t="str">
        <x:v>建设用地</x:v>
      </x:c>
      <x:c r="F319" s="22" t="str">
        <x:v>绿地与广场用地</x:v>
      </x:c>
      <x:c r="G319" s="32" t="str">
        <x:v>0810A</x:v>
      </x:c>
      <x:c r="H319" s="32" t="str">
        <x:v>0810</x:v>
      </x:c>
      <x:c r="I319" s="22" t="str">
        <x:v>广场用地</x:v>
      </x:c>
      <x:c r="J319" s="22" t="str">
        <x:v>公共空间</x:v>
      </x:c>
      <x:c r="K319" s="32" t="str">
        <x:v>203</x:v>
      </x:c>
      <x:c r="L319" s="22" t="str">
        <x:v>村庄范围</x:v>
      </x:c>
      <x:c r="M319" s="33" t="n">
        <x:v>6549.33</x:v>
      </x:c>
      <x:c r="N319" s="33" t="n">
        <x:v>0.654933</x:v>
      </x:c>
      <x:c r="O319" s="22" t="str">
        <x:v>公顷</x:v>
      </x:c>
      <x:c r="P319" s="22" t="str">
        <x:v>未提供（单期横截面）</x:v>
      </x:c>
      <x:c r="Q319" s="23" t="n">
        <x:v>1627</x:v>
      </x:c>
    </x:row>
    <x:row r="320">
      <x:c r="A320" s="30" t="n">
        <x:v>350200</x:v>
      </x:c>
      <x:c r="B320" s="22" t="str">
        <x:v>厦门市</x:v>
      </x:c>
      <x:c r="C320" s="31" t="n">
        <x:v>350211</x:v>
      </x:c>
      <x:c r="D320" s="22" t="str">
        <x:v>集美区</x:v>
      </x:c>
      <x:c r="E320" s="22" t="str">
        <x:v>建设用地</x:v>
      </x:c>
      <x:c r="F320" s="22" t="str">
        <x:v>公共管理与公共服务用地</x:v>
      </x:c>
      <x:c r="G320" s="32" t="str">
        <x:v>08H1</x:v>
      </x:c>
      <x:c r="H320" s="32" t="str">
        <x:v>08H1</x:v>
      </x:c>
      <x:c r="I320" s="22" t="str">
        <x:v>机关团体新闻出版用地</x:v>
      </x:c>
      <x:c r="J320" s="22" t="str">
        <x:v>公共服务</x:v>
      </x:c>
      <x:c r="K320" s="32" t="str">
        <x:v>203</x:v>
      </x:c>
      <x:c r="L320" s="22" t="str">
        <x:v>村庄范围</x:v>
      </x:c>
      <x:c r="M320" s="33" t="n">
        <x:v>30392.989999999998</x:v>
      </x:c>
      <x:c r="N320" s="33" t="n">
        <x:v>3.0392989999999998</x:v>
      </x:c>
      <x:c r="O320" s="22" t="str">
        <x:v>公顷</x:v>
      </x:c>
      <x:c r="P320" s="22" t="str">
        <x:v>未提供（单期横截面）</x:v>
      </x:c>
      <x:c r="Q320" s="23" t="n">
        <x:v>1628</x:v>
      </x:c>
    </x:row>
    <x:row r="321">
      <x:c r="A321" s="30" t="n">
        <x:v>350200</x:v>
      </x:c>
      <x:c r="B321" s="22" t="str">
        <x:v>厦门市</x:v>
      </x:c>
      <x:c r="C321" s="31" t="n">
        <x:v>350211</x:v>
      </x:c>
      <x:c r="D321" s="22" t="str">
        <x:v>集美区</x:v>
      </x:c>
      <x:c r="E321" s="22" t="str">
        <x:v>建设用地</x:v>
      </x:c>
      <x:c r="F321" s="22" t="str">
        <x:v>公共管理与公共服务用地</x:v>
      </x:c>
      <x:c r="G321" s="32" t="str">
        <x:v>08H2</x:v>
      </x:c>
      <x:c r="H321" s="32" t="str">
        <x:v>08H2</x:v>
      </x:c>
      <x:c r="I321" s="22" t="str">
        <x:v>科教文卫用地</x:v>
      </x:c>
      <x:c r="J321" s="22" t="str">
        <x:v>公共服务</x:v>
      </x:c>
      <x:c r="K321" s="32" t="str">
        <x:v>203</x:v>
      </x:c>
      <x:c r="L321" s="22" t="str">
        <x:v>村庄范围</x:v>
      </x:c>
      <x:c r="M321" s="33" t="n">
        <x:v>137037.77</x:v>
      </x:c>
      <x:c r="N321" s="33" t="n">
        <x:v>13.703776999999999</x:v>
      </x:c>
      <x:c r="O321" s="22" t="str">
        <x:v>公顷</x:v>
      </x:c>
      <x:c r="P321" s="22" t="str">
        <x:v>未提供（单期横截面）</x:v>
      </x:c>
      <x:c r="Q321" s="23" t="n">
        <x:v>1629</x:v>
      </x:c>
    </x:row>
    <x:row r="322">
      <x:c r="A322" s="30" t="n">
        <x:v>350200</x:v>
      </x:c>
      <x:c r="B322" s="22" t="str">
        <x:v>厦门市</x:v>
      </x:c>
      <x:c r="C322" s="31" t="n">
        <x:v>350211</x:v>
      </x:c>
      <x:c r="D322" s="22" t="str">
        <x:v>集美区</x:v>
      </x:c>
      <x:c r="E322" s="22" t="str">
        <x:v>建设用地</x:v>
      </x:c>
      <x:c r="F322" s="22" t="str">
        <x:v>特殊用地</x:v>
      </x:c>
      <x:c r="G322" s="32" t="str">
        <x:v>9</x:v>
      </x:c>
      <x:c r="H322" s="32" t="str">
        <x:v>9</x:v>
      </x:c>
      <x:c r="I322" s="22" t="str">
        <x:v>特殊用地</x:v>
      </x:c>
      <x:c r="J322" s="22" t="str">
        <x:v>其他建设</x:v>
      </x:c>
      <x:c r="K322" s="32" t="str">
        <x:v>203</x:v>
      </x:c>
      <x:c r="L322" s="22" t="str">
        <x:v>村庄范围</x:v>
      </x:c>
      <x:c r="M322" s="33" t="n">
        <x:v>93625.19999999998</x:v>
      </x:c>
      <x:c r="N322" s="33" t="n">
        <x:v>9.362519999999998</x:v>
      </x:c>
      <x:c r="O322" s="22" t="str">
        <x:v>公顷</x:v>
      </x:c>
      <x:c r="P322" s="22" t="str">
        <x:v>未提供（单期横截面）</x:v>
      </x:c>
      <x:c r="Q322" s="23" t="n">
        <x:v>1630</x:v>
      </x:c>
    </x:row>
    <x:row r="323">
      <x:c r="A323" s="30" t="n">
        <x:v>350200</x:v>
      </x:c>
      <x:c r="B323" s="22" t="str">
        <x:v>厦门市</x:v>
      </x:c>
      <x:c r="C323" s="31" t="n">
        <x:v>350211</x:v>
      </x:c>
      <x:c r="D323" s="22" t="str">
        <x:v>集美区</x:v>
      </x:c>
      <x:c r="E323" s="22" t="str">
        <x:v>建设用地</x:v>
      </x:c>
      <x:c r="F323" s="22" t="str">
        <x:v>交通运输用地</x:v>
      </x:c>
      <x:c r="G323" s="32" t="str">
        <x:v>1002</x:v>
      </x:c>
      <x:c r="H323" s="32" t="str">
        <x:v>1002</x:v>
      </x:c>
      <x:c r="I323" s="22" t="str">
        <x:v>轨道交通用地</x:v>
      </x:c>
      <x:c r="J323" s="22" t="str">
        <x:v>交通门户</x:v>
      </x:c>
      <x:c r="K323" s="32" t="str">
        <x:v>203</x:v>
      </x:c>
      <x:c r="L323" s="22" t="str">
        <x:v>村庄范围</x:v>
      </x:c>
      <x:c r="M323" s="33" t="n">
        <x:v>88843.79000000001</x:v>
      </x:c>
      <x:c r="N323" s="33" t="n">
        <x:v>8.884379000000001</x:v>
      </x:c>
      <x:c r="O323" s="22" t="str">
        <x:v>公顷</x:v>
      </x:c>
      <x:c r="P323" s="22" t="str">
        <x:v>未提供（单期横截面）</x:v>
      </x:c>
      <x:c r="Q323" s="23" t="n">
        <x:v>1631</x:v>
      </x:c>
    </x:row>
    <x:row r="324">
      <x:c r="A324" s="30" t="n">
        <x:v>350200</x:v>
      </x:c>
      <x:c r="B324" s="22" t="str">
        <x:v>厦门市</x:v>
      </x:c>
      <x:c r="C324" s="31" t="n">
        <x:v>350211</x:v>
      </x:c>
      <x:c r="D324" s="22" t="str">
        <x:v>集美区</x:v>
      </x:c>
      <x:c r="E324" s="22" t="str">
        <x:v>建设用地</x:v>
      </x:c>
      <x:c r="F324" s="22" t="str">
        <x:v>交通运输用地</x:v>
      </x:c>
      <x:c r="G324" s="32" t="str">
        <x:v>1003</x:v>
      </x:c>
      <x:c r="H324" s="32" t="str">
        <x:v>1003</x:v>
      </x:c>
      <x:c r="I324" s="22" t="str">
        <x:v>公路用地</x:v>
      </x:c>
      <x:c r="J324" s="22" t="str">
        <x:v>交通门户</x:v>
      </x:c>
      <x:c r="K324" s="32" t="str">
        <x:v>203</x:v>
      </x:c>
      <x:c r="L324" s="22" t="str">
        <x:v>村庄范围</x:v>
      </x:c>
      <x:c r="M324" s="33" t="n">
        <x:v>6849.21</x:v>
      </x:c>
      <x:c r="N324" s="33" t="n">
        <x:v>0.684921</x:v>
      </x:c>
      <x:c r="O324" s="22" t="str">
        <x:v>公顷</x:v>
      </x:c>
      <x:c r="P324" s="22" t="str">
        <x:v>未提供（单期横截面）</x:v>
      </x:c>
      <x:c r="Q324" s="23" t="n">
        <x:v>1632</x:v>
      </x:c>
    </x:row>
    <x:row r="325">
      <x:c r="A325" s="30" t="n">
        <x:v>350200</x:v>
      </x:c>
      <x:c r="B325" s="22" t="str">
        <x:v>厦门市</x:v>
      </x:c>
      <x:c r="C325" s="31" t="n">
        <x:v>350211</x:v>
      </x:c>
      <x:c r="D325" s="22" t="str">
        <x:v>集美区</x:v>
      </x:c>
      <x:c r="E325" s="22" t="str">
        <x:v>建设用地</x:v>
      </x:c>
      <x:c r="F325" s="22" t="str">
        <x:v>交通运输用地</x:v>
      </x:c>
      <x:c r="G325" s="32" t="str">
        <x:v>1004</x:v>
      </x:c>
      <x:c r="H325" s="32" t="str">
        <x:v>1004</x:v>
      </x:c>
      <x:c r="I325" s="22" t="str">
        <x:v>城镇村道路用地</x:v>
      </x:c>
      <x:c r="J325" s="22" t="str">
        <x:v>交通门户</x:v>
      </x:c>
      <x:c r="K325" s="32" t="str">
        <x:v>203</x:v>
      </x:c>
      <x:c r="L325" s="22" t="str">
        <x:v>村庄范围</x:v>
      </x:c>
      <x:c r="M325" s="33" t="n">
        <x:v>527898</x:v>
      </x:c>
      <x:c r="N325" s="33" t="n">
        <x:v>52.7898</x:v>
      </x:c>
      <x:c r="O325" s="22" t="str">
        <x:v>公顷</x:v>
      </x:c>
      <x:c r="P325" s="22" t="str">
        <x:v>未提供（单期横截面）</x:v>
      </x:c>
      <x:c r="Q325" s="23" t="n">
        <x:v>1633</x:v>
      </x:c>
    </x:row>
    <x:row r="326">
      <x:c r="A326" s="30" t="n">
        <x:v>350200</x:v>
      </x:c>
      <x:c r="B326" s="22" t="str">
        <x:v>厦门市</x:v>
      </x:c>
      <x:c r="C326" s="31" t="n">
        <x:v>350211</x:v>
      </x:c>
      <x:c r="D326" s="22" t="str">
        <x:v>集美区</x:v>
      </x:c>
      <x:c r="E326" s="22" t="str">
        <x:v>建设用地</x:v>
      </x:c>
      <x:c r="F326" s="22" t="str">
        <x:v>交通运输用地</x:v>
      </x:c>
      <x:c r="G326" s="32" t="str">
        <x:v>1005</x:v>
      </x:c>
      <x:c r="H326" s="32" t="str">
        <x:v>1005</x:v>
      </x:c>
      <x:c r="I326" s="22" t="str">
        <x:v>交通服务场站用地</x:v>
      </x:c>
      <x:c r="J326" s="22" t="str">
        <x:v>交通门户</x:v>
      </x:c>
      <x:c r="K326" s="32" t="str">
        <x:v>203</x:v>
      </x:c>
      <x:c r="L326" s="22" t="str">
        <x:v>村庄范围</x:v>
      </x:c>
      <x:c r="M326" s="33" t="n">
        <x:v>284433.42999999993</x:v>
      </x:c>
      <x:c r="N326" s="33" t="n">
        <x:v>28.443342999999995</x:v>
      </x:c>
      <x:c r="O326" s="22" t="str">
        <x:v>公顷</x:v>
      </x:c>
      <x:c r="P326" s="22" t="str">
        <x:v>未提供（单期横截面）</x:v>
      </x:c>
      <x:c r="Q326" s="23" t="n">
        <x:v>1634</x:v>
      </x:c>
    </x:row>
    <x:row r="327">
      <x:c r="A327" s="30" t="n">
        <x:v>350200</x:v>
      </x:c>
      <x:c r="B327" s="22" t="str">
        <x:v>厦门市</x:v>
      </x:c>
      <x:c r="C327" s="31" t="n">
        <x:v>350211</x:v>
      </x:c>
      <x:c r="D327" s="22" t="str">
        <x:v>集美区</x:v>
      </x:c>
      <x:c r="E327" s="22" t="str">
        <x:v>建设用地</x:v>
      </x:c>
      <x:c r="F327" s="22" t="str">
        <x:v>其他建设用地</x:v>
      </x:c>
      <x:c r="G327" s="32" t="str">
        <x:v>1201</x:v>
      </x:c>
      <x:c r="H327" s="32" t="str">
        <x:v>1201</x:v>
      </x:c>
      <x:c r="I327" s="22" t="str">
        <x:v>空闲地</x:v>
      </x:c>
      <x:c r="J327" s="22" t="str">
        <x:v>其他建设</x:v>
      </x:c>
      <x:c r="K327" s="32" t="str">
        <x:v>203</x:v>
      </x:c>
      <x:c r="L327" s="22" t="str">
        <x:v>村庄范围</x:v>
      </x:c>
      <x:c r="M327" s="33" t="n">
        <x:v>12653.009999999998</x:v>
      </x:c>
      <x:c r="N327" s="33" t="n">
        <x:v>1.2653009999999998</x:v>
      </x:c>
      <x:c r="O327" s="22" t="str">
        <x:v>公顷</x:v>
      </x:c>
      <x:c r="P327" s="22" t="str">
        <x:v>未提供（单期横截面）</x:v>
      </x:c>
      <x:c r="Q327" s="23" t="n">
        <x:v>1635</x:v>
      </x:c>
    </x:row>
    <x:row r="328">
      <x:c r="A328" s="30" t="n">
        <x:v>350200</x:v>
      </x:c>
      <x:c r="B328" s="22" t="str">
        <x:v>厦门市</x:v>
      </x:c>
      <x:c r="C328" s="31" t="n">
        <x:v>350211</x:v>
      </x:c>
      <x:c r="D328" s="22" t="str">
        <x:v>集美区</x:v>
      </x:c>
      <x:c r="E328" s="22" t="str">
        <x:v>建设用地</x:v>
      </x:c>
      <x:c r="F328" s="22" t="str">
        <x:v>工矿仓储用地</x:v>
      </x:c>
      <x:c r="G328" s="32" t="str">
        <x:v>601</x:v>
      </x:c>
      <x:c r="H328" s="32" t="str">
        <x:v>601</x:v>
      </x:c>
      <x:c r="I328" s="22" t="str">
        <x:v>工业用地</x:v>
      </x:c>
      <x:c r="J328" s="22" t="str">
        <x:v>产业功能</x:v>
      </x:c>
      <x:c r="K328" s="32" t="str">
        <x:v>203A</x:v>
      </x:c>
      <x:c r="L328" s="22" t="str">
        <x:v>村庄独立工业用地</x:v>
      </x:c>
      <x:c r="M328" s="33" t="n">
        <x:v>507425.8800000002</x:v>
      </x:c>
      <x:c r="N328" s="33" t="n">
        <x:v>50.74258800000002</x:v>
      </x:c>
      <x:c r="O328" s="22" t="str">
        <x:v>公顷</x:v>
      </x:c>
      <x:c r="P328" s="22" t="str">
        <x:v>未提供（单期横截面）</x:v>
      </x:c>
      <x:c r="Q328" s="23" t="n">
        <x:v>1636</x:v>
      </x:c>
    </x:row>
    <x:row r="329">
      <x:c r="A329" s="30" t="n">
        <x:v>350200</x:v>
      </x:c>
      <x:c r="B329" s="22" t="str">
        <x:v>厦门市</x:v>
      </x:c>
      <x:c r="C329" s="31" t="n">
        <x:v>350211</x:v>
      </x:c>
      <x:c r="D329" s="22" t="str">
        <x:v>集美区</x:v>
      </x:c>
      <x:c r="E329" s="22" t="str">
        <x:v>建设用地</x:v>
      </x:c>
      <x:c r="F329" s="22" t="str">
        <x:v>商业服务业用地</x:v>
      </x:c>
      <x:c r="G329" s="32" t="str">
        <x:v>05H1</x:v>
      </x:c>
      <x:c r="H329" s="32" t="str">
        <x:v>05H1</x:v>
      </x:c>
      <x:c r="I329" s="22" t="str">
        <x:v>商业服务业设施用地</x:v>
      </x:c>
      <x:c r="J329" s="22" t="str">
        <x:v>商业服务</x:v>
      </x:c>
      <x:c r="K329" s="32" t="str">
        <x:v>204</x:v>
      </x:c>
      <x:c r="L329" s="22" t="str">
        <x:v>盐田及采矿用地</x:v>
      </x:c>
      <x:c r="M329" s="33" t="n">
        <x:v>1320.63</x:v>
      </x:c>
      <x:c r="N329" s="33" t="n">
        <x:v>0.132063</x:v>
      </x:c>
      <x:c r="O329" s="22" t="str">
        <x:v>公顷</x:v>
      </x:c>
      <x:c r="P329" s="22" t="str">
        <x:v>未提供（单期横截面）</x:v>
      </x:c>
      <x:c r="Q329" s="23" t="n">
        <x:v>1637</x:v>
      </x:c>
    </x:row>
    <x:row r="330">
      <x:c r="A330" s="30" t="n">
        <x:v>350200</x:v>
      </x:c>
      <x:c r="B330" s="22" t="str">
        <x:v>厦门市</x:v>
      </x:c>
      <x:c r="C330" s="31" t="n">
        <x:v>350211</x:v>
      </x:c>
      <x:c r="D330" s="22" t="str">
        <x:v>集美区</x:v>
      </x:c>
      <x:c r="E330" s="22" t="str">
        <x:v>建设用地</x:v>
      </x:c>
      <x:c r="F330" s="22" t="str">
        <x:v>工矿仓储用地</x:v>
      </x:c>
      <x:c r="G330" s="32" t="str">
        <x:v>602</x:v>
      </x:c>
      <x:c r="H330" s="32" t="str">
        <x:v>602</x:v>
      </x:c>
      <x:c r="I330" s="22" t="str">
        <x:v>采矿用地</x:v>
      </x:c>
      <x:c r="J330" s="22" t="str">
        <x:v>产业功能</x:v>
      </x:c>
      <x:c r="K330" s="32" t="str">
        <x:v>204</x:v>
      </x:c>
      <x:c r="L330" s="22" t="str">
        <x:v>盐田及采矿用地</x:v>
      </x:c>
      <x:c r="M330" s="33" t="n">
        <x:v>113283.59999999999</x:v>
      </x:c>
      <x:c r="N330" s="33" t="n">
        <x:v>11.32836</x:v>
      </x:c>
      <x:c r="O330" s="22" t="str">
        <x:v>公顷</x:v>
      </x:c>
      <x:c r="P330" s="22" t="str">
        <x:v>未提供（单期横截面）</x:v>
      </x:c>
      <x:c r="Q330" s="23" t="n">
        <x:v>1638</x:v>
      </x:c>
    </x:row>
    <x:row r="331">
      <x:c r="A331" s="30" t="n">
        <x:v>350200</x:v>
      </x:c>
      <x:c r="B331" s="22" t="str">
        <x:v>厦门市</x:v>
      </x:c>
      <x:c r="C331" s="31" t="n">
        <x:v>350211</x:v>
      </x:c>
      <x:c r="D331" s="22" t="str">
        <x:v>集美区</x:v>
      </x:c>
      <x:c r="E331" s="22" t="str">
        <x:v>建设用地</x:v>
      </x:c>
      <x:c r="F331" s="22" t="str">
        <x:v>特殊用地</x:v>
      </x:c>
      <x:c r="G331" s="32" t="str">
        <x:v>9</x:v>
      </x:c>
      <x:c r="H331" s="32" t="str">
        <x:v>9</x:v>
      </x:c>
      <x:c r="I331" s="22" t="str">
        <x:v>特殊用地</x:v>
      </x:c>
      <x:c r="J331" s="22" t="str">
        <x:v>其他建设</x:v>
      </x:c>
      <x:c r="K331" s="32" t="str">
        <x:v>205</x:v>
      </x:c>
      <x:c r="L331" s="22" t="str">
        <x:v>特殊用地</x:v>
      </x:c>
      <x:c r="M331" s="33" t="n">
        <x:v>2366981.349999999</x:v>
      </x:c>
      <x:c r="N331" s="33" t="n">
        <x:v>236.69813499999992</x:v>
      </x:c>
      <x:c r="O331" s="22" t="str">
        <x:v>公顷</x:v>
      </x:c>
      <x:c r="P331" s="22" t="str">
        <x:v>未提供（单期横截面）</x:v>
      </x:c>
      <x:c r="Q331" s="23" t="n">
        <x:v>1639</x:v>
      </x:c>
    </x:row>
    <x:row r="332">
      <x:c r="A332" s="30" t="n">
        <x:v>350200</x:v>
      </x:c>
      <x:c r="B332" s="22" t="str">
        <x:v>厦门市</x:v>
      </x:c>
      <x:c r="C332" s="31" t="n">
        <x:v>350211</x:v>
      </x:c>
      <x:c r="D332" s="22" t="str">
        <x:v>集美区</x:v>
      </x:c>
      <x:c r="E332" s="22" t="str">
        <x:v>建设用地</x:v>
      </x:c>
      <x:c r="F332" s="22" t="str">
        <x:v>交通运输用地</x:v>
      </x:c>
      <x:c r="G332" s="32" t="str">
        <x:v>1004</x:v>
      </x:c>
      <x:c r="H332" s="32" t="str">
        <x:v>1004</x:v>
      </x:c>
      <x:c r="I332" s="22" t="str">
        <x:v>城镇村道路用地</x:v>
      </x:c>
      <x:c r="J332" s="22" t="str">
        <x:v>交通门户</x:v>
      </x:c>
      <x:c r="K332" s="32" t="str">
        <x:v>205</x:v>
      </x:c>
      <x:c r="L332" s="22" t="str">
        <x:v>特殊用地</x:v>
      </x:c>
      <x:c r="M332" s="33" t="n">
        <x:v>6371.280000000001</x:v>
      </x:c>
      <x:c r="N332" s="33" t="n">
        <x:v>0.637128</x:v>
      </x:c>
      <x:c r="O332" s="22" t="str">
        <x:v>公顷</x:v>
      </x:c>
      <x:c r="P332" s="22" t="str">
        <x:v>未提供（单期横截面）</x:v>
      </x:c>
      <x:c r="Q332" s="23" t="n">
        <x:v>1640</x:v>
      </x:c>
    </x:row>
    <x:row r="333">
      <x:c r="A333" s="30" t="n">
        <x:v>350200</x:v>
      </x:c>
      <x:c r="B333" s="22" t="str">
        <x:v>厦门市</x:v>
      </x:c>
      <x:c r="C333" s="31" t="n">
        <x:v>350211</x:v>
      </x:c>
      <x:c r="D333" s="22" t="str">
        <x:v>集美区</x:v>
      </x:c>
      <x:c r="E333" s="22" t="str">
        <x:v>农用地</x:v>
      </x:c>
      <x:c r="F333" s="22" t="str">
        <x:v>耕地</x:v>
      </x:c>
      <x:c r="G333" s="32" t="str">
        <x:v>101</x:v>
      </x:c>
      <x:c r="H333" s="32" t="str">
        <x:v>101</x:v>
      </x:c>
      <x:c r="I333" s="22" t="str">
        <x:v>水田</x:v>
      </x:c>
      <x:c r="J333" s="22" t="str">
        <x:v>农业生态</x:v>
      </x:c>
      <x:c r="K333" s="32" t="str"/>
      <x:c r="L333" s="22" t="str">
        <x:v>不适用/未标注</x:v>
      </x:c>
      <x:c r="M333" s="33" t="n">
        <x:v>10809676.639999995</x:v>
      </x:c>
      <x:c r="N333" s="33" t="n">
        <x:v>1080.9676639999996</x:v>
      </x:c>
      <x:c r="O333" s="22" t="str">
        <x:v>公顷</x:v>
      </x:c>
      <x:c r="P333" s="22" t="str">
        <x:v>未提供（单期横截面）</x:v>
      </x:c>
      <x:c r="Q333" s="23" t="n">
        <x:v>1641</x:v>
      </x:c>
    </x:row>
    <x:row r="334">
      <x:c r="A334" s="30" t="n">
        <x:v>350200</x:v>
      </x:c>
      <x:c r="B334" s="22" t="str">
        <x:v>厦门市</x:v>
      </x:c>
      <x:c r="C334" s="31" t="n">
        <x:v>350211</x:v>
      </x:c>
      <x:c r="D334" s="22" t="str">
        <x:v>集美区</x:v>
      </x:c>
      <x:c r="E334" s="22" t="str">
        <x:v>农用地</x:v>
      </x:c>
      <x:c r="F334" s="22" t="str">
        <x:v>耕地</x:v>
      </x:c>
      <x:c r="G334" s="32" t="str">
        <x:v>102</x:v>
      </x:c>
      <x:c r="H334" s="32" t="str">
        <x:v>102</x:v>
      </x:c>
      <x:c r="I334" s="22" t="str">
        <x:v>水浇地</x:v>
      </x:c>
      <x:c r="J334" s="22" t="str">
        <x:v>农业生态</x:v>
      </x:c>
      <x:c r="K334" s="32" t="str"/>
      <x:c r="L334" s="22" t="str">
        <x:v>不适用/未标注</x:v>
      </x:c>
      <x:c r="M334" s="33" t="n">
        <x:v>1779220.4900000014</x:v>
      </x:c>
      <x:c r="N334" s="33" t="n">
        <x:v>177.92204900000013</x:v>
      </x:c>
      <x:c r="O334" s="22" t="str">
        <x:v>公顷</x:v>
      </x:c>
      <x:c r="P334" s="22" t="str">
        <x:v>未提供（单期横截面）</x:v>
      </x:c>
      <x:c r="Q334" s="23" t="n">
        <x:v>1642</x:v>
      </x:c>
    </x:row>
    <x:row r="335">
      <x:c r="A335" s="30" t="n">
        <x:v>350200</x:v>
      </x:c>
      <x:c r="B335" s="22" t="str">
        <x:v>厦门市</x:v>
      </x:c>
      <x:c r="C335" s="31" t="n">
        <x:v>350211</x:v>
      </x:c>
      <x:c r="D335" s="22" t="str">
        <x:v>集美区</x:v>
      </x:c>
      <x:c r="E335" s="22" t="str">
        <x:v>农用地</x:v>
      </x:c>
      <x:c r="F335" s="22" t="str">
        <x:v>耕地</x:v>
      </x:c>
      <x:c r="G335" s="32" t="str">
        <x:v>103</x:v>
      </x:c>
      <x:c r="H335" s="32" t="str">
        <x:v>103</x:v>
      </x:c>
      <x:c r="I335" s="22" t="str">
        <x:v>旱地</x:v>
      </x:c>
      <x:c r="J335" s="22" t="str">
        <x:v>农业生态</x:v>
      </x:c>
      <x:c r="K335" s="32" t="str"/>
      <x:c r="L335" s="22" t="str">
        <x:v>不适用/未标注</x:v>
      </x:c>
      <x:c r="M335" s="33" t="n">
        <x:v>1579234.8500000017</x:v>
      </x:c>
      <x:c r="N335" s="33" t="n">
        <x:v>157.92348500000017</x:v>
      </x:c>
      <x:c r="O335" s="22" t="str">
        <x:v>公顷</x:v>
      </x:c>
      <x:c r="P335" s="22" t="str">
        <x:v>未提供（单期横截面）</x:v>
      </x:c>
      <x:c r="Q335" s="23" t="n">
        <x:v>1643</x:v>
      </x:c>
    </x:row>
    <x:row r="336">
      <x:c r="A336" s="30" t="n">
        <x:v>350200</x:v>
      </x:c>
      <x:c r="B336" s="22" t="str">
        <x:v>厦门市</x:v>
      </x:c>
      <x:c r="C336" s="31" t="n">
        <x:v>350211</x:v>
      </x:c>
      <x:c r="D336" s="22" t="str">
        <x:v>集美区</x:v>
      </x:c>
      <x:c r="E336" s="22" t="str">
        <x:v>农用地</x:v>
      </x:c>
      <x:c r="F336" s="22" t="str">
        <x:v>园地</x:v>
      </x:c>
      <x:c r="G336" s="32" t="str">
        <x:v>201</x:v>
      </x:c>
      <x:c r="H336" s="32" t="str">
        <x:v>201</x:v>
      </x:c>
      <x:c r="I336" s="22" t="str">
        <x:v>果园</x:v>
      </x:c>
      <x:c r="J336" s="22" t="str">
        <x:v>农业生态</x:v>
      </x:c>
      <x:c r="K336" s="32" t="str"/>
      <x:c r="L336" s="22" t="str">
        <x:v>不适用/未标注</x:v>
      </x:c>
      <x:c r="M336" s="33" t="n">
        <x:v>23562924.510000028</x:v>
      </x:c>
      <x:c r="N336" s="33" t="n">
        <x:v>2356.292451000003</x:v>
      </x:c>
      <x:c r="O336" s="22" t="str">
        <x:v>公顷</x:v>
      </x:c>
      <x:c r="P336" s="22" t="str">
        <x:v>未提供（单期横截面）</x:v>
      </x:c>
      <x:c r="Q336" s="23" t="n">
        <x:v>1644</x:v>
      </x:c>
    </x:row>
    <x:row r="337">
      <x:c r="A337" s="30" t="n">
        <x:v>350200</x:v>
      </x:c>
      <x:c r="B337" s="22" t="str">
        <x:v>厦门市</x:v>
      </x:c>
      <x:c r="C337" s="31" t="n">
        <x:v>350211</x:v>
      </x:c>
      <x:c r="D337" s="22" t="str">
        <x:v>集美区</x:v>
      </x:c>
      <x:c r="E337" s="22" t="str">
        <x:v>农用地</x:v>
      </x:c>
      <x:c r="F337" s="22" t="str">
        <x:v>园地</x:v>
      </x:c>
      <x:c r="G337" s="32" t="str">
        <x:v>0201K</x:v>
      </x:c>
      <x:c r="H337" s="32" t="str">
        <x:v>201</x:v>
      </x:c>
      <x:c r="I337" s="22" t="str">
        <x:v>可调整果园</x:v>
      </x:c>
      <x:c r="J337" s="22" t="str">
        <x:v>农业生态</x:v>
      </x:c>
      <x:c r="K337" s="32" t="str"/>
      <x:c r="L337" s="22" t="str">
        <x:v>不适用/未标注</x:v>
      </x:c>
      <x:c r="M337" s="33" t="n">
        <x:v>308933.8599999999</x:v>
      </x:c>
      <x:c r="N337" s="33" t="n">
        <x:v>30.893385999999992</x:v>
      </x:c>
      <x:c r="O337" s="22" t="str">
        <x:v>公顷</x:v>
      </x:c>
      <x:c r="P337" s="22" t="str">
        <x:v>未提供（单期横截面）</x:v>
      </x:c>
      <x:c r="Q337" s="23" t="n">
        <x:v>1645</x:v>
      </x:c>
    </x:row>
    <x:row r="338">
      <x:c r="A338" s="30" t="n">
        <x:v>350200</x:v>
      </x:c>
      <x:c r="B338" s="22" t="str">
        <x:v>厦门市</x:v>
      </x:c>
      <x:c r="C338" s="31" t="n">
        <x:v>350211</x:v>
      </x:c>
      <x:c r="D338" s="22" t="str">
        <x:v>集美区</x:v>
      </x:c>
      <x:c r="E338" s="22" t="str">
        <x:v>农用地</x:v>
      </x:c>
      <x:c r="F338" s="22" t="str">
        <x:v>园地</x:v>
      </x:c>
      <x:c r="G338" s="32" t="str">
        <x:v>204</x:v>
      </x:c>
      <x:c r="H338" s="32" t="str">
        <x:v>204</x:v>
      </x:c>
      <x:c r="I338" s="22" t="str">
        <x:v>其他园地</x:v>
      </x:c>
      <x:c r="J338" s="22" t="str">
        <x:v>农业生态</x:v>
      </x:c>
      <x:c r="K338" s="32" t="str"/>
      <x:c r="L338" s="22" t="str">
        <x:v>不适用/未标注</x:v>
      </x:c>
      <x:c r="M338" s="33" t="n">
        <x:v>254200.27000000002</x:v>
      </x:c>
      <x:c r="N338" s="33" t="n">
        <x:v>25.420027</x:v>
      </x:c>
      <x:c r="O338" s="22" t="str">
        <x:v>公顷</x:v>
      </x:c>
      <x:c r="P338" s="22" t="str">
        <x:v>未提供（单期横截面）</x:v>
      </x:c>
      <x:c r="Q338" s="23" t="n">
        <x:v>1646</x:v>
      </x:c>
    </x:row>
    <x:row r="339">
      <x:c r="A339" s="30" t="n">
        <x:v>350200</x:v>
      </x:c>
      <x:c r="B339" s="22" t="str">
        <x:v>厦门市</x:v>
      </x:c>
      <x:c r="C339" s="31" t="n">
        <x:v>350211</x:v>
      </x:c>
      <x:c r="D339" s="22" t="str">
        <x:v>集美区</x:v>
      </x:c>
      <x:c r="E339" s="22" t="str">
        <x:v>农用地</x:v>
      </x:c>
      <x:c r="F339" s="22" t="str">
        <x:v>林地</x:v>
      </x:c>
      <x:c r="G339" s="32" t="str">
        <x:v>301</x:v>
      </x:c>
      <x:c r="H339" s="32" t="str">
        <x:v>301</x:v>
      </x:c>
      <x:c r="I339" s="22" t="str">
        <x:v>乔木林地</x:v>
      </x:c>
      <x:c r="J339" s="22" t="str">
        <x:v>农业生态</x:v>
      </x:c>
      <x:c r="K339" s="32" t="str"/>
      <x:c r="L339" s="22" t="str">
        <x:v>不适用/未标注</x:v>
      </x:c>
      <x:c r="M339" s="33" t="n">
        <x:v>72805396.83999999</x:v>
      </x:c>
      <x:c r="N339" s="33" t="n">
        <x:v>7280.5396839999985</x:v>
      </x:c>
      <x:c r="O339" s="22" t="str">
        <x:v>公顷</x:v>
      </x:c>
      <x:c r="P339" s="22" t="str">
        <x:v>未提供（单期横截面）</x:v>
      </x:c>
      <x:c r="Q339" s="23" t="n">
        <x:v>1647</x:v>
      </x:c>
    </x:row>
    <x:row r="340">
      <x:c r="A340" s="30" t="n">
        <x:v>350200</x:v>
      </x:c>
      <x:c r="B340" s="22" t="str">
        <x:v>厦门市</x:v>
      </x:c>
      <x:c r="C340" s="31" t="n">
        <x:v>350211</x:v>
      </x:c>
      <x:c r="D340" s="22" t="str">
        <x:v>集美区</x:v>
      </x:c>
      <x:c r="E340" s="22" t="str">
        <x:v>农用地</x:v>
      </x:c>
      <x:c r="F340" s="22" t="str">
        <x:v>林地</x:v>
      </x:c>
      <x:c r="G340" s="32" t="str">
        <x:v>302</x:v>
      </x:c>
      <x:c r="H340" s="32" t="str">
        <x:v>302</x:v>
      </x:c>
      <x:c r="I340" s="22" t="str">
        <x:v>竹林地</x:v>
      </x:c>
      <x:c r="J340" s="22" t="str">
        <x:v>农业生态</x:v>
      </x:c>
      <x:c r="K340" s="32" t="str"/>
      <x:c r="L340" s="22" t="str">
        <x:v>不适用/未标注</x:v>
      </x:c>
      <x:c r="M340" s="33" t="n">
        <x:v>96222.67000000001</x:v>
      </x:c>
      <x:c r="N340" s="33" t="n">
        <x:v>9.622267</x:v>
      </x:c>
      <x:c r="O340" s="22" t="str">
        <x:v>公顷</x:v>
      </x:c>
      <x:c r="P340" s="22" t="str">
        <x:v>未提供（单期横截面）</x:v>
      </x:c>
      <x:c r="Q340" s="23" t="n">
        <x:v>1648</x:v>
      </x:c>
    </x:row>
    <x:row r="341">
      <x:c r="A341" s="30" t="n">
        <x:v>350200</x:v>
      </x:c>
      <x:c r="B341" s="22" t="str">
        <x:v>厦门市</x:v>
      </x:c>
      <x:c r="C341" s="31" t="n">
        <x:v>350211</x:v>
      </x:c>
      <x:c r="D341" s="22" t="str">
        <x:v>集美区</x:v>
      </x:c>
      <x:c r="E341" s="22" t="str">
        <x:v>农用地</x:v>
      </x:c>
      <x:c r="F341" s="22" t="str">
        <x:v>林地</x:v>
      </x:c>
      <x:c r="G341" s="32" t="str">
        <x:v>303</x:v>
      </x:c>
      <x:c r="H341" s="32" t="str">
        <x:v>303</x:v>
      </x:c>
      <x:c r="I341" s="22" t="str">
        <x:v>红树林地</x:v>
      </x:c>
      <x:c r="J341" s="22" t="str">
        <x:v>农业生态</x:v>
      </x:c>
      <x:c r="K341" s="32" t="str"/>
      <x:c r="L341" s="22" t="str">
        <x:v>不适用/未标注</x:v>
      </x:c>
      <x:c r="M341" s="33" t="n">
        <x:v>29050.149999999998</x:v>
      </x:c>
      <x:c r="N341" s="33" t="n">
        <x:v>2.9050149999999997</x:v>
      </x:c>
      <x:c r="O341" s="22" t="str">
        <x:v>公顷</x:v>
      </x:c>
      <x:c r="P341" s="22" t="str">
        <x:v>未提供（单期横截面）</x:v>
      </x:c>
      <x:c r="Q341" s="23" t="n">
        <x:v>1649</x:v>
      </x:c>
    </x:row>
    <x:row r="342">
      <x:c r="A342" s="30" t="n">
        <x:v>350200</x:v>
      </x:c>
      <x:c r="B342" s="22" t="str">
        <x:v>厦门市</x:v>
      </x:c>
      <x:c r="C342" s="31" t="n">
        <x:v>350211</x:v>
      </x:c>
      <x:c r="D342" s="22" t="str">
        <x:v>集美区</x:v>
      </x:c>
      <x:c r="E342" s="22" t="str">
        <x:v>农用地</x:v>
      </x:c>
      <x:c r="F342" s="22" t="str">
        <x:v>林地</x:v>
      </x:c>
      <x:c r="G342" s="32" t="str">
        <x:v>305</x:v>
      </x:c>
      <x:c r="H342" s="32" t="str">
        <x:v>305</x:v>
      </x:c>
      <x:c r="I342" s="22" t="str">
        <x:v>灌木林地</x:v>
      </x:c>
      <x:c r="J342" s="22" t="str">
        <x:v>农业生态</x:v>
      </x:c>
      <x:c r="K342" s="32" t="str"/>
      <x:c r="L342" s="22" t="str">
        <x:v>不适用/未标注</x:v>
      </x:c>
      <x:c r="M342" s="33" t="n">
        <x:v>1213366.64</x:v>
      </x:c>
      <x:c r="N342" s="33" t="n">
        <x:v>121.33666399999998</x:v>
      </x:c>
      <x:c r="O342" s="22" t="str">
        <x:v>公顷</x:v>
      </x:c>
      <x:c r="P342" s="22" t="str">
        <x:v>未提供（单期横截面）</x:v>
      </x:c>
      <x:c r="Q342" s="23" t="n">
        <x:v>1650</x:v>
      </x:c>
    </x:row>
    <x:row r="343">
      <x:c r="A343" s="30" t="n">
        <x:v>350200</x:v>
      </x:c>
      <x:c r="B343" s="22" t="str">
        <x:v>厦门市</x:v>
      </x:c>
      <x:c r="C343" s="31" t="n">
        <x:v>350211</x:v>
      </x:c>
      <x:c r="D343" s="22" t="str">
        <x:v>集美区</x:v>
      </x:c>
      <x:c r="E343" s="22" t="str">
        <x:v>农用地</x:v>
      </x:c>
      <x:c r="F343" s="22" t="str">
        <x:v>林地</x:v>
      </x:c>
      <x:c r="G343" s="32" t="str">
        <x:v>307</x:v>
      </x:c>
      <x:c r="H343" s="32" t="str">
        <x:v>307</x:v>
      </x:c>
      <x:c r="I343" s="22" t="str">
        <x:v>其他林地</x:v>
      </x:c>
      <x:c r="J343" s="22" t="str">
        <x:v>农业生态</x:v>
      </x:c>
      <x:c r="K343" s="32" t="str"/>
      <x:c r="L343" s="22" t="str">
        <x:v>不适用/未标注</x:v>
      </x:c>
      <x:c r="M343" s="33" t="n">
        <x:v>4468045.669999995</x:v>
      </x:c>
      <x:c r="N343" s="33" t="n">
        <x:v>446.8045669999995</x:v>
      </x:c>
      <x:c r="O343" s="22" t="str">
        <x:v>公顷</x:v>
      </x:c>
      <x:c r="P343" s="22" t="str">
        <x:v>未提供（单期横截面）</x:v>
      </x:c>
      <x:c r="Q343" s="23" t="n">
        <x:v>1651</x:v>
      </x:c>
    </x:row>
    <x:row r="344">
      <x:c r="A344" s="30" t="n">
        <x:v>350200</x:v>
      </x:c>
      <x:c r="B344" s="22" t="str">
        <x:v>厦门市</x:v>
      </x:c>
      <x:c r="C344" s="31" t="n">
        <x:v>350211</x:v>
      </x:c>
      <x:c r="D344" s="22" t="str">
        <x:v>集美区</x:v>
      </x:c>
      <x:c r="E344" s="22" t="str">
        <x:v>农用地</x:v>
      </x:c>
      <x:c r="F344" s="22" t="str">
        <x:v>其他农用地</x:v>
      </x:c>
      <x:c r="G344" s="32" t="str">
        <x:v>1006</x:v>
      </x:c>
      <x:c r="H344" s="32" t="str">
        <x:v>1006</x:v>
      </x:c>
      <x:c r="I344" s="22" t="str">
        <x:v>农村道路</x:v>
      </x:c>
      <x:c r="J344" s="22" t="str">
        <x:v>农业生态</x:v>
      </x:c>
      <x:c r="K344" s="32" t="str"/>
      <x:c r="L344" s="22" t="str">
        <x:v>不适用/未标注</x:v>
      </x:c>
      <x:c r="M344" s="33" t="n">
        <x:v>2809914.2399999993</x:v>
      </x:c>
      <x:c r="N344" s="33" t="n">
        <x:v>280.99142399999994</x:v>
      </x:c>
      <x:c r="O344" s="22" t="str">
        <x:v>公顷</x:v>
      </x:c>
      <x:c r="P344" s="22" t="str">
        <x:v>未提供（单期横截面）</x:v>
      </x:c>
      <x:c r="Q344" s="23" t="n">
        <x:v>1652</x:v>
      </x:c>
    </x:row>
    <x:row r="345">
      <x:c r="A345" s="30" t="n">
        <x:v>350200</x:v>
      </x:c>
      <x:c r="B345" s="22" t="str">
        <x:v>厦门市</x:v>
      </x:c>
      <x:c r="C345" s="31" t="n">
        <x:v>350211</x:v>
      </x:c>
      <x:c r="D345" s="22" t="str">
        <x:v>集美区</x:v>
      </x:c>
      <x:c r="E345" s="22" t="str">
        <x:v>农用地</x:v>
      </x:c>
      <x:c r="F345" s="22" t="str">
        <x:v>水域及水利设施</x:v>
      </x:c>
      <x:c r="G345" s="32" t="str">
        <x:v>1103</x:v>
      </x:c>
      <x:c r="H345" s="32" t="str">
        <x:v>1103</x:v>
      </x:c>
      <x:c r="I345" s="22" t="str">
        <x:v>水库水面</x:v>
      </x:c>
      <x:c r="J345" s="22" t="str">
        <x:v>农业生态</x:v>
      </x:c>
      <x:c r="K345" s="32" t="str"/>
      <x:c r="L345" s="22" t="str">
        <x:v>不适用/未标注</x:v>
      </x:c>
      <x:c r="M345" s="33" t="n">
        <x:v>11314613.01</x:v>
      </x:c>
      <x:c r="N345" s="33" t="n">
        <x:v>1131.461301</x:v>
      </x:c>
      <x:c r="O345" s="22" t="str">
        <x:v>公顷</x:v>
      </x:c>
      <x:c r="P345" s="22" t="str">
        <x:v>未提供（单期横截面）</x:v>
      </x:c>
      <x:c r="Q345" s="23" t="n">
        <x:v>1653</x:v>
      </x:c>
    </x:row>
    <x:row r="346">
      <x:c r="A346" s="30" t="n">
        <x:v>350200</x:v>
      </x:c>
      <x:c r="B346" s="22" t="str">
        <x:v>厦门市</x:v>
      </x:c>
      <x:c r="C346" s="31" t="n">
        <x:v>350211</x:v>
      </x:c>
      <x:c r="D346" s="22" t="str">
        <x:v>集美区</x:v>
      </x:c>
      <x:c r="E346" s="22" t="str">
        <x:v>农用地</x:v>
      </x:c>
      <x:c r="F346" s="22" t="str">
        <x:v>水域及水利设施</x:v>
      </x:c>
      <x:c r="G346" s="32" t="str">
        <x:v>1104</x:v>
      </x:c>
      <x:c r="H346" s="32" t="str">
        <x:v>1104</x:v>
      </x:c>
      <x:c r="I346" s="22" t="str">
        <x:v>坑塘水面</x:v>
      </x:c>
      <x:c r="J346" s="22" t="str">
        <x:v>农业生态</x:v>
      </x:c>
      <x:c r="K346" s="32" t="str"/>
      <x:c r="L346" s="22" t="str">
        <x:v>不适用/未标注</x:v>
      </x:c>
      <x:c r="M346" s="33" t="n">
        <x:v>5407181.540000004</x:v>
      </x:c>
      <x:c r="N346" s="33" t="n">
        <x:v>540.7181540000004</x:v>
      </x:c>
      <x:c r="O346" s="22" t="str">
        <x:v>公顷</x:v>
      </x:c>
      <x:c r="P346" s="22" t="str">
        <x:v>未提供（单期横截面）</x:v>
      </x:c>
      <x:c r="Q346" s="23" t="n">
        <x:v>1654</x:v>
      </x:c>
    </x:row>
    <x:row r="347">
      <x:c r="A347" s="30" t="n">
        <x:v>350200</x:v>
      </x:c>
      <x:c r="B347" s="22" t="str">
        <x:v>厦门市</x:v>
      </x:c>
      <x:c r="C347" s="31" t="n">
        <x:v>350211</x:v>
      </x:c>
      <x:c r="D347" s="22" t="str">
        <x:v>集美区</x:v>
      </x:c>
      <x:c r="E347" s="22" t="str">
        <x:v>农用地</x:v>
      </x:c>
      <x:c r="F347" s="22" t="str">
        <x:v>水域及水利设施</x:v>
      </x:c>
      <x:c r="G347" s="32" t="str">
        <x:v>1104A</x:v>
      </x:c>
      <x:c r="H347" s="32" t="str">
        <x:v>1104</x:v>
      </x:c>
      <x:c r="I347" s="22" t="str">
        <x:v>养殖坑塘</x:v>
      </x:c>
      <x:c r="J347" s="22" t="str">
        <x:v>农业生态</x:v>
      </x:c>
      <x:c r="K347" s="32" t="str"/>
      <x:c r="L347" s="22" t="str">
        <x:v>不适用/未标注</x:v>
      </x:c>
      <x:c r="M347" s="33" t="n">
        <x:v>1823180.1900000004</x:v>
      </x:c>
      <x:c r="N347" s="33" t="n">
        <x:v>182.31801900000005</x:v>
      </x:c>
      <x:c r="O347" s="22" t="str">
        <x:v>公顷</x:v>
      </x:c>
      <x:c r="P347" s="22" t="str">
        <x:v>未提供（单期横截面）</x:v>
      </x:c>
      <x:c r="Q347" s="23" t="n">
        <x:v>1655</x:v>
      </x:c>
    </x:row>
    <x:row r="348">
      <x:c r="A348" s="30" t="n">
        <x:v>350200</x:v>
      </x:c>
      <x:c r="B348" s="22" t="str">
        <x:v>厦门市</x:v>
      </x:c>
      <x:c r="C348" s="31" t="n">
        <x:v>350211</x:v>
      </x:c>
      <x:c r="D348" s="22" t="str">
        <x:v>集美区</x:v>
      </x:c>
      <x:c r="E348" s="22" t="str">
        <x:v>农用地</x:v>
      </x:c>
      <x:c r="F348" s="22" t="str">
        <x:v>水域及水利设施</x:v>
      </x:c>
      <x:c r="G348" s="32" t="str">
        <x:v>1104K</x:v>
      </x:c>
      <x:c r="H348" s="32" t="str">
        <x:v>1104</x:v>
      </x:c>
      <x:c r="I348" s="22" t="str">
        <x:v>可调整养殖坑塘</x:v>
      </x:c>
      <x:c r="J348" s="22" t="str">
        <x:v>农业生态</x:v>
      </x:c>
      <x:c r="K348" s="32" t="str"/>
      <x:c r="L348" s="22" t="str">
        <x:v>不适用/未标注</x:v>
      </x:c>
      <x:c r="M348" s="33" t="n">
        <x:v>28474.120000000003</x:v>
      </x:c>
      <x:c r="N348" s="33" t="n">
        <x:v>2.8474120000000003</x:v>
      </x:c>
      <x:c r="O348" s="22" t="str">
        <x:v>公顷</x:v>
      </x:c>
      <x:c r="P348" s="22" t="str">
        <x:v>未提供（单期横截面）</x:v>
      </x:c>
      <x:c r="Q348" s="23" t="n">
        <x:v>1656</x:v>
      </x:c>
    </x:row>
    <x:row r="349">
      <x:c r="A349" s="30" t="n">
        <x:v>350200</x:v>
      </x:c>
      <x:c r="B349" s="22" t="str">
        <x:v>厦门市</x:v>
      </x:c>
      <x:c r="C349" s="31" t="n">
        <x:v>350211</x:v>
      </x:c>
      <x:c r="D349" s="22" t="str">
        <x:v>集美区</x:v>
      </x:c>
      <x:c r="E349" s="22" t="str">
        <x:v>农用地</x:v>
      </x:c>
      <x:c r="F349" s="22" t="str">
        <x:v>水域及水利设施</x:v>
      </x:c>
      <x:c r="G349" s="32" t="str">
        <x:v>1107</x:v>
      </x:c>
      <x:c r="H349" s="32" t="str">
        <x:v>1107</x:v>
      </x:c>
      <x:c r="I349" s="22" t="str">
        <x:v>沟渠</x:v>
      </x:c>
      <x:c r="J349" s="22" t="str">
        <x:v>农业生态</x:v>
      </x:c>
      <x:c r="K349" s="32" t="str"/>
      <x:c r="L349" s="22" t="str">
        <x:v>不适用/未标注</x:v>
      </x:c>
      <x:c r="M349" s="33" t="n">
        <x:v>537390.05</x:v>
      </x:c>
      <x:c r="N349" s="33" t="n">
        <x:v>53.739005000000006</x:v>
      </x:c>
      <x:c r="O349" s="22" t="str">
        <x:v>公顷</x:v>
      </x:c>
      <x:c r="P349" s="22" t="str">
        <x:v>未提供（单期横截面）</x:v>
      </x:c>
      <x:c r="Q349" s="23" t="n">
        <x:v>1657</x:v>
      </x:c>
    </x:row>
    <x:row r="350">
      <x:c r="A350" s="30" t="n">
        <x:v>350200</x:v>
      </x:c>
      <x:c r="B350" s="22" t="str">
        <x:v>厦门市</x:v>
      </x:c>
      <x:c r="C350" s="31" t="n">
        <x:v>350211</x:v>
      </x:c>
      <x:c r="D350" s="22" t="str">
        <x:v>集美区</x:v>
      </x:c>
      <x:c r="E350" s="22" t="str">
        <x:v>农用地</x:v>
      </x:c>
      <x:c r="F350" s="22" t="str">
        <x:v>其他农用地</x:v>
      </x:c>
      <x:c r="G350" s="32" t="str">
        <x:v>1202</x:v>
      </x:c>
      <x:c r="H350" s="32" t="str">
        <x:v>1202</x:v>
      </x:c>
      <x:c r="I350" s="22" t="str">
        <x:v>设施农用地</x:v>
      </x:c>
      <x:c r="J350" s="22" t="str">
        <x:v>农业生态</x:v>
      </x:c>
      <x:c r="K350" s="32" t="str"/>
      <x:c r="L350" s="22" t="str">
        <x:v>不适用/未标注</x:v>
      </x:c>
      <x:c r="M350" s="33" t="n">
        <x:v>1121932.2099999995</x:v>
      </x:c>
      <x:c r="N350" s="33" t="n">
        <x:v>112.19322099999995</x:v>
      </x:c>
      <x:c r="O350" s="22" t="str">
        <x:v>公顷</x:v>
      </x:c>
      <x:c r="P350" s="22" t="str">
        <x:v>未提供（单期横截面）</x:v>
      </x:c>
      <x:c r="Q350" s="23" t="n">
        <x:v>1658</x:v>
      </x:c>
    </x:row>
    <x:row r="351">
      <x:c r="A351" s="30" t="n">
        <x:v>350200</x:v>
      </x:c>
      <x:c r="B351" s="22" t="str">
        <x:v>厦门市</x:v>
      </x:c>
      <x:c r="C351" s="31" t="n">
        <x:v>350211</x:v>
      </x:c>
      <x:c r="D351" s="22" t="str">
        <x:v>集美区</x:v>
      </x:c>
      <x:c r="E351" s="22" t="str">
        <x:v>农用地</x:v>
      </x:c>
      <x:c r="F351" s="22" t="str">
        <x:v>耕地</x:v>
      </x:c>
      <x:c r="G351" s="32" t="str">
        <x:v>101</x:v>
      </x:c>
      <x:c r="H351" s="32" t="str">
        <x:v>101</x:v>
      </x:c>
      <x:c r="I351" s="22" t="str">
        <x:v>水田</x:v>
      </x:c>
      <x:c r="J351" s="22" t="str">
        <x:v>农业生态</x:v>
      </x:c>
      <x:c r="K351" s="32" t="str">
        <x:v>201</x:v>
      </x:c>
      <x:c r="L351" s="22" t="str">
        <x:v>城市范围</x:v>
      </x:c>
      <x:c r="M351" s="33" t="n">
        <x:v>163699.47999999998</x:v>
      </x:c>
      <x:c r="N351" s="33" t="n">
        <x:v>16.369947999999997</x:v>
      </x:c>
      <x:c r="O351" s="22" t="str">
        <x:v>公顷</x:v>
      </x:c>
      <x:c r="P351" s="22" t="str">
        <x:v>未提供（单期横截面）</x:v>
      </x:c>
      <x:c r="Q351" s="23" t="n">
        <x:v>1659</x:v>
      </x:c>
    </x:row>
    <x:row r="352">
      <x:c r="A352" s="30" t="n">
        <x:v>350200</x:v>
      </x:c>
      <x:c r="B352" s="22" t="str">
        <x:v>厦门市</x:v>
      </x:c>
      <x:c r="C352" s="31" t="n">
        <x:v>350211</x:v>
      </x:c>
      <x:c r="D352" s="22" t="str">
        <x:v>集美区</x:v>
      </x:c>
      <x:c r="E352" s="22" t="str">
        <x:v>农用地</x:v>
      </x:c>
      <x:c r="F352" s="22" t="str">
        <x:v>耕地</x:v>
      </x:c>
      <x:c r="G352" s="32" t="str">
        <x:v>102</x:v>
      </x:c>
      <x:c r="H352" s="32" t="str">
        <x:v>102</x:v>
      </x:c>
      <x:c r="I352" s="22" t="str">
        <x:v>水浇地</x:v>
      </x:c>
      <x:c r="J352" s="22" t="str">
        <x:v>农业生态</x:v>
      </x:c>
      <x:c r="K352" s="32" t="str">
        <x:v>201</x:v>
      </x:c>
      <x:c r="L352" s="22" t="str">
        <x:v>城市范围</x:v>
      </x:c>
      <x:c r="M352" s="33" t="n">
        <x:v>117440.44</x:v>
      </x:c>
      <x:c r="N352" s="33" t="n">
        <x:v>11.744044</x:v>
      </x:c>
      <x:c r="O352" s="22" t="str">
        <x:v>公顷</x:v>
      </x:c>
      <x:c r="P352" s="22" t="str">
        <x:v>未提供（单期横截面）</x:v>
      </x:c>
      <x:c r="Q352" s="23" t="n">
        <x:v>1660</x:v>
      </x:c>
    </x:row>
    <x:row r="353">
      <x:c r="A353" s="30" t="n">
        <x:v>350200</x:v>
      </x:c>
      <x:c r="B353" s="22" t="str">
        <x:v>厦门市</x:v>
      </x:c>
      <x:c r="C353" s="31" t="n">
        <x:v>350211</x:v>
      </x:c>
      <x:c r="D353" s="22" t="str">
        <x:v>集美区</x:v>
      </x:c>
      <x:c r="E353" s="22" t="str">
        <x:v>农用地</x:v>
      </x:c>
      <x:c r="F353" s="22" t="str">
        <x:v>耕地</x:v>
      </x:c>
      <x:c r="G353" s="32" t="str">
        <x:v>103</x:v>
      </x:c>
      <x:c r="H353" s="32" t="str">
        <x:v>103</x:v>
      </x:c>
      <x:c r="I353" s="22" t="str">
        <x:v>旱地</x:v>
      </x:c>
      <x:c r="J353" s="22" t="str">
        <x:v>农业生态</x:v>
      </x:c>
      <x:c r="K353" s="32" t="str">
        <x:v>201</x:v>
      </x:c>
      <x:c r="L353" s="22" t="str">
        <x:v>城市范围</x:v>
      </x:c>
      <x:c r="M353" s="33" t="n">
        <x:v>307060.50000000006</x:v>
      </x:c>
      <x:c r="N353" s="33" t="n">
        <x:v>30.706050000000005</x:v>
      </x:c>
      <x:c r="O353" s="22" t="str">
        <x:v>公顷</x:v>
      </x:c>
      <x:c r="P353" s="22" t="str">
        <x:v>未提供（单期横截面）</x:v>
      </x:c>
      <x:c r="Q353" s="23" t="n">
        <x:v>1661</x:v>
      </x:c>
    </x:row>
    <x:row r="354">
      <x:c r="A354" s="30" t="n">
        <x:v>350200</x:v>
      </x:c>
      <x:c r="B354" s="22" t="str">
        <x:v>厦门市</x:v>
      </x:c>
      <x:c r="C354" s="31" t="n">
        <x:v>350211</x:v>
      </x:c>
      <x:c r="D354" s="22" t="str">
        <x:v>集美区</x:v>
      </x:c>
      <x:c r="E354" s="22" t="str">
        <x:v>农用地</x:v>
      </x:c>
      <x:c r="F354" s="22" t="str">
        <x:v>园地</x:v>
      </x:c>
      <x:c r="G354" s="32" t="str">
        <x:v>201</x:v>
      </x:c>
      <x:c r="H354" s="32" t="str">
        <x:v>201</x:v>
      </x:c>
      <x:c r="I354" s="22" t="str">
        <x:v>果园</x:v>
      </x:c>
      <x:c r="J354" s="22" t="str">
        <x:v>农业生态</x:v>
      </x:c>
      <x:c r="K354" s="32" t="str">
        <x:v>201</x:v>
      </x:c>
      <x:c r="L354" s="22" t="str">
        <x:v>城市范围</x:v>
      </x:c>
      <x:c r="M354" s="33" t="n">
        <x:v>325776.93999999994</x:v>
      </x:c>
      <x:c r="N354" s="33" t="n">
        <x:v>32.577693999999994</x:v>
      </x:c>
      <x:c r="O354" s="22" t="str">
        <x:v>公顷</x:v>
      </x:c>
      <x:c r="P354" s="22" t="str">
        <x:v>未提供（单期横截面）</x:v>
      </x:c>
      <x:c r="Q354" s="23" t="n">
        <x:v>1662</x:v>
      </x:c>
    </x:row>
    <x:row r="355">
      <x:c r="A355" s="30" t="n">
        <x:v>350200</x:v>
      </x:c>
      <x:c r="B355" s="22" t="str">
        <x:v>厦门市</x:v>
      </x:c>
      <x:c r="C355" s="31" t="n">
        <x:v>350211</x:v>
      </x:c>
      <x:c r="D355" s="22" t="str">
        <x:v>集美区</x:v>
      </x:c>
      <x:c r="E355" s="22" t="str">
        <x:v>农用地</x:v>
      </x:c>
      <x:c r="F355" s="22" t="str">
        <x:v>园地</x:v>
      </x:c>
      <x:c r="G355" s="32" t="str">
        <x:v>204</x:v>
      </x:c>
      <x:c r="H355" s="32" t="str">
        <x:v>204</x:v>
      </x:c>
      <x:c r="I355" s="22" t="str">
        <x:v>其他园地</x:v>
      </x:c>
      <x:c r="J355" s="22" t="str">
        <x:v>农业生态</x:v>
      </x:c>
      <x:c r="K355" s="32" t="str">
        <x:v>201</x:v>
      </x:c>
      <x:c r="L355" s="22" t="str">
        <x:v>城市范围</x:v>
      </x:c>
      <x:c r="M355" s="33" t="n">
        <x:v>18515.12</x:v>
      </x:c>
      <x:c r="N355" s="33" t="n">
        <x:v>1.8515119999999998</x:v>
      </x:c>
      <x:c r="O355" s="22" t="str">
        <x:v>公顷</x:v>
      </x:c>
      <x:c r="P355" s="22" t="str">
        <x:v>未提供（单期横截面）</x:v>
      </x:c>
      <x:c r="Q355" s="23" t="n">
        <x:v>1663</x:v>
      </x:c>
    </x:row>
    <x:row r="356">
      <x:c r="A356" s="30" t="n">
        <x:v>350200</x:v>
      </x:c>
      <x:c r="B356" s="22" t="str">
        <x:v>厦门市</x:v>
      </x:c>
      <x:c r="C356" s="31" t="n">
        <x:v>350211</x:v>
      </x:c>
      <x:c r="D356" s="22" t="str">
        <x:v>集美区</x:v>
      </x:c>
      <x:c r="E356" s="22" t="str">
        <x:v>农用地</x:v>
      </x:c>
      <x:c r="F356" s="22" t="str">
        <x:v>林地</x:v>
      </x:c>
      <x:c r="G356" s="32" t="str">
        <x:v>301</x:v>
      </x:c>
      <x:c r="H356" s="32" t="str">
        <x:v>301</x:v>
      </x:c>
      <x:c r="I356" s="22" t="str">
        <x:v>乔木林地</x:v>
      </x:c>
      <x:c r="J356" s="22" t="str">
        <x:v>农业生态</x:v>
      </x:c>
      <x:c r="K356" s="32" t="str">
        <x:v>201</x:v>
      </x:c>
      <x:c r="L356" s="22" t="str">
        <x:v>城市范围</x:v>
      </x:c>
      <x:c r="M356" s="33" t="n">
        <x:v>937208.7800000001</x:v>
      </x:c>
      <x:c r="N356" s="33" t="n">
        <x:v>93.72087800000001</x:v>
      </x:c>
      <x:c r="O356" s="22" t="str">
        <x:v>公顷</x:v>
      </x:c>
      <x:c r="P356" s="22" t="str">
        <x:v>未提供（单期横截面）</x:v>
      </x:c>
      <x:c r="Q356" s="23" t="n">
        <x:v>1664</x:v>
      </x:c>
    </x:row>
    <x:row r="357">
      <x:c r="A357" s="30" t="n">
        <x:v>350200</x:v>
      </x:c>
      <x:c r="B357" s="22" t="str">
        <x:v>厦门市</x:v>
      </x:c>
      <x:c r="C357" s="31" t="n">
        <x:v>350211</x:v>
      </x:c>
      <x:c r="D357" s="22" t="str">
        <x:v>集美区</x:v>
      </x:c>
      <x:c r="E357" s="22" t="str">
        <x:v>农用地</x:v>
      </x:c>
      <x:c r="F357" s="22" t="str">
        <x:v>林地</x:v>
      </x:c>
      <x:c r="G357" s="32" t="str">
        <x:v>305</x:v>
      </x:c>
      <x:c r="H357" s="32" t="str">
        <x:v>305</x:v>
      </x:c>
      <x:c r="I357" s="22" t="str">
        <x:v>灌木林地</x:v>
      </x:c>
      <x:c r="J357" s="22" t="str">
        <x:v>农业生态</x:v>
      </x:c>
      <x:c r="K357" s="32" t="str">
        <x:v>201</x:v>
      </x:c>
      <x:c r="L357" s="22" t="str">
        <x:v>城市范围</x:v>
      </x:c>
      <x:c r="M357" s="33" t="n">
        <x:v>86349.55</x:v>
      </x:c>
      <x:c r="N357" s="33" t="n">
        <x:v>8.634955</x:v>
      </x:c>
      <x:c r="O357" s="22" t="str">
        <x:v>公顷</x:v>
      </x:c>
      <x:c r="P357" s="22" t="str">
        <x:v>未提供（单期横截面）</x:v>
      </x:c>
      <x:c r="Q357" s="23" t="n">
        <x:v>1665</x:v>
      </x:c>
    </x:row>
    <x:row r="358">
      <x:c r="A358" s="30" t="n">
        <x:v>350200</x:v>
      </x:c>
      <x:c r="B358" s="22" t="str">
        <x:v>厦门市</x:v>
      </x:c>
      <x:c r="C358" s="31" t="n">
        <x:v>350211</x:v>
      </x:c>
      <x:c r="D358" s="22" t="str">
        <x:v>集美区</x:v>
      </x:c>
      <x:c r="E358" s="22" t="str">
        <x:v>农用地</x:v>
      </x:c>
      <x:c r="F358" s="22" t="str">
        <x:v>林地</x:v>
      </x:c>
      <x:c r="G358" s="32" t="str">
        <x:v>307</x:v>
      </x:c>
      <x:c r="H358" s="32" t="str">
        <x:v>307</x:v>
      </x:c>
      <x:c r="I358" s="22" t="str">
        <x:v>其他林地</x:v>
      </x:c>
      <x:c r="J358" s="22" t="str">
        <x:v>农业生态</x:v>
      </x:c>
      <x:c r="K358" s="32" t="str">
        <x:v>201</x:v>
      </x:c>
      <x:c r="L358" s="22" t="str">
        <x:v>城市范围</x:v>
      </x:c>
      <x:c r="M358" s="33" t="n">
        <x:v>215677.30999999997</x:v>
      </x:c>
      <x:c r="N358" s="33" t="n">
        <x:v>21.567731</x:v>
      </x:c>
      <x:c r="O358" s="22" t="str">
        <x:v>公顷</x:v>
      </x:c>
      <x:c r="P358" s="22" t="str">
        <x:v>未提供（单期横截面）</x:v>
      </x:c>
      <x:c r="Q358" s="23" t="n">
        <x:v>1666</x:v>
      </x:c>
    </x:row>
    <x:row r="359">
      <x:c r="A359" s="30" t="n">
        <x:v>350200</x:v>
      </x:c>
      <x:c r="B359" s="22" t="str">
        <x:v>厦门市</x:v>
      </x:c>
      <x:c r="C359" s="31" t="n">
        <x:v>350211</x:v>
      </x:c>
      <x:c r="D359" s="22" t="str">
        <x:v>集美区</x:v>
      </x:c>
      <x:c r="E359" s="22" t="str">
        <x:v>农用地</x:v>
      </x:c>
      <x:c r="F359" s="22" t="str">
        <x:v>水域及水利设施</x:v>
      </x:c>
      <x:c r="G359" s="32" t="str">
        <x:v>1103</x:v>
      </x:c>
      <x:c r="H359" s="32" t="str">
        <x:v>1103</x:v>
      </x:c>
      <x:c r="I359" s="22" t="str">
        <x:v>水库水面</x:v>
      </x:c>
      <x:c r="J359" s="22" t="str">
        <x:v>农业生态</x:v>
      </x:c>
      <x:c r="K359" s="32" t="str">
        <x:v>201</x:v>
      </x:c>
      <x:c r="L359" s="22" t="str">
        <x:v>城市范围</x:v>
      </x:c>
      <x:c r="M359" s="33" t="n">
        <x:v>2645.65</x:v>
      </x:c>
      <x:c r="N359" s="33" t="n">
        <x:v>0.264565</x:v>
      </x:c>
      <x:c r="O359" s="22" t="str">
        <x:v>公顷</x:v>
      </x:c>
      <x:c r="P359" s="22" t="str">
        <x:v>未提供（单期横截面）</x:v>
      </x:c>
      <x:c r="Q359" s="23" t="n">
        <x:v>1667</x:v>
      </x:c>
    </x:row>
    <x:row r="360">
      <x:c r="A360" s="30" t="n">
        <x:v>350200</x:v>
      </x:c>
      <x:c r="B360" s="22" t="str">
        <x:v>厦门市</x:v>
      </x:c>
      <x:c r="C360" s="31" t="n">
        <x:v>350211</x:v>
      </x:c>
      <x:c r="D360" s="22" t="str">
        <x:v>集美区</x:v>
      </x:c>
      <x:c r="E360" s="22" t="str">
        <x:v>农用地</x:v>
      </x:c>
      <x:c r="F360" s="22" t="str">
        <x:v>水域及水利设施</x:v>
      </x:c>
      <x:c r="G360" s="32" t="str">
        <x:v>1104</x:v>
      </x:c>
      <x:c r="H360" s="32" t="str">
        <x:v>1104</x:v>
      </x:c>
      <x:c r="I360" s="22" t="str">
        <x:v>坑塘水面</x:v>
      </x:c>
      <x:c r="J360" s="22" t="str">
        <x:v>农业生态</x:v>
      </x:c>
      <x:c r="K360" s="32" t="str">
        <x:v>201</x:v>
      </x:c>
      <x:c r="L360" s="22" t="str">
        <x:v>城市范围</x:v>
      </x:c>
      <x:c r="M360" s="33" t="n">
        <x:v>456497.19999999984</x:v>
      </x:c>
      <x:c r="N360" s="33" t="n">
        <x:v>45.64971999999998</x:v>
      </x:c>
      <x:c r="O360" s="22" t="str">
        <x:v>公顷</x:v>
      </x:c>
      <x:c r="P360" s="22" t="str">
        <x:v>未提供（单期横截面）</x:v>
      </x:c>
      <x:c r="Q360" s="23" t="n">
        <x:v>1668</x:v>
      </x:c>
    </x:row>
    <x:row r="361">
      <x:c r="A361" s="30" t="n">
        <x:v>350200</x:v>
      </x:c>
      <x:c r="B361" s="22" t="str">
        <x:v>厦门市</x:v>
      </x:c>
      <x:c r="C361" s="31" t="n">
        <x:v>350211</x:v>
      </x:c>
      <x:c r="D361" s="22" t="str">
        <x:v>集美区</x:v>
      </x:c>
      <x:c r="E361" s="22" t="str">
        <x:v>农用地</x:v>
      </x:c>
      <x:c r="F361" s="22" t="str">
        <x:v>水域及水利设施</x:v>
      </x:c>
      <x:c r="G361" s="32" t="str">
        <x:v>1107</x:v>
      </x:c>
      <x:c r="H361" s="32" t="str">
        <x:v>1107</x:v>
      </x:c>
      <x:c r="I361" s="22" t="str">
        <x:v>沟渠</x:v>
      </x:c>
      <x:c r="J361" s="22" t="str">
        <x:v>农业生态</x:v>
      </x:c>
      <x:c r="K361" s="32" t="str">
        <x:v>201</x:v>
      </x:c>
      <x:c r="L361" s="22" t="str">
        <x:v>城市范围</x:v>
      </x:c>
      <x:c r="M361" s="33" t="n">
        <x:v>90637.05</x:v>
      </x:c>
      <x:c r="N361" s="33" t="n">
        <x:v>9.063705</x:v>
      </x:c>
      <x:c r="O361" s="22" t="str">
        <x:v>公顷</x:v>
      </x:c>
      <x:c r="P361" s="22" t="str">
        <x:v>未提供（单期横截面）</x:v>
      </x:c>
      <x:c r="Q361" s="23" t="n">
        <x:v>1669</x:v>
      </x:c>
    </x:row>
    <x:row r="362">
      <x:c r="A362" s="30" t="n">
        <x:v>350200</x:v>
      </x:c>
      <x:c r="B362" s="22" t="str">
        <x:v>厦门市</x:v>
      </x:c>
      <x:c r="C362" s="31" t="n">
        <x:v>350211</x:v>
      </x:c>
      <x:c r="D362" s="22" t="str">
        <x:v>集美区</x:v>
      </x:c>
      <x:c r="E362" s="22" t="str">
        <x:v>农用地</x:v>
      </x:c>
      <x:c r="F362" s="22" t="str">
        <x:v>其他农用地</x:v>
      </x:c>
      <x:c r="G362" s="32" t="str">
        <x:v>1202</x:v>
      </x:c>
      <x:c r="H362" s="32" t="str">
        <x:v>1202</x:v>
      </x:c>
      <x:c r="I362" s="22" t="str">
        <x:v>设施农用地</x:v>
      </x:c>
      <x:c r="J362" s="22" t="str">
        <x:v>农业生态</x:v>
      </x:c>
      <x:c r="K362" s="32" t="str">
        <x:v>201</x:v>
      </x:c>
      <x:c r="L362" s="22" t="str">
        <x:v>城市范围</x:v>
      </x:c>
      <x:c r="M362" s="33" t="n">
        <x:v>18245.289999999997</x:v>
      </x:c>
      <x:c r="N362" s="33" t="n">
        <x:v>1.8245289999999996</x:v>
      </x:c>
      <x:c r="O362" s="22" t="str">
        <x:v>公顷</x:v>
      </x:c>
      <x:c r="P362" s="22" t="str">
        <x:v>未提供（单期横截面）</x:v>
      </x:c>
      <x:c r="Q362" s="23" t="n">
        <x:v>1670</x:v>
      </x:c>
    </x:row>
    <x:row r="363">
      <x:c r="A363" s="30" t="n">
        <x:v>350200</x:v>
      </x:c>
      <x:c r="B363" s="22" t="str">
        <x:v>厦门市</x:v>
      </x:c>
      <x:c r="C363" s="31" t="n">
        <x:v>350211</x:v>
      </x:c>
      <x:c r="D363" s="22" t="str">
        <x:v>集美区</x:v>
      </x:c>
      <x:c r="E363" s="22" t="str">
        <x:v>农用地</x:v>
      </x:c>
      <x:c r="F363" s="22" t="str">
        <x:v>耕地</x:v>
      </x:c>
      <x:c r="G363" s="32" t="str">
        <x:v>101</x:v>
      </x:c>
      <x:c r="H363" s="32" t="str">
        <x:v>101</x:v>
      </x:c>
      <x:c r="I363" s="22" t="str">
        <x:v>水田</x:v>
      </x:c>
      <x:c r="J363" s="22" t="str">
        <x:v>农业生态</x:v>
      </x:c>
      <x:c r="K363" s="32" t="str">
        <x:v>202</x:v>
      </x:c>
      <x:c r="L363" s="22" t="str">
        <x:v>建制镇范围</x:v>
      </x:c>
      <x:c r="M363" s="33" t="n">
        <x:v>21675.03</x:v>
      </x:c>
      <x:c r="N363" s="33" t="n">
        <x:v>2.167503</x:v>
      </x:c>
      <x:c r="O363" s="22" t="str">
        <x:v>公顷</x:v>
      </x:c>
      <x:c r="P363" s="22" t="str">
        <x:v>未提供（单期横截面）</x:v>
      </x:c>
      <x:c r="Q363" s="23" t="n">
        <x:v>1671</x:v>
      </x:c>
    </x:row>
    <x:row r="364">
      <x:c r="A364" s="30" t="n">
        <x:v>350200</x:v>
      </x:c>
      <x:c r="B364" s="22" t="str">
        <x:v>厦门市</x:v>
      </x:c>
      <x:c r="C364" s="31" t="n">
        <x:v>350211</x:v>
      </x:c>
      <x:c r="D364" s="22" t="str">
        <x:v>集美区</x:v>
      </x:c>
      <x:c r="E364" s="22" t="str">
        <x:v>农用地</x:v>
      </x:c>
      <x:c r="F364" s="22" t="str">
        <x:v>耕地</x:v>
      </x:c>
      <x:c r="G364" s="32" t="str">
        <x:v>102</x:v>
      </x:c>
      <x:c r="H364" s="32" t="str">
        <x:v>102</x:v>
      </x:c>
      <x:c r="I364" s="22" t="str">
        <x:v>水浇地</x:v>
      </x:c>
      <x:c r="J364" s="22" t="str">
        <x:v>农业生态</x:v>
      </x:c>
      <x:c r="K364" s="32" t="str">
        <x:v>202</x:v>
      </x:c>
      <x:c r="L364" s="22" t="str">
        <x:v>建制镇范围</x:v>
      </x:c>
      <x:c r="M364" s="33" t="n">
        <x:v>9637.470000000001</x:v>
      </x:c>
      <x:c r="N364" s="33" t="n">
        <x:v>0.9637470000000001</x:v>
      </x:c>
      <x:c r="O364" s="22" t="str">
        <x:v>公顷</x:v>
      </x:c>
      <x:c r="P364" s="22" t="str">
        <x:v>未提供（单期横截面）</x:v>
      </x:c>
      <x:c r="Q364" s="23" t="n">
        <x:v>1672</x:v>
      </x:c>
    </x:row>
    <x:row r="365">
      <x:c r="A365" s="30" t="n">
        <x:v>350200</x:v>
      </x:c>
      <x:c r="B365" s="22" t="str">
        <x:v>厦门市</x:v>
      </x:c>
      <x:c r="C365" s="31" t="n">
        <x:v>350211</x:v>
      </x:c>
      <x:c r="D365" s="22" t="str">
        <x:v>集美区</x:v>
      </x:c>
      <x:c r="E365" s="22" t="str">
        <x:v>农用地</x:v>
      </x:c>
      <x:c r="F365" s="22" t="str">
        <x:v>耕地</x:v>
      </x:c>
      <x:c r="G365" s="32" t="str">
        <x:v>103</x:v>
      </x:c>
      <x:c r="H365" s="32" t="str">
        <x:v>103</x:v>
      </x:c>
      <x:c r="I365" s="22" t="str">
        <x:v>旱地</x:v>
      </x:c>
      <x:c r="J365" s="22" t="str">
        <x:v>农业生态</x:v>
      </x:c>
      <x:c r="K365" s="32" t="str">
        <x:v>202</x:v>
      </x:c>
      <x:c r="L365" s="22" t="str">
        <x:v>建制镇范围</x:v>
      </x:c>
      <x:c r="M365" s="33" t="n">
        <x:v>54549.329999999994</x:v>
      </x:c>
      <x:c r="N365" s="33" t="n">
        <x:v>5.454933</x:v>
      </x:c>
      <x:c r="O365" s="22" t="str">
        <x:v>公顷</x:v>
      </x:c>
      <x:c r="P365" s="22" t="str">
        <x:v>未提供（单期横截面）</x:v>
      </x:c>
      <x:c r="Q365" s="23" t="n">
        <x:v>1673</x:v>
      </x:c>
    </x:row>
    <x:row r="366">
      <x:c r="A366" s="30" t="n">
        <x:v>350200</x:v>
      </x:c>
      <x:c r="B366" s="22" t="str">
        <x:v>厦门市</x:v>
      </x:c>
      <x:c r="C366" s="31" t="n">
        <x:v>350211</x:v>
      </x:c>
      <x:c r="D366" s="22" t="str">
        <x:v>集美区</x:v>
      </x:c>
      <x:c r="E366" s="22" t="str">
        <x:v>农用地</x:v>
      </x:c>
      <x:c r="F366" s="22" t="str">
        <x:v>园地</x:v>
      </x:c>
      <x:c r="G366" s="32" t="str">
        <x:v>201</x:v>
      </x:c>
      <x:c r="H366" s="32" t="str">
        <x:v>201</x:v>
      </x:c>
      <x:c r="I366" s="22" t="str">
        <x:v>果园</x:v>
      </x:c>
      <x:c r="J366" s="22" t="str">
        <x:v>农业生态</x:v>
      </x:c>
      <x:c r="K366" s="32" t="str">
        <x:v>202</x:v>
      </x:c>
      <x:c r="L366" s="22" t="str">
        <x:v>建制镇范围</x:v>
      </x:c>
      <x:c r="M366" s="33" t="n">
        <x:v>49351.73</x:v>
      </x:c>
      <x:c r="N366" s="33" t="n">
        <x:v>4.935173000000001</x:v>
      </x:c>
      <x:c r="O366" s="22" t="str">
        <x:v>公顷</x:v>
      </x:c>
      <x:c r="P366" s="22" t="str">
        <x:v>未提供（单期横截面）</x:v>
      </x:c>
      <x:c r="Q366" s="23" t="n">
        <x:v>1674</x:v>
      </x:c>
    </x:row>
    <x:row r="367">
      <x:c r="A367" s="30" t="n">
        <x:v>350200</x:v>
      </x:c>
      <x:c r="B367" s="22" t="str">
        <x:v>厦门市</x:v>
      </x:c>
      <x:c r="C367" s="31" t="n">
        <x:v>350211</x:v>
      </x:c>
      <x:c r="D367" s="22" t="str">
        <x:v>集美区</x:v>
      </x:c>
      <x:c r="E367" s="22" t="str">
        <x:v>农用地</x:v>
      </x:c>
      <x:c r="F367" s="22" t="str">
        <x:v>园地</x:v>
      </x:c>
      <x:c r="G367" s="32" t="str">
        <x:v>204</x:v>
      </x:c>
      <x:c r="H367" s="32" t="str">
        <x:v>204</x:v>
      </x:c>
      <x:c r="I367" s="22" t="str">
        <x:v>其他园地</x:v>
      </x:c>
      <x:c r="J367" s="22" t="str">
        <x:v>农业生态</x:v>
      </x:c>
      <x:c r="K367" s="32" t="str">
        <x:v>202</x:v>
      </x:c>
      <x:c r="L367" s="22" t="str">
        <x:v>建制镇范围</x:v>
      </x:c>
      <x:c r="M367" s="33" t="n">
        <x:v>821.82</x:v>
      </x:c>
      <x:c r="N367" s="33" t="n">
        <x:v>0.082182</x:v>
      </x:c>
      <x:c r="O367" s="22" t="str">
        <x:v>公顷</x:v>
      </x:c>
      <x:c r="P367" s="22" t="str">
        <x:v>未提供（单期横截面）</x:v>
      </x:c>
      <x:c r="Q367" s="23" t="n">
        <x:v>1675</x:v>
      </x:c>
    </x:row>
    <x:row r="368">
      <x:c r="A368" s="30" t="n">
        <x:v>350200</x:v>
      </x:c>
      <x:c r="B368" s="22" t="str">
        <x:v>厦门市</x:v>
      </x:c>
      <x:c r="C368" s="31" t="n">
        <x:v>350211</x:v>
      </x:c>
      <x:c r="D368" s="22" t="str">
        <x:v>集美区</x:v>
      </x:c>
      <x:c r="E368" s="22" t="str">
        <x:v>农用地</x:v>
      </x:c>
      <x:c r="F368" s="22" t="str">
        <x:v>林地</x:v>
      </x:c>
      <x:c r="G368" s="32" t="str">
        <x:v>301</x:v>
      </x:c>
      <x:c r="H368" s="32" t="str">
        <x:v>301</x:v>
      </x:c>
      <x:c r="I368" s="22" t="str">
        <x:v>乔木林地</x:v>
      </x:c>
      <x:c r="J368" s="22" t="str">
        <x:v>农业生态</x:v>
      </x:c>
      <x:c r="K368" s="32" t="str">
        <x:v>202</x:v>
      </x:c>
      <x:c r="L368" s="22" t="str">
        <x:v>建制镇范围</x:v>
      </x:c>
      <x:c r="M368" s="33" t="n">
        <x:v>27327.33</x:v>
      </x:c>
      <x:c r="N368" s="33" t="n">
        <x:v>2.732733</x:v>
      </x:c>
      <x:c r="O368" s="22" t="str">
        <x:v>公顷</x:v>
      </x:c>
      <x:c r="P368" s="22" t="str">
        <x:v>未提供（单期横截面）</x:v>
      </x:c>
      <x:c r="Q368" s="23" t="n">
        <x:v>1676</x:v>
      </x:c>
    </x:row>
    <x:row r="369">
      <x:c r="A369" s="30" t="n">
        <x:v>350200</x:v>
      </x:c>
      <x:c r="B369" s="22" t="str">
        <x:v>厦门市</x:v>
      </x:c>
      <x:c r="C369" s="31" t="n">
        <x:v>350211</x:v>
      </x:c>
      <x:c r="D369" s="22" t="str">
        <x:v>集美区</x:v>
      </x:c>
      <x:c r="E369" s="22" t="str">
        <x:v>农用地</x:v>
      </x:c>
      <x:c r="F369" s="22" t="str">
        <x:v>林地</x:v>
      </x:c>
      <x:c r="G369" s="32" t="str">
        <x:v>305</x:v>
      </x:c>
      <x:c r="H369" s="32" t="str">
        <x:v>305</x:v>
      </x:c>
      <x:c r="I369" s="22" t="str">
        <x:v>灌木林地</x:v>
      </x:c>
      <x:c r="J369" s="22" t="str">
        <x:v>农业生态</x:v>
      </x:c>
      <x:c r="K369" s="32" t="str">
        <x:v>202</x:v>
      </x:c>
      <x:c r="L369" s="22" t="str">
        <x:v>建制镇范围</x:v>
      </x:c>
      <x:c r="M369" s="33" t="n">
        <x:v>19474.29</x:v>
      </x:c>
      <x:c r="N369" s="33" t="n">
        <x:v>1.947429</x:v>
      </x:c>
      <x:c r="O369" s="22" t="str">
        <x:v>公顷</x:v>
      </x:c>
      <x:c r="P369" s="22" t="str">
        <x:v>未提供（单期横截面）</x:v>
      </x:c>
      <x:c r="Q369" s="23" t="n">
        <x:v>1677</x:v>
      </x:c>
    </x:row>
    <x:row r="370">
      <x:c r="A370" s="30" t="n">
        <x:v>350200</x:v>
      </x:c>
      <x:c r="B370" s="22" t="str">
        <x:v>厦门市</x:v>
      </x:c>
      <x:c r="C370" s="31" t="n">
        <x:v>350211</x:v>
      </x:c>
      <x:c r="D370" s="22" t="str">
        <x:v>集美区</x:v>
      </x:c>
      <x:c r="E370" s="22" t="str">
        <x:v>农用地</x:v>
      </x:c>
      <x:c r="F370" s="22" t="str">
        <x:v>林地</x:v>
      </x:c>
      <x:c r="G370" s="32" t="str">
        <x:v>307</x:v>
      </x:c>
      <x:c r="H370" s="32" t="str">
        <x:v>307</x:v>
      </x:c>
      <x:c r="I370" s="22" t="str">
        <x:v>其他林地</x:v>
      </x:c>
      <x:c r="J370" s="22" t="str">
        <x:v>农业生态</x:v>
      </x:c>
      <x:c r="K370" s="32" t="str">
        <x:v>202</x:v>
      </x:c>
      <x:c r="L370" s="22" t="str">
        <x:v>建制镇范围</x:v>
      </x:c>
      <x:c r="M370" s="33" t="n">
        <x:v>27889.340000000004</x:v>
      </x:c>
      <x:c r="N370" s="33" t="n">
        <x:v>2.7889340000000002</x:v>
      </x:c>
      <x:c r="O370" s="22" t="str">
        <x:v>公顷</x:v>
      </x:c>
      <x:c r="P370" s="22" t="str">
        <x:v>未提供（单期横截面）</x:v>
      </x:c>
      <x:c r="Q370" s="23" t="n">
        <x:v>1678</x:v>
      </x:c>
    </x:row>
    <x:row r="371">
      <x:c r="A371" s="30" t="n">
        <x:v>350200</x:v>
      </x:c>
      <x:c r="B371" s="22" t="str">
        <x:v>厦门市</x:v>
      </x:c>
      <x:c r="C371" s="31" t="n">
        <x:v>350211</x:v>
      </x:c>
      <x:c r="D371" s="22" t="str">
        <x:v>集美区</x:v>
      </x:c>
      <x:c r="E371" s="22" t="str">
        <x:v>农用地</x:v>
      </x:c>
      <x:c r="F371" s="22" t="str">
        <x:v>水域及水利设施</x:v>
      </x:c>
      <x:c r="G371" s="32" t="str">
        <x:v>1103</x:v>
      </x:c>
      <x:c r="H371" s="32" t="str">
        <x:v>1103</x:v>
      </x:c>
      <x:c r="I371" s="22" t="str">
        <x:v>水库水面</x:v>
      </x:c>
      <x:c r="J371" s="22" t="str">
        <x:v>农业生态</x:v>
      </x:c>
      <x:c r="K371" s="32" t="str">
        <x:v>202</x:v>
      </x:c>
      <x:c r="L371" s="22" t="str">
        <x:v>建制镇范围</x:v>
      </x:c>
      <x:c r="M371" s="33" t="n">
        <x:v>32040.18</x:v>
      </x:c>
      <x:c r="N371" s="33" t="n">
        <x:v>3.204018</x:v>
      </x:c>
      <x:c r="O371" s="22" t="str">
        <x:v>公顷</x:v>
      </x:c>
      <x:c r="P371" s="22" t="str">
        <x:v>未提供（单期横截面）</x:v>
      </x:c>
      <x:c r="Q371" s="23" t="n">
        <x:v>1679</x:v>
      </x:c>
    </x:row>
    <x:row r="372">
      <x:c r="A372" s="30" t="n">
        <x:v>350200</x:v>
      </x:c>
      <x:c r="B372" s="22" t="str">
        <x:v>厦门市</x:v>
      </x:c>
      <x:c r="C372" s="31" t="n">
        <x:v>350211</x:v>
      </x:c>
      <x:c r="D372" s="22" t="str">
        <x:v>集美区</x:v>
      </x:c>
      <x:c r="E372" s="22" t="str">
        <x:v>农用地</x:v>
      </x:c>
      <x:c r="F372" s="22" t="str">
        <x:v>水域及水利设施</x:v>
      </x:c>
      <x:c r="G372" s="32" t="str">
        <x:v>1104</x:v>
      </x:c>
      <x:c r="H372" s="32" t="str">
        <x:v>1104</x:v>
      </x:c>
      <x:c r="I372" s="22" t="str">
        <x:v>坑塘水面</x:v>
      </x:c>
      <x:c r="J372" s="22" t="str">
        <x:v>农业生态</x:v>
      </x:c>
      <x:c r="K372" s="32" t="str">
        <x:v>202</x:v>
      </x:c>
      <x:c r="L372" s="22" t="str">
        <x:v>建制镇范围</x:v>
      </x:c>
      <x:c r="M372" s="33" t="n">
        <x:v>26437.93</x:v>
      </x:c>
      <x:c r="N372" s="33" t="n">
        <x:v>2.643793</x:v>
      </x:c>
      <x:c r="O372" s="22" t="str">
        <x:v>公顷</x:v>
      </x:c>
      <x:c r="P372" s="22" t="str">
        <x:v>未提供（单期横截面）</x:v>
      </x:c>
      <x:c r="Q372" s="23" t="n">
        <x:v>1680</x:v>
      </x:c>
    </x:row>
    <x:row r="373">
      <x:c r="A373" s="30" t="n">
        <x:v>350200</x:v>
      </x:c>
      <x:c r="B373" s="22" t="str">
        <x:v>厦门市</x:v>
      </x:c>
      <x:c r="C373" s="31" t="n">
        <x:v>350211</x:v>
      </x:c>
      <x:c r="D373" s="22" t="str">
        <x:v>集美区</x:v>
      </x:c>
      <x:c r="E373" s="22" t="str">
        <x:v>农用地</x:v>
      </x:c>
      <x:c r="F373" s="22" t="str">
        <x:v>水域及水利设施</x:v>
      </x:c>
      <x:c r="G373" s="32" t="str">
        <x:v>1107</x:v>
      </x:c>
      <x:c r="H373" s="32" t="str">
        <x:v>1107</x:v>
      </x:c>
      <x:c r="I373" s="22" t="str">
        <x:v>沟渠</x:v>
      </x:c>
      <x:c r="J373" s="22" t="str">
        <x:v>农业生态</x:v>
      </x:c>
      <x:c r="K373" s="32" t="str">
        <x:v>202</x:v>
      </x:c>
      <x:c r="L373" s="22" t="str">
        <x:v>建制镇范围</x:v>
      </x:c>
      <x:c r="M373" s="33" t="n">
        <x:v>9501.31</x:v>
      </x:c>
      <x:c r="N373" s="33" t="n">
        <x:v>0.950131</x:v>
      </x:c>
      <x:c r="O373" s="22" t="str">
        <x:v>公顷</x:v>
      </x:c>
      <x:c r="P373" s="22" t="str">
        <x:v>未提供（单期横截面）</x:v>
      </x:c>
      <x:c r="Q373" s="23" t="n">
        <x:v>1681</x:v>
      </x:c>
    </x:row>
    <x:row r="374">
      <x:c r="A374" s="30" t="n">
        <x:v>350200</x:v>
      </x:c>
      <x:c r="B374" s="22" t="str">
        <x:v>厦门市</x:v>
      </x:c>
      <x:c r="C374" s="31" t="n">
        <x:v>350211</x:v>
      </x:c>
      <x:c r="D374" s="22" t="str">
        <x:v>集美区</x:v>
      </x:c>
      <x:c r="E374" s="22" t="str">
        <x:v>农用地</x:v>
      </x:c>
      <x:c r="F374" s="22" t="str">
        <x:v>耕地</x:v>
      </x:c>
      <x:c r="G374" s="32" t="str">
        <x:v>101</x:v>
      </x:c>
      <x:c r="H374" s="32" t="str">
        <x:v>101</x:v>
      </x:c>
      <x:c r="I374" s="22" t="str">
        <x:v>水田</x:v>
      </x:c>
      <x:c r="J374" s="22" t="str">
        <x:v>农业生态</x:v>
      </x:c>
      <x:c r="K374" s="32" t="str">
        <x:v>203</x:v>
      </x:c>
      <x:c r="L374" s="22" t="str">
        <x:v>村庄范围</x:v>
      </x:c>
      <x:c r="M374" s="33" t="n">
        <x:v>25057.269999999997</x:v>
      </x:c>
      <x:c r="N374" s="33" t="n">
        <x:v>2.505727</x:v>
      </x:c>
      <x:c r="O374" s="22" t="str">
        <x:v>公顷</x:v>
      </x:c>
      <x:c r="P374" s="22" t="str">
        <x:v>未提供（单期横截面）</x:v>
      </x:c>
      <x:c r="Q374" s="23" t="n">
        <x:v>1682</x:v>
      </x:c>
    </x:row>
    <x:row r="375">
      <x:c r="A375" s="30" t="n">
        <x:v>350200</x:v>
      </x:c>
      <x:c r="B375" s="22" t="str">
        <x:v>厦门市</x:v>
      </x:c>
      <x:c r="C375" s="31" t="n">
        <x:v>350211</x:v>
      </x:c>
      <x:c r="D375" s="22" t="str">
        <x:v>集美区</x:v>
      </x:c>
      <x:c r="E375" s="22" t="str">
        <x:v>农用地</x:v>
      </x:c>
      <x:c r="F375" s="22" t="str">
        <x:v>耕地</x:v>
      </x:c>
      <x:c r="G375" s="32" t="str">
        <x:v>102</x:v>
      </x:c>
      <x:c r="H375" s="32" t="str">
        <x:v>102</x:v>
      </x:c>
      <x:c r="I375" s="22" t="str">
        <x:v>水浇地</x:v>
      </x:c>
      <x:c r="J375" s="22" t="str">
        <x:v>农业生态</x:v>
      </x:c>
      <x:c r="K375" s="32" t="str">
        <x:v>203</x:v>
      </x:c>
      <x:c r="L375" s="22" t="str">
        <x:v>村庄范围</x:v>
      </x:c>
      <x:c r="M375" s="33" t="n">
        <x:v>6725.63</x:v>
      </x:c>
      <x:c r="N375" s="33" t="n">
        <x:v>0.672563</x:v>
      </x:c>
      <x:c r="O375" s="22" t="str">
        <x:v>公顷</x:v>
      </x:c>
      <x:c r="P375" s="22" t="str">
        <x:v>未提供（单期横截面）</x:v>
      </x:c>
      <x:c r="Q375" s="23" t="n">
        <x:v>1683</x:v>
      </x:c>
    </x:row>
    <x:row r="376">
      <x:c r="A376" s="30" t="n">
        <x:v>350200</x:v>
      </x:c>
      <x:c r="B376" s="22" t="str">
        <x:v>厦门市</x:v>
      </x:c>
      <x:c r="C376" s="31" t="n">
        <x:v>350211</x:v>
      </x:c>
      <x:c r="D376" s="22" t="str">
        <x:v>集美区</x:v>
      </x:c>
      <x:c r="E376" s="22" t="str">
        <x:v>农用地</x:v>
      </x:c>
      <x:c r="F376" s="22" t="str">
        <x:v>耕地</x:v>
      </x:c>
      <x:c r="G376" s="32" t="str">
        <x:v>103</x:v>
      </x:c>
      <x:c r="H376" s="32" t="str">
        <x:v>103</x:v>
      </x:c>
      <x:c r="I376" s="22" t="str">
        <x:v>旱地</x:v>
      </x:c>
      <x:c r="J376" s="22" t="str">
        <x:v>农业生态</x:v>
      </x:c>
      <x:c r="K376" s="32" t="str">
        <x:v>203</x:v>
      </x:c>
      <x:c r="L376" s="22" t="str">
        <x:v>村庄范围</x:v>
      </x:c>
      <x:c r="M376" s="33" t="n">
        <x:v>41261.95</x:v>
      </x:c>
      <x:c r="N376" s="33" t="n">
        <x:v>4.126195</x:v>
      </x:c>
      <x:c r="O376" s="22" t="str">
        <x:v>公顷</x:v>
      </x:c>
      <x:c r="P376" s="22" t="str">
        <x:v>未提供（单期横截面）</x:v>
      </x:c>
      <x:c r="Q376" s="23" t="n">
        <x:v>1684</x:v>
      </x:c>
    </x:row>
    <x:row r="377">
      <x:c r="A377" s="30" t="n">
        <x:v>350200</x:v>
      </x:c>
      <x:c r="B377" s="22" t="str">
        <x:v>厦门市</x:v>
      </x:c>
      <x:c r="C377" s="31" t="n">
        <x:v>350211</x:v>
      </x:c>
      <x:c r="D377" s="22" t="str">
        <x:v>集美区</x:v>
      </x:c>
      <x:c r="E377" s="22" t="str">
        <x:v>农用地</x:v>
      </x:c>
      <x:c r="F377" s="22" t="str">
        <x:v>园地</x:v>
      </x:c>
      <x:c r="G377" s="32" t="str">
        <x:v>201</x:v>
      </x:c>
      <x:c r="H377" s="32" t="str">
        <x:v>201</x:v>
      </x:c>
      <x:c r="I377" s="22" t="str">
        <x:v>果园</x:v>
      </x:c>
      <x:c r="J377" s="22" t="str">
        <x:v>农业生态</x:v>
      </x:c>
      <x:c r="K377" s="32" t="str">
        <x:v>203</x:v>
      </x:c>
      <x:c r="L377" s="22" t="str">
        <x:v>村庄范围</x:v>
      </x:c>
      <x:c r="M377" s="33" t="n">
        <x:v>95097.68999999999</x:v>
      </x:c>
      <x:c r="N377" s="33" t="n">
        <x:v>9.509768999999999</x:v>
      </x:c>
      <x:c r="O377" s="22" t="str">
        <x:v>公顷</x:v>
      </x:c>
      <x:c r="P377" s="22" t="str">
        <x:v>未提供（单期横截面）</x:v>
      </x:c>
      <x:c r="Q377" s="23" t="n">
        <x:v>1685</x:v>
      </x:c>
    </x:row>
    <x:row r="378">
      <x:c r="A378" s="30" t="n">
        <x:v>350200</x:v>
      </x:c>
      <x:c r="B378" s="22" t="str">
        <x:v>厦门市</x:v>
      </x:c>
      <x:c r="C378" s="31" t="n">
        <x:v>350211</x:v>
      </x:c>
      <x:c r="D378" s="22" t="str">
        <x:v>集美区</x:v>
      </x:c>
      <x:c r="E378" s="22" t="str">
        <x:v>农用地</x:v>
      </x:c>
      <x:c r="F378" s="22" t="str">
        <x:v>林地</x:v>
      </x:c>
      <x:c r="G378" s="32" t="str">
        <x:v>301</x:v>
      </x:c>
      <x:c r="H378" s="32" t="str">
        <x:v>301</x:v>
      </x:c>
      <x:c r="I378" s="22" t="str">
        <x:v>乔木林地</x:v>
      </x:c>
      <x:c r="J378" s="22" t="str">
        <x:v>农业生态</x:v>
      </x:c>
      <x:c r="K378" s="32" t="str">
        <x:v>203</x:v>
      </x:c>
      <x:c r="L378" s="22" t="str">
        <x:v>村庄范围</x:v>
      </x:c>
      <x:c r="M378" s="33" t="n">
        <x:v>26258.800000000003</x:v>
      </x:c>
      <x:c r="N378" s="33" t="n">
        <x:v>2.6258800000000004</x:v>
      </x:c>
      <x:c r="O378" s="22" t="str">
        <x:v>公顷</x:v>
      </x:c>
      <x:c r="P378" s="22" t="str">
        <x:v>未提供（单期横截面）</x:v>
      </x:c>
      <x:c r="Q378" s="23" t="n">
        <x:v>1686</x:v>
      </x:c>
    </x:row>
    <x:row r="379">
      <x:c r="A379" s="30" t="n">
        <x:v>350200</x:v>
      </x:c>
      <x:c r="B379" s="22" t="str">
        <x:v>厦门市</x:v>
      </x:c>
      <x:c r="C379" s="31" t="n">
        <x:v>350211</x:v>
      </x:c>
      <x:c r="D379" s="22" t="str">
        <x:v>集美区</x:v>
      </x:c>
      <x:c r="E379" s="22" t="str">
        <x:v>农用地</x:v>
      </x:c>
      <x:c r="F379" s="22" t="str">
        <x:v>林地</x:v>
      </x:c>
      <x:c r="G379" s="32" t="str">
        <x:v>305</x:v>
      </x:c>
      <x:c r="H379" s="32" t="str">
        <x:v>305</x:v>
      </x:c>
      <x:c r="I379" s="22" t="str">
        <x:v>灌木林地</x:v>
      </x:c>
      <x:c r="J379" s="22" t="str">
        <x:v>农业生态</x:v>
      </x:c>
      <x:c r="K379" s="32" t="str">
        <x:v>203</x:v>
      </x:c>
      <x:c r="L379" s="22" t="str">
        <x:v>村庄范围</x:v>
      </x:c>
      <x:c r="M379" s="33" t="n">
        <x:v>10228.849999999999</x:v>
      </x:c>
      <x:c r="N379" s="33" t="n">
        <x:v>1.0228849999999998</x:v>
      </x:c>
      <x:c r="O379" s="22" t="str">
        <x:v>公顷</x:v>
      </x:c>
      <x:c r="P379" s="22" t="str">
        <x:v>未提供（单期横截面）</x:v>
      </x:c>
      <x:c r="Q379" s="23" t="n">
        <x:v>1687</x:v>
      </x:c>
    </x:row>
    <x:row r="380">
      <x:c r="A380" s="30" t="n">
        <x:v>350200</x:v>
      </x:c>
      <x:c r="B380" s="22" t="str">
        <x:v>厦门市</x:v>
      </x:c>
      <x:c r="C380" s="31" t="n">
        <x:v>350211</x:v>
      </x:c>
      <x:c r="D380" s="22" t="str">
        <x:v>集美区</x:v>
      </x:c>
      <x:c r="E380" s="22" t="str">
        <x:v>农用地</x:v>
      </x:c>
      <x:c r="F380" s="22" t="str">
        <x:v>林地</x:v>
      </x:c>
      <x:c r="G380" s="32" t="str">
        <x:v>307</x:v>
      </x:c>
      <x:c r="H380" s="32" t="str">
        <x:v>307</x:v>
      </x:c>
      <x:c r="I380" s="22" t="str">
        <x:v>其他林地</x:v>
      </x:c>
      <x:c r="J380" s="22" t="str">
        <x:v>农业生态</x:v>
      </x:c>
      <x:c r="K380" s="32" t="str">
        <x:v>203</x:v>
      </x:c>
      <x:c r="L380" s="22" t="str">
        <x:v>村庄范围</x:v>
      </x:c>
      <x:c r="M380" s="33" t="n">
        <x:v>21741.440000000002</x:v>
      </x:c>
      <x:c r="N380" s="33" t="n">
        <x:v>2.174144</x:v>
      </x:c>
      <x:c r="O380" s="22" t="str">
        <x:v>公顷</x:v>
      </x:c>
      <x:c r="P380" s="22" t="str">
        <x:v>未提供（单期横截面）</x:v>
      </x:c>
      <x:c r="Q380" s="23" t="n">
        <x:v>1688</x:v>
      </x:c>
    </x:row>
    <x:row r="381">
      <x:c r="A381" s="30" t="n">
        <x:v>350200</x:v>
      </x:c>
      <x:c r="B381" s="22" t="str">
        <x:v>厦门市</x:v>
      </x:c>
      <x:c r="C381" s="31" t="n">
        <x:v>350211</x:v>
      </x:c>
      <x:c r="D381" s="22" t="str">
        <x:v>集美区</x:v>
      </x:c>
      <x:c r="E381" s="22" t="str">
        <x:v>农用地</x:v>
      </x:c>
      <x:c r="F381" s="22" t="str">
        <x:v>其他农用地</x:v>
      </x:c>
      <x:c r="G381" s="32" t="str">
        <x:v>1006</x:v>
      </x:c>
      <x:c r="H381" s="32" t="str">
        <x:v>1006</x:v>
      </x:c>
      <x:c r="I381" s="22" t="str">
        <x:v>农村道路</x:v>
      </x:c>
      <x:c r="J381" s="22" t="str">
        <x:v>农业生态</x:v>
      </x:c>
      <x:c r="K381" s="32" t="str">
        <x:v>203</x:v>
      </x:c>
      <x:c r="L381" s="22" t="str">
        <x:v>村庄范围</x:v>
      </x:c>
      <x:c r="M381" s="33" t="n">
        <x:v>2764.9900000000002</x:v>
      </x:c>
      <x:c r="N381" s="33" t="n">
        <x:v>0.27649900000000005</x:v>
      </x:c>
      <x:c r="O381" s="22" t="str">
        <x:v>公顷</x:v>
      </x:c>
      <x:c r="P381" s="22" t="str">
        <x:v>未提供（单期横截面）</x:v>
      </x:c>
      <x:c r="Q381" s="23" t="n">
        <x:v>1689</x:v>
      </x:c>
    </x:row>
    <x:row r="382">
      <x:c r="A382" s="30" t="n">
        <x:v>350200</x:v>
      </x:c>
      <x:c r="B382" s="22" t="str">
        <x:v>厦门市</x:v>
      </x:c>
      <x:c r="C382" s="31" t="n">
        <x:v>350211</x:v>
      </x:c>
      <x:c r="D382" s="22" t="str">
        <x:v>集美区</x:v>
      </x:c>
      <x:c r="E382" s="22" t="str">
        <x:v>农用地</x:v>
      </x:c>
      <x:c r="F382" s="22" t="str">
        <x:v>水域及水利设施</x:v>
      </x:c>
      <x:c r="G382" s="32" t="str">
        <x:v>1104</x:v>
      </x:c>
      <x:c r="H382" s="32" t="str">
        <x:v>1104</x:v>
      </x:c>
      <x:c r="I382" s="22" t="str">
        <x:v>坑塘水面</x:v>
      </x:c>
      <x:c r="J382" s="22" t="str">
        <x:v>农业生态</x:v>
      </x:c>
      <x:c r="K382" s="32" t="str">
        <x:v>203</x:v>
      </x:c>
      <x:c r="L382" s="22" t="str">
        <x:v>村庄范围</x:v>
      </x:c>
      <x:c r="M382" s="33" t="n">
        <x:v>19221.510000000002</x:v>
      </x:c>
      <x:c r="N382" s="33" t="n">
        <x:v>1.9221510000000002</x:v>
      </x:c>
      <x:c r="O382" s="22" t="str">
        <x:v>公顷</x:v>
      </x:c>
      <x:c r="P382" s="22" t="str">
        <x:v>未提供（单期横截面）</x:v>
      </x:c>
      <x:c r="Q382" s="23" t="n">
        <x:v>1690</x:v>
      </x:c>
    </x:row>
    <x:row r="383">
      <x:c r="A383" s="30" t="n">
        <x:v>350200</x:v>
      </x:c>
      <x:c r="B383" s="22" t="str">
        <x:v>厦门市</x:v>
      </x:c>
      <x:c r="C383" s="31" t="n">
        <x:v>350211</x:v>
      </x:c>
      <x:c r="D383" s="22" t="str">
        <x:v>集美区</x:v>
      </x:c>
      <x:c r="E383" s="22" t="str">
        <x:v>农用地</x:v>
      </x:c>
      <x:c r="F383" s="22" t="str">
        <x:v>水域及水利设施</x:v>
      </x:c>
      <x:c r="G383" s="32" t="str">
        <x:v>1107</x:v>
      </x:c>
      <x:c r="H383" s="32" t="str">
        <x:v>1107</x:v>
      </x:c>
      <x:c r="I383" s="22" t="str">
        <x:v>沟渠</x:v>
      </x:c>
      <x:c r="J383" s="22" t="str">
        <x:v>农业生态</x:v>
      </x:c>
      <x:c r="K383" s="32" t="str">
        <x:v>203</x:v>
      </x:c>
      <x:c r="L383" s="22" t="str">
        <x:v>村庄范围</x:v>
      </x:c>
      <x:c r="M383" s="33" t="n">
        <x:v>12002.11</x:v>
      </x:c>
      <x:c r="N383" s="33" t="n">
        <x:v>1.2002110000000001</x:v>
      </x:c>
      <x:c r="O383" s="22" t="str">
        <x:v>公顷</x:v>
      </x:c>
      <x:c r="P383" s="22" t="str">
        <x:v>未提供（单期横截面）</x:v>
      </x:c>
      <x:c r="Q383" s="23" t="n">
        <x:v>1691</x:v>
      </x:c>
    </x:row>
    <x:row r="384">
      <x:c r="A384" s="30" t="n">
        <x:v>350200</x:v>
      </x:c>
      <x:c r="B384" s="22" t="str">
        <x:v>厦门市</x:v>
      </x:c>
      <x:c r="C384" s="31" t="n">
        <x:v>350211</x:v>
      </x:c>
      <x:c r="D384" s="22" t="str">
        <x:v>集美区</x:v>
      </x:c>
      <x:c r="E384" s="22" t="str">
        <x:v>农用地</x:v>
      </x:c>
      <x:c r="F384" s="22" t="str">
        <x:v>其他农用地</x:v>
      </x:c>
      <x:c r="G384" s="32" t="str">
        <x:v>1202</x:v>
      </x:c>
      <x:c r="H384" s="32" t="str">
        <x:v>1202</x:v>
      </x:c>
      <x:c r="I384" s="22" t="str">
        <x:v>设施农用地</x:v>
      </x:c>
      <x:c r="J384" s="22" t="str">
        <x:v>农业生态</x:v>
      </x:c>
      <x:c r="K384" s="32" t="str">
        <x:v>203</x:v>
      </x:c>
      <x:c r="L384" s="22" t="str">
        <x:v>村庄范围</x:v>
      </x:c>
      <x:c r="M384" s="33" t="n">
        <x:v>7129.000000000001</x:v>
      </x:c>
      <x:c r="N384" s="33" t="n">
        <x:v>0.7129000000000001</x:v>
      </x:c>
      <x:c r="O384" s="22" t="str">
        <x:v>公顷</x:v>
      </x:c>
      <x:c r="P384" s="22" t="str">
        <x:v>未提供（单期横截面）</x:v>
      </x:c>
      <x:c r="Q384" s="23" t="n">
        <x:v>1692</x:v>
      </x:c>
    </x:row>
    <x:row r="385">
      <x:c r="A385" s="30" t="n">
        <x:v>350200</x:v>
      </x:c>
      <x:c r="B385" s="22" t="str">
        <x:v>厦门市</x:v>
      </x:c>
      <x:c r="C385" s="31" t="n">
        <x:v>350211</x:v>
      </x:c>
      <x:c r="D385" s="22" t="str">
        <x:v>集美区</x:v>
      </x:c>
      <x:c r="E385" s="22" t="str">
        <x:v>农用地</x:v>
      </x:c>
      <x:c r="F385" s="22" t="str">
        <x:v>耕地</x:v>
      </x:c>
      <x:c r="G385" s="32" t="str">
        <x:v>103</x:v>
      </x:c>
      <x:c r="H385" s="32" t="str">
        <x:v>103</x:v>
      </x:c>
      <x:c r="I385" s="22" t="str">
        <x:v>旱地</x:v>
      </x:c>
      <x:c r="J385" s="22" t="str">
        <x:v>农业生态</x:v>
      </x:c>
      <x:c r="K385" s="32" t="str">
        <x:v>205</x:v>
      </x:c>
      <x:c r="L385" s="22" t="str">
        <x:v>特殊用地</x:v>
      </x:c>
      <x:c r="M385" s="33" t="n">
        <x:v>9637.76</x:v>
      </x:c>
      <x:c r="N385" s="33" t="n">
        <x:v>0.9637760000000001</x:v>
      </x:c>
      <x:c r="O385" s="22" t="str">
        <x:v>公顷</x:v>
      </x:c>
      <x:c r="P385" s="22" t="str">
        <x:v>未提供（单期横截面）</x:v>
      </x:c>
      <x:c r="Q385" s="23" t="n">
        <x:v>1693</x:v>
      </x:c>
    </x:row>
    <x:row r="386">
      <x:c r="A386" s="30" t="n">
        <x:v>350200</x:v>
      </x:c>
      <x:c r="B386" s="22" t="str">
        <x:v>厦门市</x:v>
      </x:c>
      <x:c r="C386" s="31" t="n">
        <x:v>350211</x:v>
      </x:c>
      <x:c r="D386" s="22" t="str">
        <x:v>集美区</x:v>
      </x:c>
      <x:c r="E386" s="22" t="str">
        <x:v>农用地</x:v>
      </x:c>
      <x:c r="F386" s="22" t="str">
        <x:v>林地</x:v>
      </x:c>
      <x:c r="G386" s="32" t="str">
        <x:v>301</x:v>
      </x:c>
      <x:c r="H386" s="32" t="str">
        <x:v>301</x:v>
      </x:c>
      <x:c r="I386" s="22" t="str">
        <x:v>乔木林地</x:v>
      </x:c>
      <x:c r="J386" s="22" t="str">
        <x:v>农业生态</x:v>
      </x:c>
      <x:c r="K386" s="32" t="str">
        <x:v>205</x:v>
      </x:c>
      <x:c r="L386" s="22" t="str">
        <x:v>特殊用地</x:v>
      </x:c>
      <x:c r="M386" s="33" t="n">
        <x:v>5406.41</x:v>
      </x:c>
      <x:c r="N386" s="33" t="n">
        <x:v>0.540641</x:v>
      </x:c>
      <x:c r="O386" s="22" t="str">
        <x:v>公顷</x:v>
      </x:c>
      <x:c r="P386" s="22" t="str">
        <x:v>未提供（单期横截面）</x:v>
      </x:c>
      <x:c r="Q386" s="23" t="n">
        <x:v>1694</x:v>
      </x:c>
    </x:row>
    <x:row r="387">
      <x:c r="A387" s="30" t="n">
        <x:v>350200</x:v>
      </x:c>
      <x:c r="B387" s="22" t="str">
        <x:v>厦门市</x:v>
      </x:c>
      <x:c r="C387" s="31" t="n">
        <x:v>350211</x:v>
      </x:c>
      <x:c r="D387" s="22" t="str">
        <x:v>集美区</x:v>
      </x:c>
      <x:c r="E387" s="22" t="str">
        <x:v>农用地</x:v>
      </x:c>
      <x:c r="F387" s="22" t="str">
        <x:v>林地</x:v>
      </x:c>
      <x:c r="G387" s="32" t="str">
        <x:v>305</x:v>
      </x:c>
      <x:c r="H387" s="32" t="str">
        <x:v>305</x:v>
      </x:c>
      <x:c r="I387" s="22" t="str">
        <x:v>灌木林地</x:v>
      </x:c>
      <x:c r="J387" s="22" t="str">
        <x:v>农业生态</x:v>
      </x:c>
      <x:c r="K387" s="32" t="str">
        <x:v>205</x:v>
      </x:c>
      <x:c r="L387" s="22" t="str">
        <x:v>特殊用地</x:v>
      </x:c>
      <x:c r="M387" s="33" t="n">
        <x:v>1565.64</x:v>
      </x:c>
      <x:c r="N387" s="33" t="n">
        <x:v>0.156564</x:v>
      </x:c>
      <x:c r="O387" s="22" t="str">
        <x:v>公顷</x:v>
      </x:c>
      <x:c r="P387" s="22" t="str">
        <x:v>未提供（单期横截面）</x:v>
      </x:c>
      <x:c r="Q387" s="23" t="n">
        <x:v>1695</x:v>
      </x:c>
    </x:row>
    <x:row r="388">
      <x:c r="A388" s="30" t="n">
        <x:v>350200</x:v>
      </x:c>
      <x:c r="B388" s="22" t="str">
        <x:v>厦门市</x:v>
      </x:c>
      <x:c r="C388" s="31" t="n">
        <x:v>350211</x:v>
      </x:c>
      <x:c r="D388" s="22" t="str">
        <x:v>集美区</x:v>
      </x:c>
      <x:c r="E388" s="22" t="str">
        <x:v>农用地</x:v>
      </x:c>
      <x:c r="F388" s="22" t="str">
        <x:v>水域及水利设施</x:v>
      </x:c>
      <x:c r="G388" s="32" t="str">
        <x:v>1104</x:v>
      </x:c>
      <x:c r="H388" s="32" t="str">
        <x:v>1104</x:v>
      </x:c>
      <x:c r="I388" s="22" t="str">
        <x:v>坑塘水面</x:v>
      </x:c>
      <x:c r="J388" s="22" t="str">
        <x:v>农业生态</x:v>
      </x:c>
      <x:c r="K388" s="32" t="str">
        <x:v>205</x:v>
      </x:c>
      <x:c r="L388" s="22" t="str">
        <x:v>特殊用地</x:v>
      </x:c>
      <x:c r="M388" s="33" t="n">
        <x:v>691.3</x:v>
      </x:c>
      <x:c r="N388" s="33" t="n">
        <x:v>0.06913</x:v>
      </x:c>
      <x:c r="O388" s="22" t="str">
        <x:v>公顷</x:v>
      </x:c>
      <x:c r="P388" s="22" t="str">
        <x:v>未提供（单期横截面）</x:v>
      </x:c>
      <x:c r="Q388" s="23" t="n">
        <x:v>1696</x:v>
      </x:c>
    </x:row>
    <x:row r="389">
      <x:c r="A389" s="30" t="n">
        <x:v>350200</x:v>
      </x:c>
      <x:c r="B389" s="22" t="str">
        <x:v>厦门市</x:v>
      </x:c>
      <x:c r="C389" s="31" t="n">
        <x:v>350211</x:v>
      </x:c>
      <x:c r="D389" s="22" t="str">
        <x:v>集美区</x:v>
      </x:c>
      <x:c r="E389" s="22" t="str">
        <x:v>未利用地</x:v>
      </x:c>
      <x:c r="F389" s="22" t="str">
        <x:v>草地</x:v>
      </x:c>
      <x:c r="G389" s="32" t="str">
        <x:v>404</x:v>
      </x:c>
      <x:c r="H389" s="32" t="str">
        <x:v>404</x:v>
      </x:c>
      <x:c r="I389" s="22" t="str">
        <x:v>其他草地</x:v>
      </x:c>
      <x:c r="J389" s="22" t="str">
        <x:v>农业生态</x:v>
      </x:c>
      <x:c r="K389" s="32" t="str"/>
      <x:c r="L389" s="22" t="str">
        <x:v>不适用/未标注</x:v>
      </x:c>
      <x:c r="M389" s="33" t="n">
        <x:v>4110304.0299999937</x:v>
      </x:c>
      <x:c r="N389" s="33" t="n">
        <x:v>411.03040299999935</x:v>
      </x:c>
      <x:c r="O389" s="22" t="str">
        <x:v>公顷</x:v>
      </x:c>
      <x:c r="P389" s="22" t="str">
        <x:v>未提供（单期横截面）</x:v>
      </x:c>
      <x:c r="Q389" s="23" t="n">
        <x:v>1697</x:v>
      </x:c>
    </x:row>
    <x:row r="390">
      <x:c r="A390" s="30" t="n">
        <x:v>350200</x:v>
      </x:c>
      <x:c r="B390" s="22" t="str">
        <x:v>厦门市</x:v>
      </x:c>
      <x:c r="C390" s="31" t="n">
        <x:v>350211</x:v>
      </x:c>
      <x:c r="D390" s="22" t="str">
        <x:v>集美区</x:v>
      </x:c>
      <x:c r="E390" s="22" t="str">
        <x:v>未利用地</x:v>
      </x:c>
      <x:c r="F390" s="22" t="str">
        <x:v>水域及水利设施</x:v>
      </x:c>
      <x:c r="G390" s="32" t="str">
        <x:v>1101</x:v>
      </x:c>
      <x:c r="H390" s="32" t="str">
        <x:v>1101</x:v>
      </x:c>
      <x:c r="I390" s="22" t="str">
        <x:v>河流水面</x:v>
      </x:c>
      <x:c r="J390" s="22" t="str">
        <x:v>农业生态</x:v>
      </x:c>
      <x:c r="K390" s="32" t="str"/>
      <x:c r="L390" s="22" t="str">
        <x:v>不适用/未标注</x:v>
      </x:c>
      <x:c r="M390" s="33" t="n">
        <x:v>1553500.6400000008</x:v>
      </x:c>
      <x:c r="N390" s="33" t="n">
        <x:v>155.3500640000001</x:v>
      </x:c>
      <x:c r="O390" s="22" t="str">
        <x:v>公顷</x:v>
      </x:c>
      <x:c r="P390" s="22" t="str">
        <x:v>未提供（单期横截面）</x:v>
      </x:c>
      <x:c r="Q390" s="23" t="n">
        <x:v>1698</x:v>
      </x:c>
    </x:row>
    <x:row r="391">
      <x:c r="A391" s="30" t="n">
        <x:v>350200</x:v>
      </x:c>
      <x:c r="B391" s="22" t="str">
        <x:v>厦门市</x:v>
      </x:c>
      <x:c r="C391" s="31" t="n">
        <x:v>350211</x:v>
      </x:c>
      <x:c r="D391" s="22" t="str">
        <x:v>集美区</x:v>
      </x:c>
      <x:c r="E391" s="22" t="str">
        <x:v>未利用地</x:v>
      </x:c>
      <x:c r="F391" s="22" t="str">
        <x:v>水域及水利设施</x:v>
      </x:c>
      <x:c r="G391" s="32" t="str">
        <x:v>1105</x:v>
      </x:c>
      <x:c r="H391" s="32" t="str">
        <x:v>1105</x:v>
      </x:c>
      <x:c r="I391" s="22" t="str">
        <x:v>沿海滩涂</x:v>
      </x:c>
      <x:c r="J391" s="22" t="str">
        <x:v>农业生态</x:v>
      </x:c>
      <x:c r="K391" s="32" t="str"/>
      <x:c r="L391" s="22" t="str">
        <x:v>不适用/未标注</x:v>
      </x:c>
      <x:c r="M391" s="33" t="n">
        <x:v>22564024.320000004</x:v>
      </x:c>
      <x:c r="N391" s="33" t="n">
        <x:v>2256.4024320000003</x:v>
      </x:c>
      <x:c r="O391" s="22" t="str">
        <x:v>公顷</x:v>
      </x:c>
      <x:c r="P391" s="22" t="str">
        <x:v>未提供（单期横截面）</x:v>
      </x:c>
      <x:c r="Q391" s="23" t="n">
        <x:v>1699</x:v>
      </x:c>
    </x:row>
    <x:row r="392">
      <x:c r="A392" s="30" t="n">
        <x:v>350200</x:v>
      </x:c>
      <x:c r="B392" s="22" t="str">
        <x:v>厦门市</x:v>
      </x:c>
      <x:c r="C392" s="31" t="n">
        <x:v>350211</x:v>
      </x:c>
      <x:c r="D392" s="22" t="str">
        <x:v>集美区</x:v>
      </x:c>
      <x:c r="E392" s="22" t="str">
        <x:v>未利用地</x:v>
      </x:c>
      <x:c r="F392" s="22" t="str">
        <x:v>水域及水利设施</x:v>
      </x:c>
      <x:c r="G392" s="32" t="str">
        <x:v>1106</x:v>
      </x:c>
      <x:c r="H392" s="32" t="str">
        <x:v>1106</x:v>
      </x:c>
      <x:c r="I392" s="22" t="str">
        <x:v>内陆滩涂</x:v>
      </x:c>
      <x:c r="J392" s="22" t="str">
        <x:v>农业生态</x:v>
      </x:c>
      <x:c r="K392" s="32" t="str"/>
      <x:c r="L392" s="22" t="str">
        <x:v>不适用/未标注</x:v>
      </x:c>
      <x:c r="M392" s="33" t="n">
        <x:v>121306.73</x:v>
      </x:c>
      <x:c r="N392" s="33" t="n">
        <x:v>12.130673</x:v>
      </x:c>
      <x:c r="O392" s="22" t="str">
        <x:v>公顷</x:v>
      </x:c>
      <x:c r="P392" s="22" t="str">
        <x:v>未提供（单期横截面）</x:v>
      </x:c>
      <x:c r="Q392" s="23" t="n">
        <x:v>1700</x:v>
      </x:c>
    </x:row>
    <x:row r="393">
      <x:c r="A393" s="30" t="n">
        <x:v>350200</x:v>
      </x:c>
      <x:c r="B393" s="22" t="str">
        <x:v>厦门市</x:v>
      </x:c>
      <x:c r="C393" s="31" t="n">
        <x:v>350211</x:v>
      </x:c>
      <x:c r="D393" s="22" t="str">
        <x:v>集美区</x:v>
      </x:c>
      <x:c r="E393" s="22" t="str">
        <x:v>未利用地</x:v>
      </x:c>
      <x:c r="F393" s="22" t="str">
        <x:v>未利用地</x:v>
      </x:c>
      <x:c r="G393" s="32" t="str">
        <x:v>1206</x:v>
      </x:c>
      <x:c r="H393" s="32" t="str">
        <x:v>1206</x:v>
      </x:c>
      <x:c r="I393" s="22" t="str">
        <x:v>裸土地</x:v>
      </x:c>
      <x:c r="J393" s="22" t="str">
        <x:v>未利用地</x:v>
      </x:c>
      <x:c r="K393" s="32" t="str"/>
      <x:c r="L393" s="22" t="str">
        <x:v>不适用/未标注</x:v>
      </x:c>
      <x:c r="M393" s="33" t="n">
        <x:v>178565.40999999997</x:v>
      </x:c>
      <x:c r="N393" s="33" t="n">
        <x:v>17.856540999999996</x:v>
      </x:c>
      <x:c r="O393" s="22" t="str">
        <x:v>公顷</x:v>
      </x:c>
      <x:c r="P393" s="22" t="str">
        <x:v>未提供（单期横截面）</x:v>
      </x:c>
      <x:c r="Q393" s="23" t="n">
        <x:v>1701</x:v>
      </x:c>
    </x:row>
    <x:row r="394">
      <x:c r="A394" s="30" t="n">
        <x:v>350200</x:v>
      </x:c>
      <x:c r="B394" s="22" t="str">
        <x:v>厦门市</x:v>
      </x:c>
      <x:c r="C394" s="31" t="n">
        <x:v>350211</x:v>
      </x:c>
      <x:c r="D394" s="22" t="str">
        <x:v>集美区</x:v>
      </x:c>
      <x:c r="E394" s="22" t="str">
        <x:v>未利用地</x:v>
      </x:c>
      <x:c r="F394" s="22" t="str">
        <x:v>未利用地</x:v>
      </x:c>
      <x:c r="G394" s="32" t="str">
        <x:v>1207</x:v>
      </x:c>
      <x:c r="H394" s="32" t="str">
        <x:v>1207</x:v>
      </x:c>
      <x:c r="I394" s="22" t="str">
        <x:v>裸岩石砾地</x:v>
      </x:c>
      <x:c r="J394" s="22" t="str">
        <x:v>未利用地</x:v>
      </x:c>
      <x:c r="K394" s="32" t="str"/>
      <x:c r="L394" s="22" t="str">
        <x:v>不适用/未标注</x:v>
      </x:c>
      <x:c r="M394" s="33" t="n">
        <x:v>81230.93000000001</x:v>
      </x:c>
      <x:c r="N394" s="33" t="n">
        <x:v>8.123093</x:v>
      </x:c>
      <x:c r="O394" s="22" t="str">
        <x:v>公顷</x:v>
      </x:c>
      <x:c r="P394" s="22" t="str">
        <x:v>未提供（单期横截面）</x:v>
      </x:c>
      <x:c r="Q394" s="23" t="n">
        <x:v>1702</x:v>
      </x:c>
    </x:row>
    <x:row r="395">
      <x:c r="A395" s="30" t="n">
        <x:v>350200</x:v>
      </x:c>
      <x:c r="B395" s="22" t="str">
        <x:v>厦门市</x:v>
      </x:c>
      <x:c r="C395" s="31" t="n">
        <x:v>350211</x:v>
      </x:c>
      <x:c r="D395" s="22" t="str">
        <x:v>集美区</x:v>
      </x:c>
      <x:c r="E395" s="22" t="str">
        <x:v>未利用地</x:v>
      </x:c>
      <x:c r="F395" s="22" t="str">
        <x:v>草地</x:v>
      </x:c>
      <x:c r="G395" s="32" t="str">
        <x:v>404</x:v>
      </x:c>
      <x:c r="H395" s="32" t="str">
        <x:v>404</x:v>
      </x:c>
      <x:c r="I395" s="22" t="str">
        <x:v>其他草地</x:v>
      </x:c>
      <x:c r="J395" s="22" t="str">
        <x:v>农业生态</x:v>
      </x:c>
      <x:c r="K395" s="32" t="str">
        <x:v>201</x:v>
      </x:c>
      <x:c r="L395" s="22" t="str">
        <x:v>城市范围</x:v>
      </x:c>
      <x:c r="M395" s="33" t="n">
        <x:v>1147515.3</x:v>
      </x:c>
      <x:c r="N395" s="33" t="n">
        <x:v>114.75153</x:v>
      </x:c>
      <x:c r="O395" s="22" t="str">
        <x:v>公顷</x:v>
      </x:c>
      <x:c r="P395" s="22" t="str">
        <x:v>未提供（单期横截面）</x:v>
      </x:c>
      <x:c r="Q395" s="23" t="n">
        <x:v>1703</x:v>
      </x:c>
    </x:row>
    <x:row r="396">
      <x:c r="A396" s="30" t="n">
        <x:v>350200</x:v>
      </x:c>
      <x:c r="B396" s="22" t="str">
        <x:v>厦门市</x:v>
      </x:c>
      <x:c r="C396" s="31" t="n">
        <x:v>350211</x:v>
      </x:c>
      <x:c r="D396" s="22" t="str">
        <x:v>集美区</x:v>
      </x:c>
      <x:c r="E396" s="22" t="str">
        <x:v>未利用地</x:v>
      </x:c>
      <x:c r="F396" s="22" t="str">
        <x:v>草地</x:v>
      </x:c>
      <x:c r="G396" s="32" t="str">
        <x:v>404</x:v>
      </x:c>
      <x:c r="H396" s="32" t="str">
        <x:v>404</x:v>
      </x:c>
      <x:c r="I396" s="22" t="str">
        <x:v>其他草地</x:v>
      </x:c>
      <x:c r="J396" s="22" t="str">
        <x:v>农业生态</x:v>
      </x:c>
      <x:c r="K396" s="32" t="str">
        <x:v>202</x:v>
      </x:c>
      <x:c r="L396" s="22" t="str">
        <x:v>建制镇范围</x:v>
      </x:c>
      <x:c r="M396" s="33" t="n">
        <x:v>290201.64</x:v>
      </x:c>
      <x:c r="N396" s="33" t="n">
        <x:v>29.020164</x:v>
      </x:c>
      <x:c r="O396" s="22" t="str">
        <x:v>公顷</x:v>
      </x:c>
      <x:c r="P396" s="22" t="str">
        <x:v>未提供（单期横截面）</x:v>
      </x:c>
      <x:c r="Q396" s="23" t="n">
        <x:v>1704</x:v>
      </x:c>
    </x:row>
    <x:row r="397">
      <x:c r="A397" s="30" t="n">
        <x:v>350200</x:v>
      </x:c>
      <x:c r="B397" s="22" t="str">
        <x:v>厦门市</x:v>
      </x:c>
      <x:c r="C397" s="31" t="n">
        <x:v>350211</x:v>
      </x:c>
      <x:c r="D397" s="22" t="str">
        <x:v>集美区</x:v>
      </x:c>
      <x:c r="E397" s="22" t="str">
        <x:v>未利用地</x:v>
      </x:c>
      <x:c r="F397" s="22" t="str">
        <x:v>草地</x:v>
      </x:c>
      <x:c r="G397" s="32" t="str">
        <x:v>404</x:v>
      </x:c>
      <x:c r="H397" s="32" t="str">
        <x:v>404</x:v>
      </x:c>
      <x:c r="I397" s="22" t="str">
        <x:v>其他草地</x:v>
      </x:c>
      <x:c r="J397" s="22" t="str">
        <x:v>农业生态</x:v>
      </x:c>
      <x:c r="K397" s="32" t="str">
        <x:v>203</x:v>
      </x:c>
      <x:c r="L397" s="22" t="str">
        <x:v>村庄范围</x:v>
      </x:c>
      <x:c r="M397" s="33" t="n">
        <x:v>61739.02</x:v>
      </x:c>
      <x:c r="N397" s="33" t="n">
        <x:v>6.173902</x:v>
      </x:c>
      <x:c r="O397" s="22" t="str">
        <x:v>公顷</x:v>
      </x:c>
      <x:c r="P397" s="22" t="str">
        <x:v>未提供（单期横截面）</x:v>
      </x:c>
      <x:c r="Q397" s="23" t="n">
        <x:v>1705</x:v>
      </x:c>
    </x:row>
    <x:row r="398">
      <x:c r="A398" s="30" t="n">
        <x:v>350200</x:v>
      </x:c>
      <x:c r="B398" s="22" t="str">
        <x:v>厦门市</x:v>
      </x:c>
      <x:c r="C398" s="31" t="n">
        <x:v>350211</x:v>
      </x:c>
      <x:c r="D398" s="22" t="str">
        <x:v>集美区</x:v>
      </x:c>
      <x:c r="E398" s="22" t="str">
        <x:v>未利用地</x:v>
      </x:c>
      <x:c r="F398" s="22" t="str">
        <x:v>草地</x:v>
      </x:c>
      <x:c r="G398" s="32" t="str">
        <x:v>404</x:v>
      </x:c>
      <x:c r="H398" s="32" t="str">
        <x:v>404</x:v>
      </x:c>
      <x:c r="I398" s="22" t="str">
        <x:v>其他草地</x:v>
      </x:c>
      <x:c r="J398" s="22" t="str">
        <x:v>农业生态</x:v>
      </x:c>
      <x:c r="K398" s="32" t="str">
        <x:v>205</x:v>
      </x:c>
      <x:c r="L398" s="22" t="str">
        <x:v>特殊用地</x:v>
      </x:c>
      <x:c r="M398" s="33" t="n">
        <x:v>36873.06</x:v>
      </x:c>
      <x:c r="N398" s="33" t="n">
        <x:v>3.687306</x:v>
      </x:c>
      <x:c r="O398" s="22" t="str">
        <x:v>公顷</x:v>
      </x:c>
      <x:c r="P398" s="22" t="str">
        <x:v>未提供（单期横截面）</x:v>
      </x:c>
      <x:c r="Q398" s="23" t="n">
        <x:v>1706</x:v>
      </x:c>
    </x:row>
    <x:row r="399">
      <x:c r="A399" s="30" t="n">
        <x:v>350200</x:v>
      </x:c>
      <x:c r="B399" s="22" t="str">
        <x:v>厦门市</x:v>
      </x:c>
      <x:c r="C399" s="31" t="n">
        <x:v>350212</x:v>
      </x:c>
      <x:c r="D399" s="22" t="str">
        <x:v>同安区</x:v>
      </x:c>
      <x:c r="E399" s="22" t="str">
        <x:v>建设用地</x:v>
      </x:c>
      <x:c r="F399" s="22" t="str">
        <x:v>交通运输用地</x:v>
      </x:c>
      <x:c r="G399" s="32" t="str">
        <x:v>1001</x:v>
      </x:c>
      <x:c r="H399" s="32" t="str">
        <x:v>1001</x:v>
      </x:c>
      <x:c r="I399" s="22" t="str">
        <x:v>铁路用地</x:v>
      </x:c>
      <x:c r="J399" s="22" t="str">
        <x:v>交通门户</x:v>
      </x:c>
      <x:c r="K399" s="32" t="str"/>
      <x:c r="L399" s="22" t="str">
        <x:v>不适用/未标注</x:v>
      </x:c>
      <x:c r="M399" s="33" t="n">
        <x:v>1772272.1800000004</x:v>
      </x:c>
      <x:c r="N399" s="33" t="n">
        <x:v>177.22721800000005</x:v>
      </x:c>
      <x:c r="O399" s="22" t="str">
        <x:v>公顷</x:v>
      </x:c>
      <x:c r="P399" s="22" t="str">
        <x:v>未提供（单期横截面）</x:v>
      </x:c>
      <x:c r="Q399" s="23" t="n">
        <x:v>1707</x:v>
      </x:c>
    </x:row>
    <x:row r="400">
      <x:c r="A400" s="30" t="n">
        <x:v>350200</x:v>
      </x:c>
      <x:c r="B400" s="22" t="str">
        <x:v>厦门市</x:v>
      </x:c>
      <x:c r="C400" s="31" t="n">
        <x:v>350212</x:v>
      </x:c>
      <x:c r="D400" s="22" t="str">
        <x:v>同安区</x:v>
      </x:c>
      <x:c r="E400" s="22" t="str">
        <x:v>建设用地</x:v>
      </x:c>
      <x:c r="F400" s="22" t="str">
        <x:v>交通运输用地</x:v>
      </x:c>
      <x:c r="G400" s="32" t="str">
        <x:v>1002</x:v>
      </x:c>
      <x:c r="H400" s="32" t="str">
        <x:v>1002</x:v>
      </x:c>
      <x:c r="I400" s="22" t="str">
        <x:v>轨道交通用地</x:v>
      </x:c>
      <x:c r="J400" s="22" t="str">
        <x:v>交通门户</x:v>
      </x:c>
      <x:c r="K400" s="32" t="str"/>
      <x:c r="L400" s="22" t="str">
        <x:v>不适用/未标注</x:v>
      </x:c>
      <x:c r="M400" s="33" t="n">
        <x:v>25422.550000000003</x:v>
      </x:c>
      <x:c r="N400" s="33" t="n">
        <x:v>2.5422550000000004</x:v>
      </x:c>
      <x:c r="O400" s="22" t="str">
        <x:v>公顷</x:v>
      </x:c>
      <x:c r="P400" s="22" t="str">
        <x:v>未提供（单期横截面）</x:v>
      </x:c>
      <x:c r="Q400" s="23" t="n">
        <x:v>1708</x:v>
      </x:c>
    </x:row>
    <x:row r="401">
      <x:c r="A401" s="30" t="n">
        <x:v>350200</x:v>
      </x:c>
      <x:c r="B401" s="22" t="str">
        <x:v>厦门市</x:v>
      </x:c>
      <x:c r="C401" s="31" t="n">
        <x:v>350212</x:v>
      </x:c>
      <x:c r="D401" s="22" t="str">
        <x:v>同安区</x:v>
      </x:c>
      <x:c r="E401" s="22" t="str">
        <x:v>建设用地</x:v>
      </x:c>
      <x:c r="F401" s="22" t="str">
        <x:v>交通运输用地</x:v>
      </x:c>
      <x:c r="G401" s="32" t="str">
        <x:v>1003</x:v>
      </x:c>
      <x:c r="H401" s="32" t="str">
        <x:v>1003</x:v>
      </x:c>
      <x:c r="I401" s="22" t="str">
        <x:v>公路用地</x:v>
      </x:c>
      <x:c r="J401" s="22" t="str">
        <x:v>交通门户</x:v>
      </x:c>
      <x:c r="K401" s="32" t="str"/>
      <x:c r="L401" s="22" t="str">
        <x:v>不适用/未标注</x:v>
      </x:c>
      <x:c r="M401" s="33" t="n">
        <x:v>15144437.840000007</x:v>
      </x:c>
      <x:c r="N401" s="33" t="n">
        <x:v>1514.4437840000007</x:v>
      </x:c>
      <x:c r="O401" s="22" t="str">
        <x:v>公顷</x:v>
      </x:c>
      <x:c r="P401" s="22" t="str">
        <x:v>未提供（单期横截面）</x:v>
      </x:c>
      <x:c r="Q401" s="23" t="n">
        <x:v>1709</x:v>
      </x:c>
    </x:row>
    <x:row r="402">
      <x:c r="A402" s="30" t="n">
        <x:v>350200</x:v>
      </x:c>
      <x:c r="B402" s="22" t="str">
        <x:v>厦门市</x:v>
      </x:c>
      <x:c r="C402" s="31" t="n">
        <x:v>350212</x:v>
      </x:c>
      <x:c r="D402" s="22" t="str">
        <x:v>同安区</x:v>
      </x:c>
      <x:c r="E402" s="22" t="str">
        <x:v>建设用地</x:v>
      </x:c>
      <x:c r="F402" s="22" t="str">
        <x:v>水域及水利设施</x:v>
      </x:c>
      <x:c r="G402" s="32" t="str">
        <x:v>1109</x:v>
      </x:c>
      <x:c r="H402" s="32" t="str">
        <x:v>1109</x:v>
      </x:c>
      <x:c r="I402" s="22" t="str">
        <x:v>水工建筑用地</x:v>
      </x:c>
      <x:c r="J402" s="22" t="str">
        <x:v>其他建设</x:v>
      </x:c>
      <x:c r="K402" s="32" t="str"/>
      <x:c r="L402" s="22" t="str">
        <x:v>不适用/未标注</x:v>
      </x:c>
      <x:c r="M402" s="33" t="n">
        <x:v>1237242.8699999994</x:v>
      </x:c>
      <x:c r="N402" s="33" t="n">
        <x:v>123.72428699999995</x:v>
      </x:c>
      <x:c r="O402" s="22" t="str">
        <x:v>公顷</x:v>
      </x:c>
      <x:c r="P402" s="22" t="str">
        <x:v>未提供（单期横截面）</x:v>
      </x:c>
      <x:c r="Q402" s="23" t="n">
        <x:v>1710</x:v>
      </x:c>
    </x:row>
    <x:row r="403">
      <x:c r="A403" s="30" t="n">
        <x:v>350200</x:v>
      </x:c>
      <x:c r="B403" s="22" t="str">
        <x:v>厦门市</x:v>
      </x:c>
      <x:c r="C403" s="31" t="n">
        <x:v>350212</x:v>
      </x:c>
      <x:c r="D403" s="22" t="str">
        <x:v>同安区</x:v>
      </x:c>
      <x:c r="E403" s="22" t="str">
        <x:v>建设用地</x:v>
      </x:c>
      <x:c r="F403" s="22" t="str">
        <x:v>工矿仓储用地</x:v>
      </x:c>
      <x:c r="G403" s="32" t="str">
        <x:v>508</x:v>
      </x:c>
      <x:c r="H403" s="32" t="str">
        <x:v>508</x:v>
      </x:c>
      <x:c r="I403" s="22" t="str">
        <x:v>物流仓储用地</x:v>
      </x:c>
      <x:c r="J403" s="22" t="str">
        <x:v>产业功能</x:v>
      </x:c>
      <x:c r="K403" s="32" t="str">
        <x:v>201</x:v>
      </x:c>
      <x:c r="L403" s="22" t="str">
        <x:v>城市范围</x:v>
      </x:c>
      <x:c r="M403" s="33" t="n">
        <x:v>1164901.97</x:v>
      </x:c>
      <x:c r="N403" s="33" t="n">
        <x:v>116.490197</x:v>
      </x:c>
      <x:c r="O403" s="22" t="str">
        <x:v>公顷</x:v>
      </x:c>
      <x:c r="P403" s="22" t="str">
        <x:v>未提供（单期横截面）</x:v>
      </x:c>
      <x:c r="Q403" s="23" t="n">
        <x:v>1711</x:v>
      </x:c>
    </x:row>
    <x:row r="404">
      <x:c r="A404" s="30" t="n">
        <x:v>350200</x:v>
      </x:c>
      <x:c r="B404" s="22" t="str">
        <x:v>厦门市</x:v>
      </x:c>
      <x:c r="C404" s="31" t="n">
        <x:v>350212</x:v>
      </x:c>
      <x:c r="D404" s="22" t="str">
        <x:v>同安区</x:v>
      </x:c>
      <x:c r="E404" s="22" t="str">
        <x:v>建设用地</x:v>
      </x:c>
      <x:c r="F404" s="22" t="str">
        <x:v>商业服务业用地</x:v>
      </x:c>
      <x:c r="G404" s="32" t="str">
        <x:v>05H1</x:v>
      </x:c>
      <x:c r="H404" s="32" t="str">
        <x:v>05H1</x:v>
      </x:c>
      <x:c r="I404" s="22" t="str">
        <x:v>商业服务业设施用地</x:v>
      </x:c>
      <x:c r="J404" s="22" t="str">
        <x:v>商业服务</x:v>
      </x:c>
      <x:c r="K404" s="32" t="str">
        <x:v>201</x:v>
      </x:c>
      <x:c r="L404" s="22" t="str">
        <x:v>城市范围</x:v>
      </x:c>
      <x:c r="M404" s="33" t="n">
        <x:v>4467306.070000001</x:v>
      </x:c>
      <x:c r="N404" s="33" t="n">
        <x:v>446.73060700000013</x:v>
      </x:c>
      <x:c r="O404" s="22" t="str">
        <x:v>公顷</x:v>
      </x:c>
      <x:c r="P404" s="22" t="str">
        <x:v>未提供（单期横截面）</x:v>
      </x:c>
      <x:c r="Q404" s="23" t="n">
        <x:v>1712</x:v>
      </x:c>
    </x:row>
    <x:row r="405">
      <x:c r="A405" s="30" t="n">
        <x:v>350200</x:v>
      </x:c>
      <x:c r="B405" s="22" t="str">
        <x:v>厦门市</x:v>
      </x:c>
      <x:c r="C405" s="31" t="n">
        <x:v>350212</x:v>
      </x:c>
      <x:c r="D405" s="22" t="str">
        <x:v>同安区</x:v>
      </x:c>
      <x:c r="E405" s="22" t="str">
        <x:v>建设用地</x:v>
      </x:c>
      <x:c r="F405" s="22" t="str">
        <x:v>工矿仓储用地</x:v>
      </x:c>
      <x:c r="G405" s="32" t="str">
        <x:v>601</x:v>
      </x:c>
      <x:c r="H405" s="32" t="str">
        <x:v>601</x:v>
      </x:c>
      <x:c r="I405" s="22" t="str">
        <x:v>工业用地</x:v>
      </x:c>
      <x:c r="J405" s="22" t="str">
        <x:v>产业功能</x:v>
      </x:c>
      <x:c r="K405" s="32" t="str">
        <x:v>201</x:v>
      </x:c>
      <x:c r="L405" s="22" t="str">
        <x:v>城市范围</x:v>
      </x:c>
      <x:c r="M405" s="33" t="n">
        <x:v>19586738.42000003</x:v>
      </x:c>
      <x:c r="N405" s="33" t="n">
        <x:v>1958.673842000003</x:v>
      </x:c>
      <x:c r="O405" s="22" t="str">
        <x:v>公顷</x:v>
      </x:c>
      <x:c r="P405" s="22" t="str">
        <x:v>未提供（单期横截面）</x:v>
      </x:c>
      <x:c r="Q405" s="23" t="n">
        <x:v>1713</x:v>
      </x:c>
    </x:row>
    <x:row r="406">
      <x:c r="A406" s="30" t="n">
        <x:v>350200</x:v>
      </x:c>
      <x:c r="B406" s="22" t="str">
        <x:v>厦门市</x:v>
      </x:c>
      <x:c r="C406" s="31" t="n">
        <x:v>350212</x:v>
      </x:c>
      <x:c r="D406" s="22" t="str">
        <x:v>同安区</x:v>
      </x:c>
      <x:c r="E406" s="22" t="str">
        <x:v>建设用地</x:v>
      </x:c>
      <x:c r="F406" s="22" t="str">
        <x:v>工矿仓储用地</x:v>
      </x:c>
      <x:c r="G406" s="32" t="str">
        <x:v>602</x:v>
      </x:c>
      <x:c r="H406" s="32" t="str">
        <x:v>602</x:v>
      </x:c>
      <x:c r="I406" s="22" t="str">
        <x:v>采矿用地</x:v>
      </x:c>
      <x:c r="J406" s="22" t="str">
        <x:v>产业功能</x:v>
      </x:c>
      <x:c r="K406" s="32" t="str">
        <x:v>201</x:v>
      </x:c>
      <x:c r="L406" s="22" t="str">
        <x:v>城市范围</x:v>
      </x:c>
      <x:c r="M406" s="33" t="n">
        <x:v>9048.58</x:v>
      </x:c>
      <x:c r="N406" s="33" t="n">
        <x:v>0.9048579999999999</x:v>
      </x:c>
      <x:c r="O406" s="22" t="str">
        <x:v>公顷</x:v>
      </x:c>
      <x:c r="P406" s="22" t="str">
        <x:v>未提供（单期横截面）</x:v>
      </x:c>
      <x:c r="Q406" s="23" t="n">
        <x:v>1714</x:v>
      </x:c>
    </x:row>
    <x:row r="407">
      <x:c r="A407" s="30" t="n">
        <x:v>350200</x:v>
      </x:c>
      <x:c r="B407" s="22" t="str">
        <x:v>厦门市</x:v>
      </x:c>
      <x:c r="C407" s="31" t="n">
        <x:v>350212</x:v>
      </x:c>
      <x:c r="D407" s="22" t="str">
        <x:v>同安区</x:v>
      </x:c>
      <x:c r="E407" s="22" t="str">
        <x:v>建设用地</x:v>
      </x:c>
      <x:c r="F407" s="22" t="str">
        <x:v>居住用地</x:v>
      </x:c>
      <x:c r="G407" s="32" t="str">
        <x:v>701</x:v>
      </x:c>
      <x:c r="H407" s="32" t="str">
        <x:v>701</x:v>
      </x:c>
      <x:c r="I407" s="22" t="str">
        <x:v>城镇住宅用地</x:v>
      </x:c>
      <x:c r="J407" s="22" t="str">
        <x:v>居住功能</x:v>
      </x:c>
      <x:c r="K407" s="32" t="str">
        <x:v>201</x:v>
      </x:c>
      <x:c r="L407" s="22" t="str">
        <x:v>城市范围</x:v>
      </x:c>
      <x:c r="M407" s="33" t="n">
        <x:v>9355423.630000006</x:v>
      </x:c>
      <x:c r="N407" s="33" t="n">
        <x:v>935.5423630000006</x:v>
      </x:c>
      <x:c r="O407" s="22" t="str">
        <x:v>公顷</x:v>
      </x:c>
      <x:c r="P407" s="22" t="str">
        <x:v>未提供（单期横截面）</x:v>
      </x:c>
      <x:c r="Q407" s="23" t="n">
        <x:v>1715</x:v>
      </x:c>
    </x:row>
    <x:row r="408">
      <x:c r="A408" s="30" t="n">
        <x:v>350200</x:v>
      </x:c>
      <x:c r="B408" s="22" t="str">
        <x:v>厦门市</x:v>
      </x:c>
      <x:c r="C408" s="31" t="n">
        <x:v>350212</x:v>
      </x:c>
      <x:c r="D408" s="22" t="str">
        <x:v>同安区</x:v>
      </x:c>
      <x:c r="E408" s="22" t="str">
        <x:v>建设用地</x:v>
      </x:c>
      <x:c r="F408" s="22" t="str">
        <x:v>居住用地</x:v>
      </x:c>
      <x:c r="G408" s="32" t="str">
        <x:v>702</x:v>
      </x:c>
      <x:c r="H408" s="32" t="str">
        <x:v>702</x:v>
      </x:c>
      <x:c r="I408" s="22" t="str">
        <x:v>农村宅基地</x:v>
      </x:c>
      <x:c r="J408" s="22" t="str">
        <x:v>居住功能</x:v>
      </x:c>
      <x:c r="K408" s="32" t="str">
        <x:v>201</x:v>
      </x:c>
      <x:c r="L408" s="22" t="str">
        <x:v>城市范围</x:v>
      </x:c>
      <x:c r="M408" s="33" t="n">
        <x:v>12821445.829999994</x:v>
      </x:c>
      <x:c r="N408" s="33" t="n">
        <x:v>1282.1445829999996</x:v>
      </x:c>
      <x:c r="O408" s="22" t="str">
        <x:v>公顷</x:v>
      </x:c>
      <x:c r="P408" s="22" t="str">
        <x:v>未提供（单期横截面）</x:v>
      </x:c>
      <x:c r="Q408" s="23" t="n">
        <x:v>1716</x:v>
      </x:c>
    </x:row>
    <x:row r="409">
      <x:c r="A409" s="30" t="n">
        <x:v>350200</x:v>
      </x:c>
      <x:c r="B409" s="22" t="str">
        <x:v>厦门市</x:v>
      </x:c>
      <x:c r="C409" s="31" t="n">
        <x:v>350212</x:v>
      </x:c>
      <x:c r="D409" s="22" t="str">
        <x:v>同安区</x:v>
      </x:c>
      <x:c r="E409" s="22" t="str">
        <x:v>建设用地</x:v>
      </x:c>
      <x:c r="F409" s="22" t="str">
        <x:v>公用设施用地</x:v>
      </x:c>
      <x:c r="G409" s="32" t="str">
        <x:v>809</x:v>
      </x:c>
      <x:c r="H409" s="32" t="str">
        <x:v>809</x:v>
      </x:c>
      <x:c r="I409" s="22" t="str">
        <x:v>公用设施用地</x:v>
      </x:c>
      <x:c r="J409" s="22" t="str">
        <x:v>其他建设</x:v>
      </x:c>
      <x:c r="K409" s="32" t="str">
        <x:v>201</x:v>
      </x:c>
      <x:c r="L409" s="22" t="str">
        <x:v>城市范围</x:v>
      </x:c>
      <x:c r="M409" s="33" t="n">
        <x:v>385976.6399999999</x:v>
      </x:c>
      <x:c r="N409" s="33" t="n">
        <x:v>38.59766399999999</x:v>
      </x:c>
      <x:c r="O409" s="22" t="str">
        <x:v>公顷</x:v>
      </x:c>
      <x:c r="P409" s="22" t="str">
        <x:v>未提供（单期横截面）</x:v>
      </x:c>
      <x:c r="Q409" s="23" t="n">
        <x:v>1717</x:v>
      </x:c>
    </x:row>
    <x:row r="410">
      <x:c r="A410" s="30" t="n">
        <x:v>350200</x:v>
      </x:c>
      <x:c r="B410" s="22" t="str">
        <x:v>厦门市</x:v>
      </x:c>
      <x:c r="C410" s="31" t="n">
        <x:v>350212</x:v>
      </x:c>
      <x:c r="D410" s="22" t="str">
        <x:v>同安区</x:v>
      </x:c>
      <x:c r="E410" s="22" t="str">
        <x:v>建设用地</x:v>
      </x:c>
      <x:c r="F410" s="22" t="str">
        <x:v>绿地与广场用地</x:v>
      </x:c>
      <x:c r="G410" s="32" t="str">
        <x:v>810</x:v>
      </x:c>
      <x:c r="H410" s="32" t="str">
        <x:v>810</x:v>
      </x:c>
      <x:c r="I410" s="22" t="str">
        <x:v>公园与绿地</x:v>
      </x:c>
      <x:c r="J410" s="22" t="str">
        <x:v>公共空间</x:v>
      </x:c>
      <x:c r="K410" s="32" t="str">
        <x:v>201</x:v>
      </x:c>
      <x:c r="L410" s="22" t="str">
        <x:v>城市范围</x:v>
      </x:c>
      <x:c r="M410" s="33" t="n">
        <x:v>1867645.6900000004</x:v>
      </x:c>
      <x:c r="N410" s="33" t="n">
        <x:v>186.76456900000005</x:v>
      </x:c>
      <x:c r="O410" s="22" t="str">
        <x:v>公顷</x:v>
      </x:c>
      <x:c r="P410" s="22" t="str">
        <x:v>未提供（单期横截面）</x:v>
      </x:c>
      <x:c r="Q410" s="23" t="n">
        <x:v>1718</x:v>
      </x:c>
    </x:row>
    <x:row r="411">
      <x:c r="A411" s="30" t="n">
        <x:v>350200</x:v>
      </x:c>
      <x:c r="B411" s="22" t="str">
        <x:v>厦门市</x:v>
      </x:c>
      <x:c r="C411" s="31" t="n">
        <x:v>350212</x:v>
      </x:c>
      <x:c r="D411" s="22" t="str">
        <x:v>同安区</x:v>
      </x:c>
      <x:c r="E411" s="22" t="str">
        <x:v>建设用地</x:v>
      </x:c>
      <x:c r="F411" s="22" t="str">
        <x:v>绿地与广场用地</x:v>
      </x:c>
      <x:c r="G411" s="32" t="str">
        <x:v>0810A</x:v>
      </x:c>
      <x:c r="H411" s="32" t="str">
        <x:v>0810</x:v>
      </x:c>
      <x:c r="I411" s="22" t="str">
        <x:v>广场用地</x:v>
      </x:c>
      <x:c r="J411" s="22" t="str">
        <x:v>公共空间</x:v>
      </x:c>
      <x:c r="K411" s="32" t="str">
        <x:v>201</x:v>
      </x:c>
      <x:c r="L411" s="22" t="str">
        <x:v>城市范围</x:v>
      </x:c>
      <x:c r="M411" s="33" t="n">
        <x:v>16937.25</x:v>
      </x:c>
      <x:c r="N411" s="33" t="n">
        <x:v>1.693725</x:v>
      </x:c>
      <x:c r="O411" s="22" t="str">
        <x:v>公顷</x:v>
      </x:c>
      <x:c r="P411" s="22" t="str">
        <x:v>未提供（单期横截面）</x:v>
      </x:c>
      <x:c r="Q411" s="23" t="n">
        <x:v>1719</x:v>
      </x:c>
    </x:row>
    <x:row r="412">
      <x:c r="A412" s="30" t="n">
        <x:v>350200</x:v>
      </x:c>
      <x:c r="B412" s="22" t="str">
        <x:v>厦门市</x:v>
      </x:c>
      <x:c r="C412" s="31" t="n">
        <x:v>350212</x:v>
      </x:c>
      <x:c r="D412" s="22" t="str">
        <x:v>同安区</x:v>
      </x:c>
      <x:c r="E412" s="22" t="str">
        <x:v>建设用地</x:v>
      </x:c>
      <x:c r="F412" s="22" t="str">
        <x:v>公共管理与公共服务用地</x:v>
      </x:c>
      <x:c r="G412" s="32" t="str">
        <x:v>08H1</x:v>
      </x:c>
      <x:c r="H412" s="32" t="str">
        <x:v>08H1</x:v>
      </x:c>
      <x:c r="I412" s="22" t="str">
        <x:v>机关团体新闻出版用地</x:v>
      </x:c>
      <x:c r="J412" s="22" t="str">
        <x:v>公共服务</x:v>
      </x:c>
      <x:c r="K412" s="32" t="str">
        <x:v>201</x:v>
      </x:c>
      <x:c r="L412" s="22" t="str">
        <x:v>城市范围</x:v>
      </x:c>
      <x:c r="M412" s="33" t="n">
        <x:v>620910.7300000001</x:v>
      </x:c>
      <x:c r="N412" s="33" t="n">
        <x:v>62.09107300000001</x:v>
      </x:c>
      <x:c r="O412" s="22" t="str">
        <x:v>公顷</x:v>
      </x:c>
      <x:c r="P412" s="22" t="str">
        <x:v>未提供（单期横截面）</x:v>
      </x:c>
      <x:c r="Q412" s="23" t="n">
        <x:v>1720</x:v>
      </x:c>
    </x:row>
    <x:row r="413">
      <x:c r="A413" s="30" t="n">
        <x:v>350200</x:v>
      </x:c>
      <x:c r="B413" s="22" t="str">
        <x:v>厦门市</x:v>
      </x:c>
      <x:c r="C413" s="31" t="n">
        <x:v>350212</x:v>
      </x:c>
      <x:c r="D413" s="22" t="str">
        <x:v>同安区</x:v>
      </x:c>
      <x:c r="E413" s="22" t="str">
        <x:v>建设用地</x:v>
      </x:c>
      <x:c r="F413" s="22" t="str">
        <x:v>公共管理与公共服务用地</x:v>
      </x:c>
      <x:c r="G413" s="32" t="str">
        <x:v>08H2</x:v>
      </x:c>
      <x:c r="H413" s="32" t="str">
        <x:v>08H2</x:v>
      </x:c>
      <x:c r="I413" s="22" t="str">
        <x:v>科教文卫用地</x:v>
      </x:c>
      <x:c r="J413" s="22" t="str">
        <x:v>公共服务</x:v>
      </x:c>
      <x:c r="K413" s="32" t="str">
        <x:v>201</x:v>
      </x:c>
      <x:c r="L413" s="22" t="str">
        <x:v>城市范围</x:v>
      </x:c>
      <x:c r="M413" s="33" t="n">
        <x:v>2537439.4699999997</x:v>
      </x:c>
      <x:c r="N413" s="33" t="n">
        <x:v>253.74394699999996</x:v>
      </x:c>
      <x:c r="O413" s="22" t="str">
        <x:v>公顷</x:v>
      </x:c>
      <x:c r="P413" s="22" t="str">
        <x:v>未提供（单期横截面）</x:v>
      </x:c>
      <x:c r="Q413" s="23" t="n">
        <x:v>1721</x:v>
      </x:c>
    </x:row>
    <x:row r="414">
      <x:c r="A414" s="30" t="n">
        <x:v>350200</x:v>
      </x:c>
      <x:c r="B414" s="22" t="str">
        <x:v>厦门市</x:v>
      </x:c>
      <x:c r="C414" s="31" t="n">
        <x:v>350212</x:v>
      </x:c>
      <x:c r="D414" s="22" t="str">
        <x:v>同安区</x:v>
      </x:c>
      <x:c r="E414" s="22" t="str">
        <x:v>建设用地</x:v>
      </x:c>
      <x:c r="F414" s="22" t="str">
        <x:v>公共管理与公共服务用地</x:v>
      </x:c>
      <x:c r="G414" s="32" t="str">
        <x:v>08H2A</x:v>
      </x:c>
      <x:c r="H414" s="32" t="str">
        <x:v>08H2</x:v>
      </x:c>
      <x:c r="I414" s="22" t="str">
        <x:v>高教用地</x:v>
      </x:c>
      <x:c r="J414" s="22" t="str">
        <x:v>公共服务</x:v>
      </x:c>
      <x:c r="K414" s="32" t="str">
        <x:v>201</x:v>
      </x:c>
      <x:c r="L414" s="22" t="str">
        <x:v>城市范围</x:v>
      </x:c>
      <x:c r="M414" s="33" t="n">
        <x:v>75031.18</x:v>
      </x:c>
      <x:c r="N414" s="33" t="n">
        <x:v>7.503118</x:v>
      </x:c>
      <x:c r="O414" s="22" t="str">
        <x:v>公顷</x:v>
      </x:c>
      <x:c r="P414" s="22" t="str">
        <x:v>未提供（单期横截面）</x:v>
      </x:c>
      <x:c r="Q414" s="23" t="n">
        <x:v>1722</x:v>
      </x:c>
    </x:row>
    <x:row r="415">
      <x:c r="A415" s="30" t="n">
        <x:v>350200</x:v>
      </x:c>
      <x:c r="B415" s="22" t="str">
        <x:v>厦门市</x:v>
      </x:c>
      <x:c r="C415" s="31" t="n">
        <x:v>350212</x:v>
      </x:c>
      <x:c r="D415" s="22" t="str">
        <x:v>同安区</x:v>
      </x:c>
      <x:c r="E415" s="22" t="str">
        <x:v>建设用地</x:v>
      </x:c>
      <x:c r="F415" s="22" t="str">
        <x:v>特殊用地</x:v>
      </x:c>
      <x:c r="G415" s="32" t="str">
        <x:v>9</x:v>
      </x:c>
      <x:c r="H415" s="32" t="str">
        <x:v>9</x:v>
      </x:c>
      <x:c r="I415" s="22" t="str">
        <x:v>特殊用地</x:v>
      </x:c>
      <x:c r="J415" s="22" t="str">
        <x:v>其他建设</x:v>
      </x:c>
      <x:c r="K415" s="32" t="str">
        <x:v>201</x:v>
      </x:c>
      <x:c r="L415" s="22" t="str">
        <x:v>城市范围</x:v>
      </x:c>
      <x:c r="M415" s="33" t="n">
        <x:v>25570.140000000003</x:v>
      </x:c>
      <x:c r="N415" s="33" t="n">
        <x:v>2.557014</x:v>
      </x:c>
      <x:c r="O415" s="22" t="str">
        <x:v>公顷</x:v>
      </x:c>
      <x:c r="P415" s="22" t="str">
        <x:v>未提供（单期横截面）</x:v>
      </x:c>
      <x:c r="Q415" s="23" t="n">
        <x:v>1723</x:v>
      </x:c>
    </x:row>
    <x:row r="416">
      <x:c r="A416" s="30" t="n">
        <x:v>350200</x:v>
      </x:c>
      <x:c r="B416" s="22" t="str">
        <x:v>厦门市</x:v>
      </x:c>
      <x:c r="C416" s="31" t="n">
        <x:v>350212</x:v>
      </x:c>
      <x:c r="D416" s="22" t="str">
        <x:v>同安区</x:v>
      </x:c>
      <x:c r="E416" s="22" t="str">
        <x:v>建设用地</x:v>
      </x:c>
      <x:c r="F416" s="22" t="str">
        <x:v>交通运输用地</x:v>
      </x:c>
      <x:c r="G416" s="32" t="str">
        <x:v>1003</x:v>
      </x:c>
      <x:c r="H416" s="32" t="str">
        <x:v>1003</x:v>
      </x:c>
      <x:c r="I416" s="22" t="str">
        <x:v>公路用地</x:v>
      </x:c>
      <x:c r="J416" s="22" t="str">
        <x:v>交通门户</x:v>
      </x:c>
      <x:c r="K416" s="32" t="str">
        <x:v>201</x:v>
      </x:c>
      <x:c r="L416" s="22" t="str">
        <x:v>城市范围</x:v>
      </x:c>
      <x:c r="M416" s="33" t="n">
        <x:v>36065.38</x:v>
      </x:c>
      <x:c r="N416" s="33" t="n">
        <x:v>3.6065379999999996</x:v>
      </x:c>
      <x:c r="O416" s="22" t="str">
        <x:v>公顷</x:v>
      </x:c>
      <x:c r="P416" s="22" t="str">
        <x:v>未提供（单期横截面）</x:v>
      </x:c>
      <x:c r="Q416" s="23" t="n">
        <x:v>1724</x:v>
      </x:c>
    </x:row>
    <x:row r="417">
      <x:c r="A417" s="30" t="n">
        <x:v>350200</x:v>
      </x:c>
      <x:c r="B417" s="22" t="str">
        <x:v>厦门市</x:v>
      </x:c>
      <x:c r="C417" s="31" t="n">
        <x:v>350212</x:v>
      </x:c>
      <x:c r="D417" s="22" t="str">
        <x:v>同安区</x:v>
      </x:c>
      <x:c r="E417" s="22" t="str">
        <x:v>建设用地</x:v>
      </x:c>
      <x:c r="F417" s="22" t="str">
        <x:v>交通运输用地</x:v>
      </x:c>
      <x:c r="G417" s="32" t="str">
        <x:v>1004</x:v>
      </x:c>
      <x:c r="H417" s="32" t="str">
        <x:v>1004</x:v>
      </x:c>
      <x:c r="I417" s="22" t="str">
        <x:v>城镇村道路用地</x:v>
      </x:c>
      <x:c r="J417" s="22" t="str">
        <x:v>交通门户</x:v>
      </x:c>
      <x:c r="K417" s="32" t="str">
        <x:v>201</x:v>
      </x:c>
      <x:c r="L417" s="22" t="str">
        <x:v>城市范围</x:v>
      </x:c>
      <x:c r="M417" s="33" t="n">
        <x:v>6696581.010000002</x:v>
      </x:c>
      <x:c r="N417" s="33" t="n">
        <x:v>669.6581010000002</x:v>
      </x:c>
      <x:c r="O417" s="22" t="str">
        <x:v>公顷</x:v>
      </x:c>
      <x:c r="P417" s="22" t="str">
        <x:v>未提供（单期横截面）</x:v>
      </x:c>
      <x:c r="Q417" s="23" t="n">
        <x:v>1725</x:v>
      </x:c>
    </x:row>
    <x:row r="418">
      <x:c r="A418" s="30" t="n">
        <x:v>350200</x:v>
      </x:c>
      <x:c r="B418" s="22" t="str">
        <x:v>厦门市</x:v>
      </x:c>
      <x:c r="C418" s="31" t="n">
        <x:v>350212</x:v>
      </x:c>
      <x:c r="D418" s="22" t="str">
        <x:v>同安区</x:v>
      </x:c>
      <x:c r="E418" s="22" t="str">
        <x:v>建设用地</x:v>
      </x:c>
      <x:c r="F418" s="22" t="str">
        <x:v>交通运输用地</x:v>
      </x:c>
      <x:c r="G418" s="32" t="str">
        <x:v>1005</x:v>
      </x:c>
      <x:c r="H418" s="32" t="str">
        <x:v>1005</x:v>
      </x:c>
      <x:c r="I418" s="22" t="str">
        <x:v>交通服务场站用地</x:v>
      </x:c>
      <x:c r="J418" s="22" t="str">
        <x:v>交通门户</x:v>
      </x:c>
      <x:c r="K418" s="32" t="str">
        <x:v>201</x:v>
      </x:c>
      <x:c r="L418" s="22" t="str">
        <x:v>城市范围</x:v>
      </x:c>
      <x:c r="M418" s="33" t="n">
        <x:v>1124417.14</x:v>
      </x:c>
      <x:c r="N418" s="33" t="n">
        <x:v>112.44171399999999</x:v>
      </x:c>
      <x:c r="O418" s="22" t="str">
        <x:v>公顷</x:v>
      </x:c>
      <x:c r="P418" s="22" t="str">
        <x:v>未提供（单期横截面）</x:v>
      </x:c>
      <x:c r="Q418" s="23" t="n">
        <x:v>1726</x:v>
      </x:c>
    </x:row>
    <x:row r="419">
      <x:c r="A419" s="30" t="n">
        <x:v>350200</x:v>
      </x:c>
      <x:c r="B419" s="22" t="str">
        <x:v>厦门市</x:v>
      </x:c>
      <x:c r="C419" s="31" t="n">
        <x:v>350212</x:v>
      </x:c>
      <x:c r="D419" s="22" t="str">
        <x:v>同安区</x:v>
      </x:c>
      <x:c r="E419" s="22" t="str">
        <x:v>建设用地</x:v>
      </x:c>
      <x:c r="F419" s="22" t="str">
        <x:v>其他建设用地</x:v>
      </x:c>
      <x:c r="G419" s="32" t="str">
        <x:v>1201</x:v>
      </x:c>
      <x:c r="H419" s="32" t="str">
        <x:v>1201</x:v>
      </x:c>
      <x:c r="I419" s="22" t="str">
        <x:v>空闲地</x:v>
      </x:c>
      <x:c r="J419" s="22" t="str">
        <x:v>其他建设</x:v>
      </x:c>
      <x:c r="K419" s="32" t="str">
        <x:v>201</x:v>
      </x:c>
      <x:c r="L419" s="22" t="str">
        <x:v>城市范围</x:v>
      </x:c>
      <x:c r="M419" s="33" t="n">
        <x:v>101420.6</x:v>
      </x:c>
      <x:c r="N419" s="33" t="n">
        <x:v>10.14206</x:v>
      </x:c>
      <x:c r="O419" s="22" t="str">
        <x:v>公顷</x:v>
      </x:c>
      <x:c r="P419" s="22" t="str">
        <x:v>未提供（单期横截面）</x:v>
      </x:c>
      <x:c r="Q419" s="23" t="n">
        <x:v>1727</x:v>
      </x:c>
    </x:row>
    <x:row r="420">
      <x:c r="A420" s="30" t="n">
        <x:v>350200</x:v>
      </x:c>
      <x:c r="B420" s="22" t="str">
        <x:v>厦门市</x:v>
      </x:c>
      <x:c r="C420" s="31" t="n">
        <x:v>350212</x:v>
      </x:c>
      <x:c r="D420" s="22" t="str">
        <x:v>同安区</x:v>
      </x:c>
      <x:c r="E420" s="22" t="str">
        <x:v>建设用地</x:v>
      </x:c>
      <x:c r="F420" s="22" t="str">
        <x:v>工矿仓储用地</x:v>
      </x:c>
      <x:c r="G420" s="32" t="str">
        <x:v>601</x:v>
      </x:c>
      <x:c r="H420" s="32" t="str">
        <x:v>601</x:v>
      </x:c>
      <x:c r="I420" s="22" t="str">
        <x:v>工业用地</x:v>
      </x:c>
      <x:c r="J420" s="22" t="str">
        <x:v>产业功能</x:v>
      </x:c>
      <x:c r="K420" s="32" t="str">
        <x:v>201A</x:v>
      </x:c>
      <x:c r="L420" s="22" t="str">
        <x:v>城市独立工业用地</x:v>
      </x:c>
      <x:c r="M420" s="33" t="n">
        <x:v>420208.52</x:v>
      </x:c>
      <x:c r="N420" s="33" t="n">
        <x:v>42.020852000000005</x:v>
      </x:c>
      <x:c r="O420" s="22" t="str">
        <x:v>公顷</x:v>
      </x:c>
      <x:c r="P420" s="22" t="str">
        <x:v>未提供（单期横截面）</x:v>
      </x:c>
      <x:c r="Q420" s="23" t="n">
        <x:v>1728</x:v>
      </x:c>
    </x:row>
    <x:row r="421">
      <x:c r="A421" s="30" t="n">
        <x:v>350200</x:v>
      </x:c>
      <x:c r="B421" s="22" t="str">
        <x:v>厦门市</x:v>
      </x:c>
      <x:c r="C421" s="31" t="n">
        <x:v>350212</x:v>
      </x:c>
      <x:c r="D421" s="22" t="str">
        <x:v>同安区</x:v>
      </x:c>
      <x:c r="E421" s="22" t="str">
        <x:v>建设用地</x:v>
      </x:c>
      <x:c r="F421" s="22" t="str">
        <x:v>工矿仓储用地</x:v>
      </x:c>
      <x:c r="G421" s="32" t="str">
        <x:v>508</x:v>
      </x:c>
      <x:c r="H421" s="32" t="str">
        <x:v>508</x:v>
      </x:c>
      <x:c r="I421" s="22" t="str">
        <x:v>物流仓储用地</x:v>
      </x:c>
      <x:c r="J421" s="22" t="str">
        <x:v>产业功能</x:v>
      </x:c>
      <x:c r="K421" s="32" t="str">
        <x:v>202</x:v>
      </x:c>
      <x:c r="L421" s="22" t="str">
        <x:v>建制镇范围</x:v>
      </x:c>
      <x:c r="M421" s="33" t="n">
        <x:v>159054.02</x:v>
      </x:c>
      <x:c r="N421" s="33" t="n">
        <x:v>15.905401999999999</x:v>
      </x:c>
      <x:c r="O421" s="22" t="str">
        <x:v>公顷</x:v>
      </x:c>
      <x:c r="P421" s="22" t="str">
        <x:v>未提供（单期横截面）</x:v>
      </x:c>
      <x:c r="Q421" s="23" t="n">
        <x:v>1729</x:v>
      </x:c>
    </x:row>
    <x:row r="422">
      <x:c r="A422" s="30" t="n">
        <x:v>350200</x:v>
      </x:c>
      <x:c r="B422" s="22" t="str">
        <x:v>厦门市</x:v>
      </x:c>
      <x:c r="C422" s="31" t="n">
        <x:v>350212</x:v>
      </x:c>
      <x:c r="D422" s="22" t="str">
        <x:v>同安区</x:v>
      </x:c>
      <x:c r="E422" s="22" t="str">
        <x:v>建设用地</x:v>
      </x:c>
      <x:c r="F422" s="22" t="str">
        <x:v>商业服务业用地</x:v>
      </x:c>
      <x:c r="G422" s="32" t="str">
        <x:v>05H1</x:v>
      </x:c>
      <x:c r="H422" s="32" t="str">
        <x:v>05H1</x:v>
      </x:c>
      <x:c r="I422" s="22" t="str">
        <x:v>商业服务业设施用地</x:v>
      </x:c>
      <x:c r="J422" s="22" t="str">
        <x:v>商业服务</x:v>
      </x:c>
      <x:c r="K422" s="32" t="str">
        <x:v>202</x:v>
      </x:c>
      <x:c r="L422" s="22" t="str">
        <x:v>建制镇范围</x:v>
      </x:c>
      <x:c r="M422" s="33" t="n">
        <x:v>65949.63</x:v>
      </x:c>
      <x:c r="N422" s="33" t="n">
        <x:v>6.594963000000001</x:v>
      </x:c>
      <x:c r="O422" s="22" t="str">
        <x:v>公顷</x:v>
      </x:c>
      <x:c r="P422" s="22" t="str">
        <x:v>未提供（单期横截面）</x:v>
      </x:c>
      <x:c r="Q422" s="23" t="n">
        <x:v>1730</x:v>
      </x:c>
    </x:row>
    <x:row r="423">
      <x:c r="A423" s="30" t="n">
        <x:v>350200</x:v>
      </x:c>
      <x:c r="B423" s="22" t="str">
        <x:v>厦门市</x:v>
      </x:c>
      <x:c r="C423" s="31" t="n">
        <x:v>350212</x:v>
      </x:c>
      <x:c r="D423" s="22" t="str">
        <x:v>同安区</x:v>
      </x:c>
      <x:c r="E423" s="22" t="str">
        <x:v>建设用地</x:v>
      </x:c>
      <x:c r="F423" s="22" t="str">
        <x:v>工矿仓储用地</x:v>
      </x:c>
      <x:c r="G423" s="32" t="str">
        <x:v>601</x:v>
      </x:c>
      <x:c r="H423" s="32" t="str">
        <x:v>601</x:v>
      </x:c>
      <x:c r="I423" s="22" t="str">
        <x:v>工业用地</x:v>
      </x:c>
      <x:c r="J423" s="22" t="str">
        <x:v>产业功能</x:v>
      </x:c>
      <x:c r="K423" s="32" t="str">
        <x:v>202</x:v>
      </x:c>
      <x:c r="L423" s="22" t="str">
        <x:v>建制镇范围</x:v>
      </x:c>
      <x:c r="M423" s="33" t="n">
        <x:v>3056437.589999999</x:v>
      </x:c>
      <x:c r="N423" s="33" t="n">
        <x:v>305.6437589999999</x:v>
      </x:c>
      <x:c r="O423" s="22" t="str">
        <x:v>公顷</x:v>
      </x:c>
      <x:c r="P423" s="22" t="str">
        <x:v>未提供（单期横截面）</x:v>
      </x:c>
      <x:c r="Q423" s="23" t="n">
        <x:v>1731</x:v>
      </x:c>
    </x:row>
    <x:row r="424">
      <x:c r="A424" s="30" t="n">
        <x:v>350200</x:v>
      </x:c>
      <x:c r="B424" s="22" t="str">
        <x:v>厦门市</x:v>
      </x:c>
      <x:c r="C424" s="31" t="n">
        <x:v>350212</x:v>
      </x:c>
      <x:c r="D424" s="22" t="str">
        <x:v>同安区</x:v>
      </x:c>
      <x:c r="E424" s="22" t="str">
        <x:v>建设用地</x:v>
      </x:c>
      <x:c r="F424" s="22" t="str">
        <x:v>工矿仓储用地</x:v>
      </x:c>
      <x:c r="G424" s="32" t="str">
        <x:v>602</x:v>
      </x:c>
      <x:c r="H424" s="32" t="str">
        <x:v>602</x:v>
      </x:c>
      <x:c r="I424" s="22" t="str">
        <x:v>采矿用地</x:v>
      </x:c>
      <x:c r="J424" s="22" t="str">
        <x:v>产业功能</x:v>
      </x:c>
      <x:c r="K424" s="32" t="str">
        <x:v>202</x:v>
      </x:c>
      <x:c r="L424" s="22" t="str">
        <x:v>建制镇范围</x:v>
      </x:c>
      <x:c r="M424" s="33" t="n">
        <x:v>475.19</x:v>
      </x:c>
      <x:c r="N424" s="33" t="n">
        <x:v>0.047519</x:v>
      </x:c>
      <x:c r="O424" s="22" t="str">
        <x:v>公顷</x:v>
      </x:c>
      <x:c r="P424" s="22" t="str">
        <x:v>未提供（单期横截面）</x:v>
      </x:c>
      <x:c r="Q424" s="23" t="n">
        <x:v>1732</x:v>
      </x:c>
    </x:row>
    <x:row r="425">
      <x:c r="A425" s="30" t="n">
        <x:v>350200</x:v>
      </x:c>
      <x:c r="B425" s="22" t="str">
        <x:v>厦门市</x:v>
      </x:c>
      <x:c r="C425" s="31" t="n">
        <x:v>350212</x:v>
      </x:c>
      <x:c r="D425" s="22" t="str">
        <x:v>同安区</x:v>
      </x:c>
      <x:c r="E425" s="22" t="str">
        <x:v>建设用地</x:v>
      </x:c>
      <x:c r="F425" s="22" t="str">
        <x:v>居住用地</x:v>
      </x:c>
      <x:c r="G425" s="32" t="str">
        <x:v>701</x:v>
      </x:c>
      <x:c r="H425" s="32" t="str">
        <x:v>701</x:v>
      </x:c>
      <x:c r="I425" s="22" t="str">
        <x:v>城镇住宅用地</x:v>
      </x:c>
      <x:c r="J425" s="22" t="str">
        <x:v>居住功能</x:v>
      </x:c>
      <x:c r="K425" s="32" t="str">
        <x:v>202</x:v>
      </x:c>
      <x:c r="L425" s="22" t="str">
        <x:v>建制镇范围</x:v>
      </x:c>
      <x:c r="M425" s="33" t="n">
        <x:v>991268.3500000003</x:v>
      </x:c>
      <x:c r="N425" s="33" t="n">
        <x:v>99.12683500000003</x:v>
      </x:c>
      <x:c r="O425" s="22" t="str">
        <x:v>公顷</x:v>
      </x:c>
      <x:c r="P425" s="22" t="str">
        <x:v>未提供（单期横截面）</x:v>
      </x:c>
      <x:c r="Q425" s="23" t="n">
        <x:v>1733</x:v>
      </x:c>
    </x:row>
    <x:row r="426">
      <x:c r="A426" s="30" t="n">
        <x:v>350200</x:v>
      </x:c>
      <x:c r="B426" s="22" t="str">
        <x:v>厦门市</x:v>
      </x:c>
      <x:c r="C426" s="31" t="n">
        <x:v>350212</x:v>
      </x:c>
      <x:c r="D426" s="22" t="str">
        <x:v>同安区</x:v>
      </x:c>
      <x:c r="E426" s="22" t="str">
        <x:v>建设用地</x:v>
      </x:c>
      <x:c r="F426" s="22" t="str">
        <x:v>居住用地</x:v>
      </x:c>
      <x:c r="G426" s="32" t="str">
        <x:v>702</x:v>
      </x:c>
      <x:c r="H426" s="32" t="str">
        <x:v>702</x:v>
      </x:c>
      <x:c r="I426" s="22" t="str">
        <x:v>农村宅基地</x:v>
      </x:c>
      <x:c r="J426" s="22" t="str">
        <x:v>居住功能</x:v>
      </x:c>
      <x:c r="K426" s="32" t="str">
        <x:v>202</x:v>
      </x:c>
      <x:c r="L426" s="22" t="str">
        <x:v>建制镇范围</x:v>
      </x:c>
      <x:c r="M426" s="33" t="n">
        <x:v>959422.0900000008</x:v>
      </x:c>
      <x:c r="N426" s="33" t="n">
        <x:v>95.94220900000008</x:v>
      </x:c>
      <x:c r="O426" s="22" t="str">
        <x:v>公顷</x:v>
      </x:c>
      <x:c r="P426" s="22" t="str">
        <x:v>未提供（单期横截面）</x:v>
      </x:c>
      <x:c r="Q426" s="23" t="n">
        <x:v>1734</x:v>
      </x:c>
    </x:row>
    <x:row r="427">
      <x:c r="A427" s="30" t="n">
        <x:v>350200</x:v>
      </x:c>
      <x:c r="B427" s="22" t="str">
        <x:v>厦门市</x:v>
      </x:c>
      <x:c r="C427" s="31" t="n">
        <x:v>350212</x:v>
      </x:c>
      <x:c r="D427" s="22" t="str">
        <x:v>同安区</x:v>
      </x:c>
      <x:c r="E427" s="22" t="str">
        <x:v>建设用地</x:v>
      </x:c>
      <x:c r="F427" s="22" t="str">
        <x:v>公用设施用地</x:v>
      </x:c>
      <x:c r="G427" s="32" t="str">
        <x:v>809</x:v>
      </x:c>
      <x:c r="H427" s="32" t="str">
        <x:v>809</x:v>
      </x:c>
      <x:c r="I427" s="22" t="str">
        <x:v>公用设施用地</x:v>
      </x:c>
      <x:c r="J427" s="22" t="str">
        <x:v>其他建设</x:v>
      </x:c>
      <x:c r="K427" s="32" t="str">
        <x:v>202</x:v>
      </x:c>
      <x:c r="L427" s="22" t="str">
        <x:v>建制镇范围</x:v>
      </x:c>
      <x:c r="M427" s="33" t="n">
        <x:v>144697.33</x:v>
      </x:c>
      <x:c r="N427" s="33" t="n">
        <x:v>14.469732999999998</x:v>
      </x:c>
      <x:c r="O427" s="22" t="str">
        <x:v>公顷</x:v>
      </x:c>
      <x:c r="P427" s="22" t="str">
        <x:v>未提供（单期横截面）</x:v>
      </x:c>
      <x:c r="Q427" s="23" t="n">
        <x:v>1735</x:v>
      </x:c>
    </x:row>
    <x:row r="428">
      <x:c r="A428" s="30" t="n">
        <x:v>350200</x:v>
      </x:c>
      <x:c r="B428" s="22" t="str">
        <x:v>厦门市</x:v>
      </x:c>
      <x:c r="C428" s="31" t="n">
        <x:v>350212</x:v>
      </x:c>
      <x:c r="D428" s="22" t="str">
        <x:v>同安区</x:v>
      </x:c>
      <x:c r="E428" s="22" t="str">
        <x:v>建设用地</x:v>
      </x:c>
      <x:c r="F428" s="22" t="str">
        <x:v>绿地与广场用地</x:v>
      </x:c>
      <x:c r="G428" s="32" t="str">
        <x:v>810</x:v>
      </x:c>
      <x:c r="H428" s="32" t="str">
        <x:v>810</x:v>
      </x:c>
      <x:c r="I428" s="22" t="str">
        <x:v>公园与绿地</x:v>
      </x:c>
      <x:c r="J428" s="22" t="str">
        <x:v>公共空间</x:v>
      </x:c>
      <x:c r="K428" s="32" t="str">
        <x:v>202</x:v>
      </x:c>
      <x:c r="L428" s="22" t="str">
        <x:v>建制镇范围</x:v>
      </x:c>
      <x:c r="M428" s="33" t="n">
        <x:v>857.55</x:v>
      </x:c>
      <x:c r="N428" s="33" t="n">
        <x:v>0.085755</x:v>
      </x:c>
      <x:c r="O428" s="22" t="str">
        <x:v>公顷</x:v>
      </x:c>
      <x:c r="P428" s="22" t="str">
        <x:v>未提供（单期横截面）</x:v>
      </x:c>
      <x:c r="Q428" s="23" t="n">
        <x:v>1736</x:v>
      </x:c>
    </x:row>
    <x:row r="429">
      <x:c r="A429" s="30" t="n">
        <x:v>350200</x:v>
      </x:c>
      <x:c r="B429" s="22" t="str">
        <x:v>厦门市</x:v>
      </x:c>
      <x:c r="C429" s="31" t="n">
        <x:v>350212</x:v>
      </x:c>
      <x:c r="D429" s="22" t="str">
        <x:v>同安区</x:v>
      </x:c>
      <x:c r="E429" s="22" t="str">
        <x:v>建设用地</x:v>
      </x:c>
      <x:c r="F429" s="22" t="str">
        <x:v>公共管理与公共服务用地</x:v>
      </x:c>
      <x:c r="G429" s="32" t="str">
        <x:v>08H1</x:v>
      </x:c>
      <x:c r="H429" s="32" t="str">
        <x:v>08H1</x:v>
      </x:c>
      <x:c r="I429" s="22" t="str">
        <x:v>机关团体新闻出版用地</x:v>
      </x:c>
      <x:c r="J429" s="22" t="str">
        <x:v>公共服务</x:v>
      </x:c>
      <x:c r="K429" s="32" t="str">
        <x:v>202</x:v>
      </x:c>
      <x:c r="L429" s="22" t="str">
        <x:v>建制镇范围</x:v>
      </x:c>
      <x:c r="M429" s="33" t="n">
        <x:v>74343.44</x:v>
      </x:c>
      <x:c r="N429" s="33" t="n">
        <x:v>7.434344</x:v>
      </x:c>
      <x:c r="O429" s="22" t="str">
        <x:v>公顷</x:v>
      </x:c>
      <x:c r="P429" s="22" t="str">
        <x:v>未提供（单期横截面）</x:v>
      </x:c>
      <x:c r="Q429" s="23" t="n">
        <x:v>1737</x:v>
      </x:c>
    </x:row>
    <x:row r="430">
      <x:c r="A430" s="30" t="n">
        <x:v>350200</x:v>
      </x:c>
      <x:c r="B430" s="22" t="str">
        <x:v>厦门市</x:v>
      </x:c>
      <x:c r="C430" s="31" t="n">
        <x:v>350212</x:v>
      </x:c>
      <x:c r="D430" s="22" t="str">
        <x:v>同安区</x:v>
      </x:c>
      <x:c r="E430" s="22" t="str">
        <x:v>建设用地</x:v>
      </x:c>
      <x:c r="F430" s="22" t="str">
        <x:v>公共管理与公共服务用地</x:v>
      </x:c>
      <x:c r="G430" s="32" t="str">
        <x:v>08H2</x:v>
      </x:c>
      <x:c r="H430" s="32" t="str">
        <x:v>08H2</x:v>
      </x:c>
      <x:c r="I430" s="22" t="str">
        <x:v>科教文卫用地</x:v>
      </x:c>
      <x:c r="J430" s="22" t="str">
        <x:v>公共服务</x:v>
      </x:c>
      <x:c r="K430" s="32" t="str">
        <x:v>202</x:v>
      </x:c>
      <x:c r="L430" s="22" t="str">
        <x:v>建制镇范围</x:v>
      </x:c>
      <x:c r="M430" s="33" t="n">
        <x:v>254502.21000000005</x:v>
      </x:c>
      <x:c r="N430" s="33" t="n">
        <x:v>25.450221000000006</x:v>
      </x:c>
      <x:c r="O430" s="22" t="str">
        <x:v>公顷</x:v>
      </x:c>
      <x:c r="P430" s="22" t="str">
        <x:v>未提供（单期横截面）</x:v>
      </x:c>
      <x:c r="Q430" s="23" t="n">
        <x:v>1738</x:v>
      </x:c>
    </x:row>
    <x:row r="431">
      <x:c r="A431" s="30" t="n">
        <x:v>350200</x:v>
      </x:c>
      <x:c r="B431" s="22" t="str">
        <x:v>厦门市</x:v>
      </x:c>
      <x:c r="C431" s="31" t="n">
        <x:v>350212</x:v>
      </x:c>
      <x:c r="D431" s="22" t="str">
        <x:v>同安区</x:v>
      </x:c>
      <x:c r="E431" s="22" t="str">
        <x:v>建设用地</x:v>
      </x:c>
      <x:c r="F431" s="22" t="str">
        <x:v>特殊用地</x:v>
      </x:c>
      <x:c r="G431" s="32" t="str">
        <x:v>9</x:v>
      </x:c>
      <x:c r="H431" s="32" t="str">
        <x:v>9</x:v>
      </x:c>
      <x:c r="I431" s="22" t="str">
        <x:v>特殊用地</x:v>
      </x:c>
      <x:c r="J431" s="22" t="str">
        <x:v>其他建设</x:v>
      </x:c>
      <x:c r="K431" s="32" t="str">
        <x:v>202</x:v>
      </x:c>
      <x:c r="L431" s="22" t="str">
        <x:v>建制镇范围</x:v>
      </x:c>
      <x:c r="M431" s="33" t="n">
        <x:v>8794.65</x:v>
      </x:c>
      <x:c r="N431" s="33" t="n">
        <x:v>0.8794649999999999</x:v>
      </x:c>
      <x:c r="O431" s="22" t="str">
        <x:v>公顷</x:v>
      </x:c>
      <x:c r="P431" s="22" t="str">
        <x:v>未提供（单期横截面）</x:v>
      </x:c>
      <x:c r="Q431" s="23" t="n">
        <x:v>1739</x:v>
      </x:c>
    </x:row>
    <x:row r="432">
      <x:c r="A432" s="30" t="n">
        <x:v>350200</x:v>
      </x:c>
      <x:c r="B432" s="22" t="str">
        <x:v>厦门市</x:v>
      </x:c>
      <x:c r="C432" s="31" t="n">
        <x:v>350212</x:v>
      </x:c>
      <x:c r="D432" s="22" t="str">
        <x:v>同安区</x:v>
      </x:c>
      <x:c r="E432" s="22" t="str">
        <x:v>建设用地</x:v>
      </x:c>
      <x:c r="F432" s="22" t="str">
        <x:v>交通运输用地</x:v>
      </x:c>
      <x:c r="G432" s="32" t="str">
        <x:v>1003</x:v>
      </x:c>
      <x:c r="H432" s="32" t="str">
        <x:v>1003</x:v>
      </x:c>
      <x:c r="I432" s="22" t="str">
        <x:v>公路用地</x:v>
      </x:c>
      <x:c r="J432" s="22" t="str">
        <x:v>交通门户</x:v>
      </x:c>
      <x:c r="K432" s="32" t="str">
        <x:v>202</x:v>
      </x:c>
      <x:c r="L432" s="22" t="str">
        <x:v>建制镇范围</x:v>
      </x:c>
      <x:c r="M432" s="33" t="n">
        <x:v>422.07</x:v>
      </x:c>
      <x:c r="N432" s="33" t="n">
        <x:v>0.042207</x:v>
      </x:c>
      <x:c r="O432" s="22" t="str">
        <x:v>公顷</x:v>
      </x:c>
      <x:c r="P432" s="22" t="str">
        <x:v>未提供（单期横截面）</x:v>
      </x:c>
      <x:c r="Q432" s="23" t="n">
        <x:v>1740</x:v>
      </x:c>
    </x:row>
    <x:row r="433">
      <x:c r="A433" s="30" t="n">
        <x:v>350200</x:v>
      </x:c>
      <x:c r="B433" s="22" t="str">
        <x:v>厦门市</x:v>
      </x:c>
      <x:c r="C433" s="31" t="n">
        <x:v>350212</x:v>
      </x:c>
      <x:c r="D433" s="22" t="str">
        <x:v>同安区</x:v>
      </x:c>
      <x:c r="E433" s="22" t="str">
        <x:v>建设用地</x:v>
      </x:c>
      <x:c r="F433" s="22" t="str">
        <x:v>交通运输用地</x:v>
      </x:c>
      <x:c r="G433" s="32" t="str">
        <x:v>1004</x:v>
      </x:c>
      <x:c r="H433" s="32" t="str">
        <x:v>1004</x:v>
      </x:c>
      <x:c r="I433" s="22" t="str">
        <x:v>城镇村道路用地</x:v>
      </x:c>
      <x:c r="J433" s="22" t="str">
        <x:v>交通门户</x:v>
      </x:c>
      <x:c r="K433" s="32" t="str">
        <x:v>202</x:v>
      </x:c>
      <x:c r="L433" s="22" t="str">
        <x:v>建制镇范围</x:v>
      </x:c>
      <x:c r="M433" s="33" t="n">
        <x:v>376633.1199999999</x:v>
      </x:c>
      <x:c r="N433" s="33" t="n">
        <x:v>37.66331199999999</x:v>
      </x:c>
      <x:c r="O433" s="22" t="str">
        <x:v>公顷</x:v>
      </x:c>
      <x:c r="P433" s="22" t="str">
        <x:v>未提供（单期横截面）</x:v>
      </x:c>
      <x:c r="Q433" s="23" t="n">
        <x:v>1741</x:v>
      </x:c>
    </x:row>
    <x:row r="434">
      <x:c r="A434" s="30" t="n">
        <x:v>350200</x:v>
      </x:c>
      <x:c r="B434" s="22" t="str">
        <x:v>厦门市</x:v>
      </x:c>
      <x:c r="C434" s="31" t="n">
        <x:v>350212</x:v>
      </x:c>
      <x:c r="D434" s="22" t="str">
        <x:v>同安区</x:v>
      </x:c>
      <x:c r="E434" s="22" t="str">
        <x:v>建设用地</x:v>
      </x:c>
      <x:c r="F434" s="22" t="str">
        <x:v>交通运输用地</x:v>
      </x:c>
      <x:c r="G434" s="32" t="str">
        <x:v>1005</x:v>
      </x:c>
      <x:c r="H434" s="32" t="str">
        <x:v>1005</x:v>
      </x:c>
      <x:c r="I434" s="22" t="str">
        <x:v>交通服务场站用地</x:v>
      </x:c>
      <x:c r="J434" s="22" t="str">
        <x:v>交通门户</x:v>
      </x:c>
      <x:c r="K434" s="32" t="str">
        <x:v>202</x:v>
      </x:c>
      <x:c r="L434" s="22" t="str">
        <x:v>建制镇范围</x:v>
      </x:c>
      <x:c r="M434" s="33" t="n">
        <x:v>88178.34</x:v>
      </x:c>
      <x:c r="N434" s="33" t="n">
        <x:v>8.817834</x:v>
      </x:c>
      <x:c r="O434" s="22" t="str">
        <x:v>公顷</x:v>
      </x:c>
      <x:c r="P434" s="22" t="str">
        <x:v>未提供（单期横截面）</x:v>
      </x:c>
      <x:c r="Q434" s="23" t="n">
        <x:v>1742</x:v>
      </x:c>
    </x:row>
    <x:row r="435">
      <x:c r="A435" s="30" t="n">
        <x:v>350200</x:v>
      </x:c>
      <x:c r="B435" s="22" t="str">
        <x:v>厦门市</x:v>
      </x:c>
      <x:c r="C435" s="31" t="n">
        <x:v>350212</x:v>
      </x:c>
      <x:c r="D435" s="22" t="str">
        <x:v>同安区</x:v>
      </x:c>
      <x:c r="E435" s="22" t="str">
        <x:v>建设用地</x:v>
      </x:c>
      <x:c r="F435" s="22" t="str">
        <x:v>水域及水利设施</x:v>
      </x:c>
      <x:c r="G435" s="32" t="str">
        <x:v>1109</x:v>
      </x:c>
      <x:c r="H435" s="32" t="str">
        <x:v>1109</x:v>
      </x:c>
      <x:c r="I435" s="22" t="str">
        <x:v>水工建筑用地</x:v>
      </x:c>
      <x:c r="J435" s="22" t="str">
        <x:v>其他建设</x:v>
      </x:c>
      <x:c r="K435" s="32" t="str">
        <x:v>202</x:v>
      </x:c>
      <x:c r="L435" s="22" t="str">
        <x:v>建制镇范围</x:v>
      </x:c>
      <x:c r="M435" s="33" t="n">
        <x:v>1223.31</x:v>
      </x:c>
      <x:c r="N435" s="33" t="n">
        <x:v>0.122331</x:v>
      </x:c>
      <x:c r="O435" s="22" t="str">
        <x:v>公顷</x:v>
      </x:c>
      <x:c r="P435" s="22" t="str">
        <x:v>未提供（单期横截面）</x:v>
      </x:c>
      <x:c r="Q435" s="23" t="n">
        <x:v>1743</x:v>
      </x:c>
    </x:row>
    <x:row r="436">
      <x:c r="A436" s="30" t="n">
        <x:v>350200</x:v>
      </x:c>
      <x:c r="B436" s="22" t="str">
        <x:v>厦门市</x:v>
      </x:c>
      <x:c r="C436" s="31" t="n">
        <x:v>350212</x:v>
      </x:c>
      <x:c r="D436" s="22" t="str">
        <x:v>同安区</x:v>
      </x:c>
      <x:c r="E436" s="22" t="str">
        <x:v>建设用地</x:v>
      </x:c>
      <x:c r="F436" s="22" t="str">
        <x:v>工矿仓储用地</x:v>
      </x:c>
      <x:c r="G436" s="32" t="str">
        <x:v>601</x:v>
      </x:c>
      <x:c r="H436" s="32" t="str">
        <x:v>601</x:v>
      </x:c>
      <x:c r="I436" s="22" t="str">
        <x:v>工业用地</x:v>
      </x:c>
      <x:c r="J436" s="22" t="str">
        <x:v>产业功能</x:v>
      </x:c>
      <x:c r="K436" s="32" t="str">
        <x:v>202A</x:v>
      </x:c>
      <x:c r="L436" s="22" t="str">
        <x:v>建制镇独立工业用地</x:v>
      </x:c>
      <x:c r="M436" s="33" t="n">
        <x:v>91105.43</x:v>
      </x:c>
      <x:c r="N436" s="33" t="n">
        <x:v>9.110543</x:v>
      </x:c>
      <x:c r="O436" s="22" t="str">
        <x:v>公顷</x:v>
      </x:c>
      <x:c r="P436" s="22" t="str">
        <x:v>未提供（单期横截面）</x:v>
      </x:c>
      <x:c r="Q436" s="23" t="n">
        <x:v>1744</x:v>
      </x:c>
    </x:row>
    <x:row r="437">
      <x:c r="A437" s="30" t="n">
        <x:v>350200</x:v>
      </x:c>
      <x:c r="B437" s="22" t="str">
        <x:v>厦门市</x:v>
      </x:c>
      <x:c r="C437" s="31" t="n">
        <x:v>350212</x:v>
      </x:c>
      <x:c r="D437" s="22" t="str">
        <x:v>同安区</x:v>
      </x:c>
      <x:c r="E437" s="22" t="str">
        <x:v>建设用地</x:v>
      </x:c>
      <x:c r="F437" s="22" t="str">
        <x:v>工矿仓储用地</x:v>
      </x:c>
      <x:c r="G437" s="32" t="str">
        <x:v>508</x:v>
      </x:c>
      <x:c r="H437" s="32" t="str">
        <x:v>508</x:v>
      </x:c>
      <x:c r="I437" s="22" t="str">
        <x:v>物流仓储用地</x:v>
      </x:c>
      <x:c r="J437" s="22" t="str">
        <x:v>产业功能</x:v>
      </x:c>
      <x:c r="K437" s="32" t="str">
        <x:v>203</x:v>
      </x:c>
      <x:c r="L437" s="22" t="str">
        <x:v>村庄范围</x:v>
      </x:c>
      <x:c r="M437" s="33" t="n">
        <x:v>142450.00000000003</x:v>
      </x:c>
      <x:c r="N437" s="33" t="n">
        <x:v>14.245000000000003</x:v>
      </x:c>
      <x:c r="O437" s="22" t="str">
        <x:v>公顷</x:v>
      </x:c>
      <x:c r="P437" s="22" t="str">
        <x:v>未提供（单期横截面）</x:v>
      </x:c>
      <x:c r="Q437" s="23" t="n">
        <x:v>1745</x:v>
      </x:c>
    </x:row>
    <x:row r="438">
      <x:c r="A438" s="30" t="n">
        <x:v>350200</x:v>
      </x:c>
      <x:c r="B438" s="22" t="str">
        <x:v>厦门市</x:v>
      </x:c>
      <x:c r="C438" s="31" t="n">
        <x:v>350212</x:v>
      </x:c>
      <x:c r="D438" s="22" t="str">
        <x:v>同安区</x:v>
      </x:c>
      <x:c r="E438" s="22" t="str">
        <x:v>建设用地</x:v>
      </x:c>
      <x:c r="F438" s="22" t="str">
        <x:v>商业服务业用地</x:v>
      </x:c>
      <x:c r="G438" s="32" t="str">
        <x:v>05H1</x:v>
      </x:c>
      <x:c r="H438" s="32" t="str">
        <x:v>05H1</x:v>
      </x:c>
      <x:c r="I438" s="22" t="str">
        <x:v>商业服务业设施用地</x:v>
      </x:c>
      <x:c r="J438" s="22" t="str">
        <x:v>商业服务</x:v>
      </x:c>
      <x:c r="K438" s="32" t="str">
        <x:v>203</x:v>
      </x:c>
      <x:c r="L438" s="22" t="str">
        <x:v>村庄范围</x:v>
      </x:c>
      <x:c r="M438" s="33" t="n">
        <x:v>1133992.0400000003</x:v>
      </x:c>
      <x:c r="N438" s="33" t="n">
        <x:v>113.39920400000003</x:v>
      </x:c>
      <x:c r="O438" s="22" t="str">
        <x:v>公顷</x:v>
      </x:c>
      <x:c r="P438" s="22" t="str">
        <x:v>未提供（单期横截面）</x:v>
      </x:c>
      <x:c r="Q438" s="23" t="n">
        <x:v>1746</x:v>
      </x:c>
    </x:row>
    <x:row r="439">
      <x:c r="A439" s="30" t="n">
        <x:v>350200</x:v>
      </x:c>
      <x:c r="B439" s="22" t="str">
        <x:v>厦门市</x:v>
      </x:c>
      <x:c r="C439" s="31" t="n">
        <x:v>350212</x:v>
      </x:c>
      <x:c r="D439" s="22" t="str">
        <x:v>同安区</x:v>
      </x:c>
      <x:c r="E439" s="22" t="str">
        <x:v>建设用地</x:v>
      </x:c>
      <x:c r="F439" s="22" t="str">
        <x:v>工矿仓储用地</x:v>
      </x:c>
      <x:c r="G439" s="32" t="str">
        <x:v>601</x:v>
      </x:c>
      <x:c r="H439" s="32" t="str">
        <x:v>601</x:v>
      </x:c>
      <x:c r="I439" s="22" t="str">
        <x:v>工业用地</x:v>
      </x:c>
      <x:c r="J439" s="22" t="str">
        <x:v>产业功能</x:v>
      </x:c>
      <x:c r="K439" s="32" t="str">
        <x:v>203</x:v>
      </x:c>
      <x:c r="L439" s="22" t="str">
        <x:v>村庄范围</x:v>
      </x:c>
      <x:c r="M439" s="33" t="n">
        <x:v>4256017.239999999</x:v>
      </x:c>
      <x:c r="N439" s="33" t="n">
        <x:v>425.60172399999993</x:v>
      </x:c>
      <x:c r="O439" s="22" t="str">
        <x:v>公顷</x:v>
      </x:c>
      <x:c r="P439" s="22" t="str">
        <x:v>未提供（单期横截面）</x:v>
      </x:c>
      <x:c r="Q439" s="23" t="n">
        <x:v>1747</x:v>
      </x:c>
    </x:row>
    <x:row r="440">
      <x:c r="A440" s="30" t="n">
        <x:v>350200</x:v>
      </x:c>
      <x:c r="B440" s="22" t="str">
        <x:v>厦门市</x:v>
      </x:c>
      <x:c r="C440" s="31" t="n">
        <x:v>350212</x:v>
      </x:c>
      <x:c r="D440" s="22" t="str">
        <x:v>同安区</x:v>
      </x:c>
      <x:c r="E440" s="22" t="str">
        <x:v>建设用地</x:v>
      </x:c>
      <x:c r="F440" s="22" t="str">
        <x:v>工矿仓储用地</x:v>
      </x:c>
      <x:c r="G440" s="32" t="str">
        <x:v>602</x:v>
      </x:c>
      <x:c r="H440" s="32" t="str">
        <x:v>602</x:v>
      </x:c>
      <x:c r="I440" s="22" t="str">
        <x:v>采矿用地</x:v>
      </x:c>
      <x:c r="J440" s="22" t="str">
        <x:v>产业功能</x:v>
      </x:c>
      <x:c r="K440" s="32" t="str">
        <x:v>203</x:v>
      </x:c>
      <x:c r="L440" s="22" t="str">
        <x:v>村庄范围</x:v>
      </x:c>
      <x:c r="M440" s="33" t="n">
        <x:v>60887.21</x:v>
      </x:c>
      <x:c r="N440" s="33" t="n">
        <x:v>6.088721</x:v>
      </x:c>
      <x:c r="O440" s="22" t="str">
        <x:v>公顷</x:v>
      </x:c>
      <x:c r="P440" s="22" t="str">
        <x:v>未提供（单期横截面）</x:v>
      </x:c>
      <x:c r="Q440" s="23" t="n">
        <x:v>1748</x:v>
      </x:c>
    </x:row>
    <x:row r="441">
      <x:c r="A441" s="30" t="n">
        <x:v>350200</x:v>
      </x:c>
      <x:c r="B441" s="22" t="str">
        <x:v>厦门市</x:v>
      </x:c>
      <x:c r="C441" s="31" t="n">
        <x:v>350212</x:v>
      </x:c>
      <x:c r="D441" s="22" t="str">
        <x:v>同安区</x:v>
      </x:c>
      <x:c r="E441" s="22" t="str">
        <x:v>建设用地</x:v>
      </x:c>
      <x:c r="F441" s="22" t="str">
        <x:v>居住用地</x:v>
      </x:c>
      <x:c r="G441" s="32" t="str">
        <x:v>701</x:v>
      </x:c>
      <x:c r="H441" s="32" t="str">
        <x:v>701</x:v>
      </x:c>
      <x:c r="I441" s="22" t="str">
        <x:v>城镇住宅用地</x:v>
      </x:c>
      <x:c r="J441" s="22" t="str">
        <x:v>居住功能</x:v>
      </x:c>
      <x:c r="K441" s="32" t="str">
        <x:v>203</x:v>
      </x:c>
      <x:c r="L441" s="22" t="str">
        <x:v>村庄范围</x:v>
      </x:c>
      <x:c r="M441" s="33" t="n">
        <x:v>492764.41000000015</x:v>
      </x:c>
      <x:c r="N441" s="33" t="n">
        <x:v>49.27644100000001</x:v>
      </x:c>
      <x:c r="O441" s="22" t="str">
        <x:v>公顷</x:v>
      </x:c>
      <x:c r="P441" s="22" t="str">
        <x:v>未提供（单期横截面）</x:v>
      </x:c>
      <x:c r="Q441" s="23" t="n">
        <x:v>1749</x:v>
      </x:c>
    </x:row>
    <x:row r="442">
      <x:c r="A442" s="30" t="n">
        <x:v>350200</x:v>
      </x:c>
      <x:c r="B442" s="22" t="str">
        <x:v>厦门市</x:v>
      </x:c>
      <x:c r="C442" s="31" t="n">
        <x:v>350212</x:v>
      </x:c>
      <x:c r="D442" s="22" t="str">
        <x:v>同安区</x:v>
      </x:c>
      <x:c r="E442" s="22" t="str">
        <x:v>建设用地</x:v>
      </x:c>
      <x:c r="F442" s="22" t="str">
        <x:v>居住用地</x:v>
      </x:c>
      <x:c r="G442" s="32" t="str">
        <x:v>702</x:v>
      </x:c>
      <x:c r="H442" s="32" t="str">
        <x:v>702</x:v>
      </x:c>
      <x:c r="I442" s="22" t="str">
        <x:v>农村宅基地</x:v>
      </x:c>
      <x:c r="J442" s="22" t="str">
        <x:v>居住功能</x:v>
      </x:c>
      <x:c r="K442" s="32" t="str">
        <x:v>203</x:v>
      </x:c>
      <x:c r="L442" s="22" t="str">
        <x:v>村庄范围</x:v>
      </x:c>
      <x:c r="M442" s="33" t="n">
        <x:v>24851246.150000095</x:v>
      </x:c>
      <x:c r="N442" s="33" t="n">
        <x:v>2485.1246150000097</x:v>
      </x:c>
      <x:c r="O442" s="22" t="str">
        <x:v>公顷</x:v>
      </x:c>
      <x:c r="P442" s="22" t="str">
        <x:v>未提供（单期横截面）</x:v>
      </x:c>
      <x:c r="Q442" s="23" t="n">
        <x:v>1750</x:v>
      </x:c>
    </x:row>
    <x:row r="443">
      <x:c r="A443" s="30" t="n">
        <x:v>350200</x:v>
      </x:c>
      <x:c r="B443" s="22" t="str">
        <x:v>厦门市</x:v>
      </x:c>
      <x:c r="C443" s="31" t="n">
        <x:v>350212</x:v>
      </x:c>
      <x:c r="D443" s="22" t="str">
        <x:v>同安区</x:v>
      </x:c>
      <x:c r="E443" s="22" t="str">
        <x:v>建设用地</x:v>
      </x:c>
      <x:c r="F443" s="22" t="str">
        <x:v>公用设施用地</x:v>
      </x:c>
      <x:c r="G443" s="32" t="str">
        <x:v>809</x:v>
      </x:c>
      <x:c r="H443" s="32" t="str">
        <x:v>809</x:v>
      </x:c>
      <x:c r="I443" s="22" t="str">
        <x:v>公用设施用地</x:v>
      </x:c>
      <x:c r="J443" s="22" t="str">
        <x:v>其他建设</x:v>
      </x:c>
      <x:c r="K443" s="32" t="str">
        <x:v>203</x:v>
      </x:c>
      <x:c r="L443" s="22" t="str">
        <x:v>村庄范围</x:v>
      </x:c>
      <x:c r="M443" s="33" t="n">
        <x:v>378704.9300000001</x:v>
      </x:c>
      <x:c r="N443" s="33" t="n">
        <x:v>37.87049300000001</x:v>
      </x:c>
      <x:c r="O443" s="22" t="str">
        <x:v>公顷</x:v>
      </x:c>
      <x:c r="P443" s="22" t="str">
        <x:v>未提供（单期横截面）</x:v>
      </x:c>
      <x:c r="Q443" s="23" t="n">
        <x:v>1751</x:v>
      </x:c>
    </x:row>
    <x:row r="444">
      <x:c r="A444" s="30" t="n">
        <x:v>350200</x:v>
      </x:c>
      <x:c r="B444" s="22" t="str">
        <x:v>厦门市</x:v>
      </x:c>
      <x:c r="C444" s="31" t="n">
        <x:v>350212</x:v>
      </x:c>
      <x:c r="D444" s="22" t="str">
        <x:v>同安区</x:v>
      </x:c>
      <x:c r="E444" s="22" t="str">
        <x:v>建设用地</x:v>
      </x:c>
      <x:c r="F444" s="22" t="str">
        <x:v>绿地与广场用地</x:v>
      </x:c>
      <x:c r="G444" s="32" t="str">
        <x:v>810</x:v>
      </x:c>
      <x:c r="H444" s="32" t="str">
        <x:v>810</x:v>
      </x:c>
      <x:c r="I444" s="22" t="str">
        <x:v>公园与绿地</x:v>
      </x:c>
      <x:c r="J444" s="22" t="str">
        <x:v>公共空间</x:v>
      </x:c>
      <x:c r="K444" s="32" t="str">
        <x:v>203</x:v>
      </x:c>
      <x:c r="L444" s="22" t="str">
        <x:v>村庄范围</x:v>
      </x:c>
      <x:c r="M444" s="33" t="n">
        <x:v>318005.74</x:v>
      </x:c>
      <x:c r="N444" s="33" t="n">
        <x:v>31.800573999999997</x:v>
      </x:c>
      <x:c r="O444" s="22" t="str">
        <x:v>公顷</x:v>
      </x:c>
      <x:c r="P444" s="22" t="str">
        <x:v>未提供（单期横截面）</x:v>
      </x:c>
      <x:c r="Q444" s="23" t="n">
        <x:v>1752</x:v>
      </x:c>
    </x:row>
    <x:row r="445">
      <x:c r="A445" s="30" t="n">
        <x:v>350200</x:v>
      </x:c>
      <x:c r="B445" s="22" t="str">
        <x:v>厦门市</x:v>
      </x:c>
      <x:c r="C445" s="31" t="n">
        <x:v>350212</x:v>
      </x:c>
      <x:c r="D445" s="22" t="str">
        <x:v>同安区</x:v>
      </x:c>
      <x:c r="E445" s="22" t="str">
        <x:v>建设用地</x:v>
      </x:c>
      <x:c r="F445" s="22" t="str">
        <x:v>绿地与广场用地</x:v>
      </x:c>
      <x:c r="G445" s="32" t="str">
        <x:v>0810A</x:v>
      </x:c>
      <x:c r="H445" s="32" t="str">
        <x:v>0810</x:v>
      </x:c>
      <x:c r="I445" s="22" t="str">
        <x:v>广场用地</x:v>
      </x:c>
      <x:c r="J445" s="22" t="str">
        <x:v>公共空间</x:v>
      </x:c>
      <x:c r="K445" s="32" t="str">
        <x:v>203</x:v>
      </x:c>
      <x:c r="L445" s="22" t="str">
        <x:v>村庄范围</x:v>
      </x:c>
      <x:c r="M445" s="33" t="n">
        <x:v>12912.600000000002</x:v>
      </x:c>
      <x:c r="N445" s="33" t="n">
        <x:v>1.2912600000000003</x:v>
      </x:c>
      <x:c r="O445" s="22" t="str">
        <x:v>公顷</x:v>
      </x:c>
      <x:c r="P445" s="22" t="str">
        <x:v>未提供（单期横截面）</x:v>
      </x:c>
      <x:c r="Q445" s="23" t="n">
        <x:v>1753</x:v>
      </x:c>
    </x:row>
    <x:row r="446">
      <x:c r="A446" s="30" t="n">
        <x:v>350200</x:v>
      </x:c>
      <x:c r="B446" s="22" t="str">
        <x:v>厦门市</x:v>
      </x:c>
      <x:c r="C446" s="31" t="n">
        <x:v>350212</x:v>
      </x:c>
      <x:c r="D446" s="22" t="str">
        <x:v>同安区</x:v>
      </x:c>
      <x:c r="E446" s="22" t="str">
        <x:v>建设用地</x:v>
      </x:c>
      <x:c r="F446" s="22" t="str">
        <x:v>公共管理与公共服务用地</x:v>
      </x:c>
      <x:c r="G446" s="32" t="str">
        <x:v>08H1</x:v>
      </x:c>
      <x:c r="H446" s="32" t="str">
        <x:v>08H1</x:v>
      </x:c>
      <x:c r="I446" s="22" t="str">
        <x:v>机关团体新闻出版用地</x:v>
      </x:c>
      <x:c r="J446" s="22" t="str">
        <x:v>公共服务</x:v>
      </x:c>
      <x:c r="K446" s="32" t="str">
        <x:v>203</x:v>
      </x:c>
      <x:c r="L446" s="22" t="str">
        <x:v>村庄范围</x:v>
      </x:c>
      <x:c r="M446" s="33" t="n">
        <x:v>208067.88999999998</x:v>
      </x:c>
      <x:c r="N446" s="33" t="n">
        <x:v>20.806789</x:v>
      </x:c>
      <x:c r="O446" s="22" t="str">
        <x:v>公顷</x:v>
      </x:c>
      <x:c r="P446" s="22" t="str">
        <x:v>未提供（单期横截面）</x:v>
      </x:c>
      <x:c r="Q446" s="23" t="n">
        <x:v>1754</x:v>
      </x:c>
    </x:row>
    <x:row r="447">
      <x:c r="A447" s="30" t="n">
        <x:v>350200</x:v>
      </x:c>
      <x:c r="B447" s="22" t="str">
        <x:v>厦门市</x:v>
      </x:c>
      <x:c r="C447" s="31" t="n">
        <x:v>350212</x:v>
      </x:c>
      <x:c r="D447" s="22" t="str">
        <x:v>同安区</x:v>
      </x:c>
      <x:c r="E447" s="22" t="str">
        <x:v>建设用地</x:v>
      </x:c>
      <x:c r="F447" s="22" t="str">
        <x:v>公共管理与公共服务用地</x:v>
      </x:c>
      <x:c r="G447" s="32" t="str">
        <x:v>08H2</x:v>
      </x:c>
      <x:c r="H447" s="32" t="str">
        <x:v>08H2</x:v>
      </x:c>
      <x:c r="I447" s="22" t="str">
        <x:v>科教文卫用地</x:v>
      </x:c>
      <x:c r="J447" s="22" t="str">
        <x:v>公共服务</x:v>
      </x:c>
      <x:c r="K447" s="32" t="str">
        <x:v>203</x:v>
      </x:c>
      <x:c r="L447" s="22" t="str">
        <x:v>村庄范围</x:v>
      </x:c>
      <x:c r="M447" s="33" t="n">
        <x:v>874212.5699999995</x:v>
      </x:c>
      <x:c r="N447" s="33" t="n">
        <x:v>87.42125699999995</x:v>
      </x:c>
      <x:c r="O447" s="22" t="str">
        <x:v>公顷</x:v>
      </x:c>
      <x:c r="P447" s="22" t="str">
        <x:v>未提供（单期横截面）</x:v>
      </x:c>
      <x:c r="Q447" s="23" t="n">
        <x:v>1755</x:v>
      </x:c>
    </x:row>
    <x:row r="448">
      <x:c r="A448" s="30" t="n">
        <x:v>350200</x:v>
      </x:c>
      <x:c r="B448" s="22" t="str">
        <x:v>厦门市</x:v>
      </x:c>
      <x:c r="C448" s="31" t="n">
        <x:v>350212</x:v>
      </x:c>
      <x:c r="D448" s="22" t="str">
        <x:v>同安区</x:v>
      </x:c>
      <x:c r="E448" s="22" t="str">
        <x:v>建设用地</x:v>
      </x:c>
      <x:c r="F448" s="22" t="str">
        <x:v>特殊用地</x:v>
      </x:c>
      <x:c r="G448" s="32" t="str">
        <x:v>9</x:v>
      </x:c>
      <x:c r="H448" s="32" t="str">
        <x:v>9</x:v>
      </x:c>
      <x:c r="I448" s="22" t="str">
        <x:v>特殊用地</x:v>
      </x:c>
      <x:c r="J448" s="22" t="str">
        <x:v>其他建设</x:v>
      </x:c>
      <x:c r="K448" s="32" t="str">
        <x:v>203</x:v>
      </x:c>
      <x:c r="L448" s="22" t="str">
        <x:v>村庄范围</x:v>
      </x:c>
      <x:c r="M448" s="33" t="n">
        <x:v>28055.140000000007</x:v>
      </x:c>
      <x:c r="N448" s="33" t="n">
        <x:v>2.8055140000000005</x:v>
      </x:c>
      <x:c r="O448" s="22" t="str">
        <x:v>公顷</x:v>
      </x:c>
      <x:c r="P448" s="22" t="str">
        <x:v>未提供（单期横截面）</x:v>
      </x:c>
      <x:c r="Q448" s="23" t="n">
        <x:v>1756</x:v>
      </x:c>
    </x:row>
    <x:row r="449">
      <x:c r="A449" s="30" t="n">
        <x:v>350200</x:v>
      </x:c>
      <x:c r="B449" s="22" t="str">
        <x:v>厦门市</x:v>
      </x:c>
      <x:c r="C449" s="31" t="n">
        <x:v>350212</x:v>
      </x:c>
      <x:c r="D449" s="22" t="str">
        <x:v>同安区</x:v>
      </x:c>
      <x:c r="E449" s="22" t="str">
        <x:v>建设用地</x:v>
      </x:c>
      <x:c r="F449" s="22" t="str">
        <x:v>交通运输用地</x:v>
      </x:c>
      <x:c r="G449" s="32" t="str">
        <x:v>1003</x:v>
      </x:c>
      <x:c r="H449" s="32" t="str">
        <x:v>1003</x:v>
      </x:c>
      <x:c r="I449" s="22" t="str">
        <x:v>公路用地</x:v>
      </x:c>
      <x:c r="J449" s="22" t="str">
        <x:v>交通门户</x:v>
      </x:c>
      <x:c r="K449" s="32" t="str">
        <x:v>203</x:v>
      </x:c>
      <x:c r="L449" s="22" t="str">
        <x:v>村庄范围</x:v>
      </x:c>
      <x:c r="M449" s="33" t="n">
        <x:v>376.61</x:v>
      </x:c>
      <x:c r="N449" s="33" t="n">
        <x:v>0.037661</x:v>
      </x:c>
      <x:c r="O449" s="22" t="str">
        <x:v>公顷</x:v>
      </x:c>
      <x:c r="P449" s="22" t="str">
        <x:v>未提供（单期横截面）</x:v>
      </x:c>
      <x:c r="Q449" s="23" t="n">
        <x:v>1757</x:v>
      </x:c>
    </x:row>
    <x:row r="450">
      <x:c r="A450" s="30" t="n">
        <x:v>350200</x:v>
      </x:c>
      <x:c r="B450" s="22" t="str">
        <x:v>厦门市</x:v>
      </x:c>
      <x:c r="C450" s="31" t="n">
        <x:v>350212</x:v>
      </x:c>
      <x:c r="D450" s="22" t="str">
        <x:v>同安区</x:v>
      </x:c>
      <x:c r="E450" s="22" t="str">
        <x:v>建设用地</x:v>
      </x:c>
      <x:c r="F450" s="22" t="str">
        <x:v>交通运输用地</x:v>
      </x:c>
      <x:c r="G450" s="32" t="str">
        <x:v>1004</x:v>
      </x:c>
      <x:c r="H450" s="32" t="str">
        <x:v>1004</x:v>
      </x:c>
      <x:c r="I450" s="22" t="str">
        <x:v>城镇村道路用地</x:v>
      </x:c>
      <x:c r="J450" s="22" t="str">
        <x:v>交通门户</x:v>
      </x:c>
      <x:c r="K450" s="32" t="str">
        <x:v>203</x:v>
      </x:c>
      <x:c r="L450" s="22" t="str">
        <x:v>村庄范围</x:v>
      </x:c>
      <x:c r="M450" s="33" t="n">
        <x:v>2250488.889999997</x:v>
      </x:c>
      <x:c r="N450" s="33" t="n">
        <x:v>225.0488889999997</x:v>
      </x:c>
      <x:c r="O450" s="22" t="str">
        <x:v>公顷</x:v>
      </x:c>
      <x:c r="P450" s="22" t="str">
        <x:v>未提供（单期横截面）</x:v>
      </x:c>
      <x:c r="Q450" s="23" t="n">
        <x:v>1758</x:v>
      </x:c>
    </x:row>
    <x:row r="451">
      <x:c r="A451" s="30" t="n">
        <x:v>350200</x:v>
      </x:c>
      <x:c r="B451" s="22" t="str">
        <x:v>厦门市</x:v>
      </x:c>
      <x:c r="C451" s="31" t="n">
        <x:v>350212</x:v>
      </x:c>
      <x:c r="D451" s="22" t="str">
        <x:v>同安区</x:v>
      </x:c>
      <x:c r="E451" s="22" t="str">
        <x:v>建设用地</x:v>
      </x:c>
      <x:c r="F451" s="22" t="str">
        <x:v>交通运输用地</x:v>
      </x:c>
      <x:c r="G451" s="32" t="str">
        <x:v>1005</x:v>
      </x:c>
      <x:c r="H451" s="32" t="str">
        <x:v>1005</x:v>
      </x:c>
      <x:c r="I451" s="22" t="str">
        <x:v>交通服务场站用地</x:v>
      </x:c>
      <x:c r="J451" s="22" t="str">
        <x:v>交通门户</x:v>
      </x:c>
      <x:c r="K451" s="32" t="str">
        <x:v>203</x:v>
      </x:c>
      <x:c r="L451" s="22" t="str">
        <x:v>村庄范围</x:v>
      </x:c>
      <x:c r="M451" s="33" t="n">
        <x:v>848501.2000000003</x:v>
      </x:c>
      <x:c r="N451" s="33" t="n">
        <x:v>84.85012000000003</x:v>
      </x:c>
      <x:c r="O451" s="22" t="str">
        <x:v>公顷</x:v>
      </x:c>
      <x:c r="P451" s="22" t="str">
        <x:v>未提供（单期横截面）</x:v>
      </x:c>
      <x:c r="Q451" s="23" t="n">
        <x:v>1759</x:v>
      </x:c>
    </x:row>
    <x:row r="452">
      <x:c r="A452" s="30" t="n">
        <x:v>350200</x:v>
      </x:c>
      <x:c r="B452" s="22" t="str">
        <x:v>厦门市</x:v>
      </x:c>
      <x:c r="C452" s="31" t="n">
        <x:v>350212</x:v>
      </x:c>
      <x:c r="D452" s="22" t="str">
        <x:v>同安区</x:v>
      </x:c>
      <x:c r="E452" s="22" t="str">
        <x:v>建设用地</x:v>
      </x:c>
      <x:c r="F452" s="22" t="str">
        <x:v>其他建设用地</x:v>
      </x:c>
      <x:c r="G452" s="32" t="str">
        <x:v>1201</x:v>
      </x:c>
      <x:c r="H452" s="32" t="str">
        <x:v>1201</x:v>
      </x:c>
      <x:c r="I452" s="22" t="str">
        <x:v>空闲地</x:v>
      </x:c>
      <x:c r="J452" s="22" t="str">
        <x:v>其他建设</x:v>
      </x:c>
      <x:c r="K452" s="32" t="str">
        <x:v>203</x:v>
      </x:c>
      <x:c r="L452" s="22" t="str">
        <x:v>村庄范围</x:v>
      </x:c>
      <x:c r="M452" s="33" t="n">
        <x:v>13484.670000000002</x:v>
      </x:c>
      <x:c r="N452" s="33" t="n">
        <x:v>1.348467</x:v>
      </x:c>
      <x:c r="O452" s="22" t="str">
        <x:v>公顷</x:v>
      </x:c>
      <x:c r="P452" s="22" t="str">
        <x:v>未提供（单期横截面）</x:v>
      </x:c>
      <x:c r="Q452" s="23" t="n">
        <x:v>1760</x:v>
      </x:c>
    </x:row>
    <x:row r="453">
      <x:c r="A453" s="30" t="n">
        <x:v>350200</x:v>
      </x:c>
      <x:c r="B453" s="22" t="str">
        <x:v>厦门市</x:v>
      </x:c>
      <x:c r="C453" s="31" t="n">
        <x:v>350212</x:v>
      </x:c>
      <x:c r="D453" s="22" t="str">
        <x:v>同安区</x:v>
      </x:c>
      <x:c r="E453" s="22" t="str">
        <x:v>建设用地</x:v>
      </x:c>
      <x:c r="F453" s="22" t="str">
        <x:v>工矿仓储用地</x:v>
      </x:c>
      <x:c r="G453" s="32" t="str">
        <x:v>601</x:v>
      </x:c>
      <x:c r="H453" s="32" t="str">
        <x:v>601</x:v>
      </x:c>
      <x:c r="I453" s="22" t="str">
        <x:v>工业用地</x:v>
      </x:c>
      <x:c r="J453" s="22" t="str">
        <x:v>产业功能</x:v>
      </x:c>
      <x:c r="K453" s="32" t="str">
        <x:v>203A</x:v>
      </x:c>
      <x:c r="L453" s="22" t="str">
        <x:v>村庄独立工业用地</x:v>
      </x:c>
      <x:c r="M453" s="33" t="n">
        <x:v>1601830.11</x:v>
      </x:c>
      <x:c r="N453" s="33" t="n">
        <x:v>160.18301100000002</x:v>
      </x:c>
      <x:c r="O453" s="22" t="str">
        <x:v>公顷</x:v>
      </x:c>
      <x:c r="P453" s="22" t="str">
        <x:v>未提供（单期横截面）</x:v>
      </x:c>
      <x:c r="Q453" s="23" t="n">
        <x:v>1761</x:v>
      </x:c>
    </x:row>
    <x:row r="454">
      <x:c r="A454" s="30" t="n">
        <x:v>350200</x:v>
      </x:c>
      <x:c r="B454" s="22" t="str">
        <x:v>厦门市</x:v>
      </x:c>
      <x:c r="C454" s="31" t="n">
        <x:v>350212</x:v>
      </x:c>
      <x:c r="D454" s="22" t="str">
        <x:v>同安区</x:v>
      </x:c>
      <x:c r="E454" s="22" t="str">
        <x:v>建设用地</x:v>
      </x:c>
      <x:c r="F454" s="22" t="str">
        <x:v>工矿仓储用地</x:v>
      </x:c>
      <x:c r="G454" s="32" t="str">
        <x:v>601</x:v>
      </x:c>
      <x:c r="H454" s="32" t="str">
        <x:v>601</x:v>
      </x:c>
      <x:c r="I454" s="22" t="str">
        <x:v>工业用地</x:v>
      </x:c>
      <x:c r="J454" s="22" t="str">
        <x:v>产业功能</x:v>
      </x:c>
      <x:c r="K454" s="32" t="str">
        <x:v>204</x:v>
      </x:c>
      <x:c r="L454" s="22" t="str">
        <x:v>盐田及采矿用地</x:v>
      </x:c>
      <x:c r="M454" s="33" t="n">
        <x:v>152518.82</x:v>
      </x:c>
      <x:c r="N454" s="33" t="n">
        <x:v>15.251882</x:v>
      </x:c>
      <x:c r="O454" s="22" t="str">
        <x:v>公顷</x:v>
      </x:c>
      <x:c r="P454" s="22" t="str">
        <x:v>未提供（单期横截面）</x:v>
      </x:c>
      <x:c r="Q454" s="23" t="n">
        <x:v>1762</x:v>
      </x:c>
    </x:row>
    <x:row r="455">
      <x:c r="A455" s="30" t="n">
        <x:v>350200</x:v>
      </x:c>
      <x:c r="B455" s="22" t="str">
        <x:v>厦门市</x:v>
      </x:c>
      <x:c r="C455" s="31" t="n">
        <x:v>350212</x:v>
      </x:c>
      <x:c r="D455" s="22" t="str">
        <x:v>同安区</x:v>
      </x:c>
      <x:c r="E455" s="22" t="str">
        <x:v>建设用地</x:v>
      </x:c>
      <x:c r="F455" s="22" t="str">
        <x:v>工矿仓储用地</x:v>
      </x:c>
      <x:c r="G455" s="32" t="str">
        <x:v>602</x:v>
      </x:c>
      <x:c r="H455" s="32" t="str">
        <x:v>602</x:v>
      </x:c>
      <x:c r="I455" s="22" t="str">
        <x:v>采矿用地</x:v>
      </x:c>
      <x:c r="J455" s="22" t="str">
        <x:v>产业功能</x:v>
      </x:c>
      <x:c r="K455" s="32" t="str">
        <x:v>204</x:v>
      </x:c>
      <x:c r="L455" s="22" t="str">
        <x:v>盐田及采矿用地</x:v>
      </x:c>
      <x:c r="M455" s="33" t="n">
        <x:v>2223446.5300000007</x:v>
      </x:c>
      <x:c r="N455" s="33" t="n">
        <x:v>222.34465300000008</x:v>
      </x:c>
      <x:c r="O455" s="22" t="str">
        <x:v>公顷</x:v>
      </x:c>
      <x:c r="P455" s="22" t="str">
        <x:v>未提供（单期横截面）</x:v>
      </x:c>
      <x:c r="Q455" s="23" t="n">
        <x:v>1763</x:v>
      </x:c>
    </x:row>
    <x:row r="456">
      <x:c r="A456" s="30" t="n">
        <x:v>350200</x:v>
      </x:c>
      <x:c r="B456" s="22" t="str">
        <x:v>厦门市</x:v>
      </x:c>
      <x:c r="C456" s="31" t="n">
        <x:v>350212</x:v>
      </x:c>
      <x:c r="D456" s="22" t="str">
        <x:v>同安区</x:v>
      </x:c>
      <x:c r="E456" s="22" t="str">
        <x:v>建设用地</x:v>
      </x:c>
      <x:c r="F456" s="22" t="str">
        <x:v>居住用地</x:v>
      </x:c>
      <x:c r="G456" s="32" t="str">
        <x:v>702</x:v>
      </x:c>
      <x:c r="H456" s="32" t="str">
        <x:v>702</x:v>
      </x:c>
      <x:c r="I456" s="22" t="str">
        <x:v>农村宅基地</x:v>
      </x:c>
      <x:c r="J456" s="22" t="str">
        <x:v>居住功能</x:v>
      </x:c>
      <x:c r="K456" s="32" t="str">
        <x:v>204</x:v>
      </x:c>
      <x:c r="L456" s="22" t="str">
        <x:v>盐田及采矿用地</x:v>
      </x:c>
      <x:c r="M456" s="33" t="n">
        <x:v>306.64</x:v>
      </x:c>
      <x:c r="N456" s="33" t="n">
        <x:v>0.030664</x:v>
      </x:c>
      <x:c r="O456" s="22" t="str">
        <x:v>公顷</x:v>
      </x:c>
      <x:c r="P456" s="22" t="str">
        <x:v>未提供（单期横截面）</x:v>
      </x:c>
      <x:c r="Q456" s="23" t="n">
        <x:v>1764</x:v>
      </x:c>
    </x:row>
    <x:row r="457">
      <x:c r="A457" s="30" t="n">
        <x:v>350200</x:v>
      </x:c>
      <x:c r="B457" s="22" t="str">
        <x:v>厦门市</x:v>
      </x:c>
      <x:c r="C457" s="31" t="n">
        <x:v>350212</x:v>
      </x:c>
      <x:c r="D457" s="22" t="str">
        <x:v>同安区</x:v>
      </x:c>
      <x:c r="E457" s="22" t="str">
        <x:v>建设用地</x:v>
      </x:c>
      <x:c r="F457" s="22" t="str">
        <x:v>公共管理与公共服务用地</x:v>
      </x:c>
      <x:c r="G457" s="32" t="str">
        <x:v>08H1</x:v>
      </x:c>
      <x:c r="H457" s="32" t="str">
        <x:v>08H1</x:v>
      </x:c>
      <x:c r="I457" s="22" t="str">
        <x:v>机关团体新闻出版用地</x:v>
      </x:c>
      <x:c r="J457" s="22" t="str">
        <x:v>公共服务</x:v>
      </x:c>
      <x:c r="K457" s="32" t="str">
        <x:v>205</x:v>
      </x:c>
      <x:c r="L457" s="22" t="str">
        <x:v>特殊用地</x:v>
      </x:c>
      <x:c r="M457" s="33" t="n">
        <x:v>41548.81</x:v>
      </x:c>
      <x:c r="N457" s="33" t="n">
        <x:v>4.154881</x:v>
      </x:c>
      <x:c r="O457" s="22" t="str">
        <x:v>公顷</x:v>
      </x:c>
      <x:c r="P457" s="22" t="str">
        <x:v>未提供（单期横截面）</x:v>
      </x:c>
      <x:c r="Q457" s="23" t="n">
        <x:v>1765</x:v>
      </x:c>
    </x:row>
    <x:row r="458">
      <x:c r="A458" s="30" t="n">
        <x:v>350200</x:v>
      </x:c>
      <x:c r="B458" s="22" t="str">
        <x:v>厦门市</x:v>
      </x:c>
      <x:c r="C458" s="31" t="n">
        <x:v>350212</x:v>
      </x:c>
      <x:c r="D458" s="22" t="str">
        <x:v>同安区</x:v>
      </x:c>
      <x:c r="E458" s="22" t="str">
        <x:v>建设用地</x:v>
      </x:c>
      <x:c r="F458" s="22" t="str">
        <x:v>特殊用地</x:v>
      </x:c>
      <x:c r="G458" s="32" t="str">
        <x:v>9</x:v>
      </x:c>
      <x:c r="H458" s="32" t="str">
        <x:v>9</x:v>
      </x:c>
      <x:c r="I458" s="22" t="str">
        <x:v>特殊用地</x:v>
      </x:c>
      <x:c r="J458" s="22" t="str">
        <x:v>其他建设</x:v>
      </x:c>
      <x:c r="K458" s="32" t="str">
        <x:v>205</x:v>
      </x:c>
      <x:c r="L458" s="22" t="str">
        <x:v>特殊用地</x:v>
      </x:c>
      <x:c r="M458" s="33" t="n">
        <x:v>4058793.2699999954</x:v>
      </x:c>
      <x:c r="N458" s="33" t="n">
        <x:v>405.87932699999953</x:v>
      </x:c>
      <x:c r="O458" s="22" t="str">
        <x:v>公顷</x:v>
      </x:c>
      <x:c r="P458" s="22" t="str">
        <x:v>未提供（单期横截面）</x:v>
      </x:c>
      <x:c r="Q458" s="23" t="n">
        <x:v>1766</x:v>
      </x:c>
    </x:row>
    <x:row r="459">
      <x:c r="A459" s="30" t="n">
        <x:v>350200</x:v>
      </x:c>
      <x:c r="B459" s="22" t="str">
        <x:v>厦门市</x:v>
      </x:c>
      <x:c r="C459" s="31" t="n">
        <x:v>350212</x:v>
      </x:c>
      <x:c r="D459" s="22" t="str">
        <x:v>同安区</x:v>
      </x:c>
      <x:c r="E459" s="22" t="str">
        <x:v>农用地</x:v>
      </x:c>
      <x:c r="F459" s="22" t="str">
        <x:v>耕地</x:v>
      </x:c>
      <x:c r="G459" s="32" t="str">
        <x:v>101</x:v>
      </x:c>
      <x:c r="H459" s="32" t="str">
        <x:v>101</x:v>
      </x:c>
      <x:c r="I459" s="22" t="str">
        <x:v>水田</x:v>
      </x:c>
      <x:c r="J459" s="22" t="str">
        <x:v>农业生态</x:v>
      </x:c>
      <x:c r="K459" s="32" t="str"/>
      <x:c r="L459" s="22" t="str">
        <x:v>不适用/未标注</x:v>
      </x:c>
      <x:c r="M459" s="33" t="n">
        <x:v>43025579.36999985</x:v>
      </x:c>
      <x:c r="N459" s="33" t="n">
        <x:v>4302.557936999985</x:v>
      </x:c>
      <x:c r="O459" s="22" t="str">
        <x:v>公顷</x:v>
      </x:c>
      <x:c r="P459" s="22" t="str">
        <x:v>未提供（单期横截面）</x:v>
      </x:c>
      <x:c r="Q459" s="23" t="n">
        <x:v>1767</x:v>
      </x:c>
    </x:row>
    <x:row r="460">
      <x:c r="A460" s="30" t="n">
        <x:v>350200</x:v>
      </x:c>
      <x:c r="B460" s="22" t="str">
        <x:v>厦门市</x:v>
      </x:c>
      <x:c r="C460" s="31" t="n">
        <x:v>350212</x:v>
      </x:c>
      <x:c r="D460" s="22" t="str">
        <x:v>同安区</x:v>
      </x:c>
      <x:c r="E460" s="22" t="str">
        <x:v>农用地</x:v>
      </x:c>
      <x:c r="F460" s="22" t="str">
        <x:v>耕地</x:v>
      </x:c>
      <x:c r="G460" s="32" t="str">
        <x:v>102</x:v>
      </x:c>
      <x:c r="H460" s="32" t="str">
        <x:v>102</x:v>
      </x:c>
      <x:c r="I460" s="22" t="str">
        <x:v>水浇地</x:v>
      </x:c>
      <x:c r="J460" s="22" t="str">
        <x:v>农业生态</x:v>
      </x:c>
      <x:c r="K460" s="32" t="str"/>
      <x:c r="L460" s="22" t="str">
        <x:v>不适用/未标注</x:v>
      </x:c>
      <x:c r="M460" s="33" t="n">
        <x:v>20005496.70000001</x:v>
      </x:c>
      <x:c r="N460" s="33" t="n">
        <x:v>2000.549670000001</x:v>
      </x:c>
      <x:c r="O460" s="22" t="str">
        <x:v>公顷</x:v>
      </x:c>
      <x:c r="P460" s="22" t="str">
        <x:v>未提供（单期横截面）</x:v>
      </x:c>
      <x:c r="Q460" s="23" t="n">
        <x:v>1768</x:v>
      </x:c>
    </x:row>
    <x:row r="461">
      <x:c r="A461" s="30" t="n">
        <x:v>350200</x:v>
      </x:c>
      <x:c r="B461" s="22" t="str">
        <x:v>厦门市</x:v>
      </x:c>
      <x:c r="C461" s="31" t="n">
        <x:v>350212</x:v>
      </x:c>
      <x:c r="D461" s="22" t="str">
        <x:v>同安区</x:v>
      </x:c>
      <x:c r="E461" s="22" t="str">
        <x:v>农用地</x:v>
      </x:c>
      <x:c r="F461" s="22" t="str">
        <x:v>耕地</x:v>
      </x:c>
      <x:c r="G461" s="32" t="str">
        <x:v>103</x:v>
      </x:c>
      <x:c r="H461" s="32" t="str">
        <x:v>103</x:v>
      </x:c>
      <x:c r="I461" s="22" t="str">
        <x:v>旱地</x:v>
      </x:c>
      <x:c r="J461" s="22" t="str">
        <x:v>农业生态</x:v>
      </x:c>
      <x:c r="K461" s="32" t="str"/>
      <x:c r="L461" s="22" t="str">
        <x:v>不适用/未标注</x:v>
      </x:c>
      <x:c r="M461" s="33" t="n">
        <x:v>3758036.849999991</x:v>
      </x:c>
      <x:c r="N461" s="33" t="n">
        <x:v>375.80368499999906</x:v>
      </x:c>
      <x:c r="O461" s="22" t="str">
        <x:v>公顷</x:v>
      </x:c>
      <x:c r="P461" s="22" t="str">
        <x:v>未提供（单期横截面）</x:v>
      </x:c>
      <x:c r="Q461" s="23" t="n">
        <x:v>1769</x:v>
      </x:c>
    </x:row>
    <x:row r="462">
      <x:c r="A462" s="30" t="n">
        <x:v>350200</x:v>
      </x:c>
      <x:c r="B462" s="22" t="str">
        <x:v>厦门市</x:v>
      </x:c>
      <x:c r="C462" s="31" t="n">
        <x:v>350212</x:v>
      </x:c>
      <x:c r="D462" s="22" t="str">
        <x:v>同安区</x:v>
      </x:c>
      <x:c r="E462" s="22" t="str">
        <x:v>农用地</x:v>
      </x:c>
      <x:c r="F462" s="22" t="str">
        <x:v>园地</x:v>
      </x:c>
      <x:c r="G462" s="32" t="str">
        <x:v>201</x:v>
      </x:c>
      <x:c r="H462" s="32" t="str">
        <x:v>201</x:v>
      </x:c>
      <x:c r="I462" s="22" t="str">
        <x:v>果园</x:v>
      </x:c>
      <x:c r="J462" s="22" t="str">
        <x:v>农业生态</x:v>
      </x:c>
      <x:c r="K462" s="32" t="str"/>
      <x:c r="L462" s="22" t="str">
        <x:v>不适用/未标注</x:v>
      </x:c>
      <x:c r="M462" s="33" t="n">
        <x:v>83075681.82000002</x:v>
      </x:c>
      <x:c r="N462" s="33" t="n">
        <x:v>8307.568182000003</x:v>
      </x:c>
      <x:c r="O462" s="22" t="str">
        <x:v>公顷</x:v>
      </x:c>
      <x:c r="P462" s="22" t="str">
        <x:v>未提供（单期横截面）</x:v>
      </x:c>
      <x:c r="Q462" s="23" t="n">
        <x:v>1770</x:v>
      </x:c>
    </x:row>
    <x:row r="463">
      <x:c r="A463" s="30" t="n">
        <x:v>350200</x:v>
      </x:c>
      <x:c r="B463" s="22" t="str">
        <x:v>厦门市</x:v>
      </x:c>
      <x:c r="C463" s="31" t="n">
        <x:v>350212</x:v>
      </x:c>
      <x:c r="D463" s="22" t="str">
        <x:v>同安区</x:v>
      </x:c>
      <x:c r="E463" s="22" t="str">
        <x:v>农用地</x:v>
      </x:c>
      <x:c r="F463" s="22" t="str">
        <x:v>园地</x:v>
      </x:c>
      <x:c r="G463" s="32" t="str">
        <x:v>0201K</x:v>
      </x:c>
      <x:c r="H463" s="32" t="str">
        <x:v>201</x:v>
      </x:c>
      <x:c r="I463" s="22" t="str">
        <x:v>可调整果园</x:v>
      </x:c>
      <x:c r="J463" s="22" t="str">
        <x:v>农业生态</x:v>
      </x:c>
      <x:c r="K463" s="32" t="str"/>
      <x:c r="L463" s="22" t="str">
        <x:v>不适用/未标注</x:v>
      </x:c>
      <x:c r="M463" s="33" t="n">
        <x:v>3131595.069999999</x:v>
      </x:c>
      <x:c r="N463" s="33" t="n">
        <x:v>313.1595069999999</x:v>
      </x:c>
      <x:c r="O463" s="22" t="str">
        <x:v>公顷</x:v>
      </x:c>
      <x:c r="P463" s="22" t="str">
        <x:v>未提供（单期横截面）</x:v>
      </x:c>
      <x:c r="Q463" s="23" t="n">
        <x:v>1771</x:v>
      </x:c>
    </x:row>
    <x:row r="464">
      <x:c r="A464" s="30" t="n">
        <x:v>350200</x:v>
      </x:c>
      <x:c r="B464" s="22" t="str">
        <x:v>厦门市</x:v>
      </x:c>
      <x:c r="C464" s="31" t="n">
        <x:v>350212</x:v>
      </x:c>
      <x:c r="D464" s="22" t="str">
        <x:v>同安区</x:v>
      </x:c>
      <x:c r="E464" s="22" t="str">
        <x:v>农用地</x:v>
      </x:c>
      <x:c r="F464" s="22" t="str">
        <x:v>园地</x:v>
      </x:c>
      <x:c r="G464" s="32" t="str">
        <x:v>202</x:v>
      </x:c>
      <x:c r="H464" s="32" t="str">
        <x:v>202</x:v>
      </x:c>
      <x:c r="I464" s="22" t="str">
        <x:v>茶园</x:v>
      </x:c>
      <x:c r="J464" s="22" t="str">
        <x:v>农业生态</x:v>
      </x:c>
      <x:c r="K464" s="32" t="str"/>
      <x:c r="L464" s="22" t="str">
        <x:v>不适用/未标注</x:v>
      </x:c>
      <x:c r="M464" s="33" t="n">
        <x:v>15739653.820000013</x:v>
      </x:c>
      <x:c r="N464" s="33" t="n">
        <x:v>1573.9653820000012</x:v>
      </x:c>
      <x:c r="O464" s="22" t="str">
        <x:v>公顷</x:v>
      </x:c>
      <x:c r="P464" s="22" t="str">
        <x:v>未提供（单期横截面）</x:v>
      </x:c>
      <x:c r="Q464" s="23" t="n">
        <x:v>1772</x:v>
      </x:c>
    </x:row>
    <x:row r="465">
      <x:c r="A465" s="30" t="n">
        <x:v>350200</x:v>
      </x:c>
      <x:c r="B465" s="22" t="str">
        <x:v>厦门市</x:v>
      </x:c>
      <x:c r="C465" s="31" t="n">
        <x:v>350212</x:v>
      </x:c>
      <x:c r="D465" s="22" t="str">
        <x:v>同安区</x:v>
      </x:c>
      <x:c r="E465" s="22" t="str">
        <x:v>农用地</x:v>
      </x:c>
      <x:c r="F465" s="22" t="str">
        <x:v>园地</x:v>
      </x:c>
      <x:c r="G465" s="32" t="str">
        <x:v>204</x:v>
      </x:c>
      <x:c r="H465" s="32" t="str">
        <x:v>204</x:v>
      </x:c>
      <x:c r="I465" s="22" t="str">
        <x:v>其他园地</x:v>
      </x:c>
      <x:c r="J465" s="22" t="str">
        <x:v>农业生态</x:v>
      </x:c>
      <x:c r="K465" s="32" t="str"/>
      <x:c r="L465" s="22" t="str">
        <x:v>不适用/未标注</x:v>
      </x:c>
      <x:c r="M465" s="33" t="n">
        <x:v>1546675.1300000001</x:v>
      </x:c>
      <x:c r="N465" s="33" t="n">
        <x:v>154.667513</x:v>
      </x:c>
      <x:c r="O465" s="22" t="str">
        <x:v>公顷</x:v>
      </x:c>
      <x:c r="P465" s="22" t="str">
        <x:v>未提供（单期横截面）</x:v>
      </x:c>
      <x:c r="Q465" s="23" t="n">
        <x:v>1773</x:v>
      </x:c>
    </x:row>
    <x:row r="466">
      <x:c r="A466" s="30" t="n">
        <x:v>350200</x:v>
      </x:c>
      <x:c r="B466" s="22" t="str">
        <x:v>厦门市</x:v>
      </x:c>
      <x:c r="C466" s="31" t="n">
        <x:v>350212</x:v>
      </x:c>
      <x:c r="D466" s="22" t="str">
        <x:v>同安区</x:v>
      </x:c>
      <x:c r="E466" s="22" t="str">
        <x:v>农用地</x:v>
      </x:c>
      <x:c r="F466" s="22" t="str">
        <x:v>园地</x:v>
      </x:c>
      <x:c r="G466" s="32" t="str">
        <x:v>0204K</x:v>
      </x:c>
      <x:c r="H466" s="32" t="str">
        <x:v>0204</x:v>
      </x:c>
      <x:c r="I466" s="22" t="str">
        <x:v>可调整其他园地</x:v>
      </x:c>
      <x:c r="J466" s="22" t="str">
        <x:v>农业生态</x:v>
      </x:c>
      <x:c r="K466" s="32" t="str"/>
      <x:c r="L466" s="22" t="str">
        <x:v>不适用/未标注</x:v>
      </x:c>
      <x:c r="M466" s="33" t="n">
        <x:v>32439.12</x:v>
      </x:c>
      <x:c r="N466" s="33" t="n">
        <x:v>3.243912</x:v>
      </x:c>
      <x:c r="O466" s="22" t="str">
        <x:v>公顷</x:v>
      </x:c>
      <x:c r="P466" s="22" t="str">
        <x:v>未提供（单期横截面）</x:v>
      </x:c>
      <x:c r="Q466" s="23" t="n">
        <x:v>1774</x:v>
      </x:c>
    </x:row>
    <x:row r="467">
      <x:c r="A467" s="30" t="n">
        <x:v>350200</x:v>
      </x:c>
      <x:c r="B467" s="22" t="str">
        <x:v>厦门市</x:v>
      </x:c>
      <x:c r="C467" s="31" t="n">
        <x:v>350212</x:v>
      </x:c>
      <x:c r="D467" s="22" t="str">
        <x:v>同安区</x:v>
      </x:c>
      <x:c r="E467" s="22" t="str">
        <x:v>农用地</x:v>
      </x:c>
      <x:c r="F467" s="22" t="str">
        <x:v>林地</x:v>
      </x:c>
      <x:c r="G467" s="32" t="str">
        <x:v>301</x:v>
      </x:c>
      <x:c r="H467" s="32" t="str">
        <x:v>301</x:v>
      </x:c>
      <x:c r="I467" s="22" t="str">
        <x:v>乔木林地</x:v>
      </x:c>
      <x:c r="J467" s="22" t="str">
        <x:v>农业生态</x:v>
      </x:c>
      <x:c r="K467" s="32" t="str"/>
      <x:c r="L467" s="22" t="str">
        <x:v>不适用/未标注</x:v>
      </x:c>
      <x:c r="M467" s="33" t="n">
        <x:v>281655132.0899998</x:v>
      </x:c>
      <x:c r="N467" s="33" t="n">
        <x:v>28165.51320899998</x:v>
      </x:c>
      <x:c r="O467" s="22" t="str">
        <x:v>公顷</x:v>
      </x:c>
      <x:c r="P467" s="22" t="str">
        <x:v>未提供（单期横截面）</x:v>
      </x:c>
      <x:c r="Q467" s="23" t="n">
        <x:v>1775</x:v>
      </x:c>
    </x:row>
    <x:row r="468">
      <x:c r="A468" s="30" t="n">
        <x:v>350200</x:v>
      </x:c>
      <x:c r="B468" s="22" t="str">
        <x:v>厦门市</x:v>
      </x:c>
      <x:c r="C468" s="31" t="n">
        <x:v>350212</x:v>
      </x:c>
      <x:c r="D468" s="22" t="str">
        <x:v>同安区</x:v>
      </x:c>
      <x:c r="E468" s="22" t="str">
        <x:v>农用地</x:v>
      </x:c>
      <x:c r="F468" s="22" t="str">
        <x:v>林地</x:v>
      </x:c>
      <x:c r="G468" s="32" t="str">
        <x:v>302</x:v>
      </x:c>
      <x:c r="H468" s="32" t="str">
        <x:v>302</x:v>
      </x:c>
      <x:c r="I468" s="22" t="str">
        <x:v>竹林地</x:v>
      </x:c>
      <x:c r="J468" s="22" t="str">
        <x:v>农业生态</x:v>
      </x:c>
      <x:c r="K468" s="32" t="str"/>
      <x:c r="L468" s="22" t="str">
        <x:v>不适用/未标注</x:v>
      </x:c>
      <x:c r="M468" s="33" t="n">
        <x:v>2985727.1799999992</x:v>
      </x:c>
      <x:c r="N468" s="33" t="n">
        <x:v>298.5727179999999</x:v>
      </x:c>
      <x:c r="O468" s="22" t="str">
        <x:v>公顷</x:v>
      </x:c>
      <x:c r="P468" s="22" t="str">
        <x:v>未提供（单期横截面）</x:v>
      </x:c>
      <x:c r="Q468" s="23" t="n">
        <x:v>1776</x:v>
      </x:c>
    </x:row>
    <x:row r="469">
      <x:c r="A469" s="30" t="n">
        <x:v>350200</x:v>
      </x:c>
      <x:c r="B469" s="22" t="str">
        <x:v>厦门市</x:v>
      </x:c>
      <x:c r="C469" s="31" t="n">
        <x:v>350212</x:v>
      </x:c>
      <x:c r="D469" s="22" t="str">
        <x:v>同安区</x:v>
      </x:c>
      <x:c r="E469" s="22" t="str">
        <x:v>农用地</x:v>
      </x:c>
      <x:c r="F469" s="22" t="str">
        <x:v>林地</x:v>
      </x:c>
      <x:c r="G469" s="32" t="str">
        <x:v>305</x:v>
      </x:c>
      <x:c r="H469" s="32" t="str">
        <x:v>305</x:v>
      </x:c>
      <x:c r="I469" s="22" t="str">
        <x:v>灌木林地</x:v>
      </x:c>
      <x:c r="J469" s="22" t="str">
        <x:v>农业生态</x:v>
      </x:c>
      <x:c r="K469" s="32" t="str"/>
      <x:c r="L469" s="22" t="str">
        <x:v>不适用/未标注</x:v>
      </x:c>
      <x:c r="M469" s="33" t="n">
        <x:v>2392073.1900000013</x:v>
      </x:c>
      <x:c r="N469" s="33" t="n">
        <x:v>239.20731900000013</x:v>
      </x:c>
      <x:c r="O469" s="22" t="str">
        <x:v>公顷</x:v>
      </x:c>
      <x:c r="P469" s="22" t="str">
        <x:v>未提供（单期横截面）</x:v>
      </x:c>
      <x:c r="Q469" s="23" t="n">
        <x:v>1777</x:v>
      </x:c>
    </x:row>
    <x:row r="470">
      <x:c r="A470" s="30" t="n">
        <x:v>350200</x:v>
      </x:c>
      <x:c r="B470" s="22" t="str">
        <x:v>厦门市</x:v>
      </x:c>
      <x:c r="C470" s="31" t="n">
        <x:v>350212</x:v>
      </x:c>
      <x:c r="D470" s="22" t="str">
        <x:v>同安区</x:v>
      </x:c>
      <x:c r="E470" s="22" t="str">
        <x:v>农用地</x:v>
      </x:c>
      <x:c r="F470" s="22" t="str">
        <x:v>林地</x:v>
      </x:c>
      <x:c r="G470" s="32" t="str">
        <x:v>307</x:v>
      </x:c>
      <x:c r="H470" s="32" t="str">
        <x:v>307</x:v>
      </x:c>
      <x:c r="I470" s="22" t="str">
        <x:v>其他林地</x:v>
      </x:c>
      <x:c r="J470" s="22" t="str">
        <x:v>农业生态</x:v>
      </x:c>
      <x:c r="K470" s="32" t="str"/>
      <x:c r="L470" s="22" t="str">
        <x:v>不适用/未标注</x:v>
      </x:c>
      <x:c r="M470" s="33" t="n">
        <x:v>17270694.269999992</x:v>
      </x:c>
      <x:c r="N470" s="33" t="n">
        <x:v>1727.0694269999992</x:v>
      </x:c>
      <x:c r="O470" s="22" t="str">
        <x:v>公顷</x:v>
      </x:c>
      <x:c r="P470" s="22" t="str">
        <x:v>未提供（单期横截面）</x:v>
      </x:c>
      <x:c r="Q470" s="23" t="n">
        <x:v>1778</x:v>
      </x:c>
    </x:row>
    <x:row r="471">
      <x:c r="A471" s="30" t="n">
        <x:v>350200</x:v>
      </x:c>
      <x:c r="B471" s="22" t="str">
        <x:v>厦门市</x:v>
      </x:c>
      <x:c r="C471" s="31" t="n">
        <x:v>350212</x:v>
      </x:c>
      <x:c r="D471" s="22" t="str">
        <x:v>同安区</x:v>
      </x:c>
      <x:c r="E471" s="22" t="str">
        <x:v>农用地</x:v>
      </x:c>
      <x:c r="F471" s="22" t="str">
        <x:v>其他农用地</x:v>
      </x:c>
      <x:c r="G471" s="32" t="str">
        <x:v>1006</x:v>
      </x:c>
      <x:c r="H471" s="32" t="str">
        <x:v>1006</x:v>
      </x:c>
      <x:c r="I471" s="22" t="str">
        <x:v>农村道路</x:v>
      </x:c>
      <x:c r="J471" s="22" t="str">
        <x:v>农业生态</x:v>
      </x:c>
      <x:c r="K471" s="32" t="str"/>
      <x:c r="L471" s="22" t="str">
        <x:v>不适用/未标注</x:v>
      </x:c>
      <x:c r="M471" s="33" t="n">
        <x:v>7011586.720000015</x:v>
      </x:c>
      <x:c r="N471" s="33" t="n">
        <x:v>701.1586720000015</x:v>
      </x:c>
      <x:c r="O471" s="22" t="str">
        <x:v>公顷</x:v>
      </x:c>
      <x:c r="P471" s="22" t="str">
        <x:v>未提供（单期横截面）</x:v>
      </x:c>
      <x:c r="Q471" s="23" t="n">
        <x:v>1779</x:v>
      </x:c>
    </x:row>
    <x:row r="472">
      <x:c r="A472" s="30" t="n">
        <x:v>350200</x:v>
      </x:c>
      <x:c r="B472" s="22" t="str">
        <x:v>厦门市</x:v>
      </x:c>
      <x:c r="C472" s="31" t="n">
        <x:v>350212</x:v>
      </x:c>
      <x:c r="D472" s="22" t="str">
        <x:v>同安区</x:v>
      </x:c>
      <x:c r="E472" s="22" t="str">
        <x:v>农用地</x:v>
      </x:c>
      <x:c r="F472" s="22" t="str">
        <x:v>水域及水利设施</x:v>
      </x:c>
      <x:c r="G472" s="32" t="str">
        <x:v>1103</x:v>
      </x:c>
      <x:c r="H472" s="32" t="str">
        <x:v>1103</x:v>
      </x:c>
      <x:c r="I472" s="22" t="str">
        <x:v>水库水面</x:v>
      </x:c>
      <x:c r="J472" s="22" t="str">
        <x:v>农业生态</x:v>
      </x:c>
      <x:c r="K472" s="32" t="str"/>
      <x:c r="L472" s="22" t="str">
        <x:v>不适用/未标注</x:v>
      </x:c>
      <x:c r="M472" s="33" t="n">
        <x:v>7308503.8100000005</x:v>
      </x:c>
      <x:c r="N472" s="33" t="n">
        <x:v>730.8503810000001</x:v>
      </x:c>
      <x:c r="O472" s="22" t="str">
        <x:v>公顷</x:v>
      </x:c>
      <x:c r="P472" s="22" t="str">
        <x:v>未提供（单期横截面）</x:v>
      </x:c>
      <x:c r="Q472" s="23" t="n">
        <x:v>1780</x:v>
      </x:c>
    </x:row>
    <x:row r="473">
      <x:c r="A473" s="30" t="n">
        <x:v>350200</x:v>
      </x:c>
      <x:c r="B473" s="22" t="str">
        <x:v>厦门市</x:v>
      </x:c>
      <x:c r="C473" s="31" t="n">
        <x:v>350212</x:v>
      </x:c>
      <x:c r="D473" s="22" t="str">
        <x:v>同安区</x:v>
      </x:c>
      <x:c r="E473" s="22" t="str">
        <x:v>农用地</x:v>
      </x:c>
      <x:c r="F473" s="22" t="str">
        <x:v>水域及水利设施</x:v>
      </x:c>
      <x:c r="G473" s="32" t="str">
        <x:v>1104</x:v>
      </x:c>
      <x:c r="H473" s="32" t="str">
        <x:v>1104</x:v>
      </x:c>
      <x:c r="I473" s="22" t="str">
        <x:v>坑塘水面</x:v>
      </x:c>
      <x:c r="J473" s="22" t="str">
        <x:v>农业生态</x:v>
      </x:c>
      <x:c r="K473" s="32" t="str"/>
      <x:c r="L473" s="22" t="str">
        <x:v>不适用/未标注</x:v>
      </x:c>
      <x:c r="M473" s="33" t="n">
        <x:v>4167715.050000005</x:v>
      </x:c>
      <x:c r="N473" s="33" t="n">
        <x:v>416.7715050000005</x:v>
      </x:c>
      <x:c r="O473" s="22" t="str">
        <x:v>公顷</x:v>
      </x:c>
      <x:c r="P473" s="22" t="str">
        <x:v>未提供（单期横截面）</x:v>
      </x:c>
      <x:c r="Q473" s="23" t="n">
        <x:v>1781</x:v>
      </x:c>
    </x:row>
    <x:row r="474">
      <x:c r="A474" s="30" t="n">
        <x:v>350200</x:v>
      </x:c>
      <x:c r="B474" s="22" t="str">
        <x:v>厦门市</x:v>
      </x:c>
      <x:c r="C474" s="31" t="n">
        <x:v>350212</x:v>
      </x:c>
      <x:c r="D474" s="22" t="str">
        <x:v>同安区</x:v>
      </x:c>
      <x:c r="E474" s="22" t="str">
        <x:v>农用地</x:v>
      </x:c>
      <x:c r="F474" s="22" t="str">
        <x:v>水域及水利设施</x:v>
      </x:c>
      <x:c r="G474" s="32" t="str">
        <x:v>1104A</x:v>
      </x:c>
      <x:c r="H474" s="32" t="str">
        <x:v>1104</x:v>
      </x:c>
      <x:c r="I474" s="22" t="str">
        <x:v>养殖坑塘</x:v>
      </x:c>
      <x:c r="J474" s="22" t="str">
        <x:v>农业生态</x:v>
      </x:c>
      <x:c r="K474" s="32" t="str"/>
      <x:c r="L474" s="22" t="str">
        <x:v>不适用/未标注</x:v>
      </x:c>
      <x:c r="M474" s="33" t="n">
        <x:v>2359592.930000001</x:v>
      </x:c>
      <x:c r="N474" s="33" t="n">
        <x:v>235.95929300000012</x:v>
      </x:c>
      <x:c r="O474" s="22" t="str">
        <x:v>公顷</x:v>
      </x:c>
      <x:c r="P474" s="22" t="str">
        <x:v>未提供（单期横截面）</x:v>
      </x:c>
      <x:c r="Q474" s="23" t="n">
        <x:v>1782</x:v>
      </x:c>
    </x:row>
    <x:row r="475">
      <x:c r="A475" s="30" t="n">
        <x:v>350200</x:v>
      </x:c>
      <x:c r="B475" s="22" t="str">
        <x:v>厦门市</x:v>
      </x:c>
      <x:c r="C475" s="31" t="n">
        <x:v>350212</x:v>
      </x:c>
      <x:c r="D475" s="22" t="str">
        <x:v>同安区</x:v>
      </x:c>
      <x:c r="E475" s="22" t="str">
        <x:v>农用地</x:v>
      </x:c>
      <x:c r="F475" s="22" t="str">
        <x:v>水域及水利设施</x:v>
      </x:c>
      <x:c r="G475" s="32" t="str">
        <x:v>1104K</x:v>
      </x:c>
      <x:c r="H475" s="32" t="str">
        <x:v>1104</x:v>
      </x:c>
      <x:c r="I475" s="22" t="str">
        <x:v>可调整养殖坑塘</x:v>
      </x:c>
      <x:c r="J475" s="22" t="str">
        <x:v>农业生态</x:v>
      </x:c>
      <x:c r="K475" s="32" t="str"/>
      <x:c r="L475" s="22" t="str">
        <x:v>不适用/未标注</x:v>
      </x:c>
      <x:c r="M475" s="33" t="n">
        <x:v>140010.41</x:v>
      </x:c>
      <x:c r="N475" s="33" t="n">
        <x:v>14.001041</x:v>
      </x:c>
      <x:c r="O475" s="22" t="str">
        <x:v>公顷</x:v>
      </x:c>
      <x:c r="P475" s="22" t="str">
        <x:v>未提供（单期横截面）</x:v>
      </x:c>
      <x:c r="Q475" s="23" t="n">
        <x:v>1783</x:v>
      </x:c>
    </x:row>
    <x:row r="476">
      <x:c r="A476" s="30" t="n">
        <x:v>350200</x:v>
      </x:c>
      <x:c r="B476" s="22" t="str">
        <x:v>厦门市</x:v>
      </x:c>
      <x:c r="C476" s="31" t="n">
        <x:v>350212</x:v>
      </x:c>
      <x:c r="D476" s="22" t="str">
        <x:v>同安区</x:v>
      </x:c>
      <x:c r="E476" s="22" t="str">
        <x:v>农用地</x:v>
      </x:c>
      <x:c r="F476" s="22" t="str">
        <x:v>水域及水利设施</x:v>
      </x:c>
      <x:c r="G476" s="32" t="str">
        <x:v>1107</x:v>
      </x:c>
      <x:c r="H476" s="32" t="str">
        <x:v>1107</x:v>
      </x:c>
      <x:c r="I476" s="22" t="str">
        <x:v>沟渠</x:v>
      </x:c>
      <x:c r="J476" s="22" t="str">
        <x:v>农业生态</x:v>
      </x:c>
      <x:c r="K476" s="32" t="str"/>
      <x:c r="L476" s="22" t="str">
        <x:v>不适用/未标注</x:v>
      </x:c>
      <x:c r="M476" s="33" t="n">
        <x:v>2035154.2800000028</x:v>
      </x:c>
      <x:c r="N476" s="33" t="n">
        <x:v>203.51542800000027</x:v>
      </x:c>
      <x:c r="O476" s="22" t="str">
        <x:v>公顷</x:v>
      </x:c>
      <x:c r="P476" s="22" t="str">
        <x:v>未提供（单期横截面）</x:v>
      </x:c>
      <x:c r="Q476" s="23" t="n">
        <x:v>1784</x:v>
      </x:c>
    </x:row>
    <x:row r="477">
      <x:c r="A477" s="30" t="n">
        <x:v>350200</x:v>
      </x:c>
      <x:c r="B477" s="22" t="str">
        <x:v>厦门市</x:v>
      </x:c>
      <x:c r="C477" s="31" t="n">
        <x:v>350212</x:v>
      </x:c>
      <x:c r="D477" s="22" t="str">
        <x:v>同安区</x:v>
      </x:c>
      <x:c r="E477" s="22" t="str">
        <x:v>农用地</x:v>
      </x:c>
      <x:c r="F477" s="22" t="str">
        <x:v>其他农用地</x:v>
      </x:c>
      <x:c r="G477" s="32" t="str">
        <x:v>1202</x:v>
      </x:c>
      <x:c r="H477" s="32" t="str">
        <x:v>1202</x:v>
      </x:c>
      <x:c r="I477" s="22" t="str">
        <x:v>设施农用地</x:v>
      </x:c>
      <x:c r="J477" s="22" t="str">
        <x:v>农业生态</x:v>
      </x:c>
      <x:c r="K477" s="32" t="str"/>
      <x:c r="L477" s="22" t="str">
        <x:v>不适用/未标注</x:v>
      </x:c>
      <x:c r="M477" s="33" t="n">
        <x:v>3604495.3000000073</x:v>
      </x:c>
      <x:c r="N477" s="33" t="n">
        <x:v>360.4495300000007</x:v>
      </x:c>
      <x:c r="O477" s="22" t="str">
        <x:v>公顷</x:v>
      </x:c>
      <x:c r="P477" s="22" t="str">
        <x:v>未提供（单期横截面）</x:v>
      </x:c>
      <x:c r="Q477" s="23" t="n">
        <x:v>1785</x:v>
      </x:c>
    </x:row>
    <x:row r="478">
      <x:c r="A478" s="30" t="n">
        <x:v>350200</x:v>
      </x:c>
      <x:c r="B478" s="22" t="str">
        <x:v>厦门市</x:v>
      </x:c>
      <x:c r="C478" s="31" t="n">
        <x:v>350212</x:v>
      </x:c>
      <x:c r="D478" s="22" t="str">
        <x:v>同安区</x:v>
      </x:c>
      <x:c r="E478" s="22" t="str">
        <x:v>农用地</x:v>
      </x:c>
      <x:c r="F478" s="22" t="str">
        <x:v>耕地</x:v>
      </x:c>
      <x:c r="G478" s="32" t="str">
        <x:v>101</x:v>
      </x:c>
      <x:c r="H478" s="32" t="str">
        <x:v>101</x:v>
      </x:c>
      <x:c r="I478" s="22" t="str">
        <x:v>水田</x:v>
      </x:c>
      <x:c r="J478" s="22" t="str">
        <x:v>农业生态</x:v>
      </x:c>
      <x:c r="K478" s="32" t="str">
        <x:v>201</x:v>
      </x:c>
      <x:c r="L478" s="22" t="str">
        <x:v>城市范围</x:v>
      </x:c>
      <x:c r="M478" s="33" t="n">
        <x:v>74775.84000000001</x:v>
      </x:c>
      <x:c r="N478" s="33" t="n">
        <x:v>7.477584000000001</x:v>
      </x:c>
      <x:c r="O478" s="22" t="str">
        <x:v>公顷</x:v>
      </x:c>
      <x:c r="P478" s="22" t="str">
        <x:v>未提供（单期横截面）</x:v>
      </x:c>
      <x:c r="Q478" s="23" t="n">
        <x:v>1786</x:v>
      </x:c>
    </x:row>
    <x:row r="479">
      <x:c r="A479" s="30" t="n">
        <x:v>350200</x:v>
      </x:c>
      <x:c r="B479" s="22" t="str">
        <x:v>厦门市</x:v>
      </x:c>
      <x:c r="C479" s="31" t="n">
        <x:v>350212</x:v>
      </x:c>
      <x:c r="D479" s="22" t="str">
        <x:v>同安区</x:v>
      </x:c>
      <x:c r="E479" s="22" t="str">
        <x:v>农用地</x:v>
      </x:c>
      <x:c r="F479" s="22" t="str">
        <x:v>耕地</x:v>
      </x:c>
      <x:c r="G479" s="32" t="str">
        <x:v>102</x:v>
      </x:c>
      <x:c r="H479" s="32" t="str">
        <x:v>102</x:v>
      </x:c>
      <x:c r="I479" s="22" t="str">
        <x:v>水浇地</x:v>
      </x:c>
      <x:c r="J479" s="22" t="str">
        <x:v>农业生态</x:v>
      </x:c>
      <x:c r="K479" s="32" t="str">
        <x:v>201</x:v>
      </x:c>
      <x:c r="L479" s="22" t="str">
        <x:v>城市范围</x:v>
      </x:c>
      <x:c r="M479" s="33" t="n">
        <x:v>166399.65</x:v>
      </x:c>
      <x:c r="N479" s="33" t="n">
        <x:v>16.639965</x:v>
      </x:c>
      <x:c r="O479" s="22" t="str">
        <x:v>公顷</x:v>
      </x:c>
      <x:c r="P479" s="22" t="str">
        <x:v>未提供（单期横截面）</x:v>
      </x:c>
      <x:c r="Q479" s="23" t="n">
        <x:v>1787</x:v>
      </x:c>
    </x:row>
    <x:row r="480">
      <x:c r="A480" s="30" t="n">
        <x:v>350200</x:v>
      </x:c>
      <x:c r="B480" s="22" t="str">
        <x:v>厦门市</x:v>
      </x:c>
      <x:c r="C480" s="31" t="n">
        <x:v>350212</x:v>
      </x:c>
      <x:c r="D480" s="22" t="str">
        <x:v>同安区</x:v>
      </x:c>
      <x:c r="E480" s="22" t="str">
        <x:v>农用地</x:v>
      </x:c>
      <x:c r="F480" s="22" t="str">
        <x:v>耕地</x:v>
      </x:c>
      <x:c r="G480" s="32" t="str">
        <x:v>103</x:v>
      </x:c>
      <x:c r="H480" s="32" t="str">
        <x:v>103</x:v>
      </x:c>
      <x:c r="I480" s="22" t="str">
        <x:v>旱地</x:v>
      </x:c>
      <x:c r="J480" s="22" t="str">
        <x:v>农业生态</x:v>
      </x:c>
      <x:c r="K480" s="32" t="str">
        <x:v>201</x:v>
      </x:c>
      <x:c r="L480" s="22" t="str">
        <x:v>城市范围</x:v>
      </x:c>
      <x:c r="M480" s="33" t="n">
        <x:v>89958.56000000001</x:v>
      </x:c>
      <x:c r="N480" s="33" t="n">
        <x:v>8.995856000000002</x:v>
      </x:c>
      <x:c r="O480" s="22" t="str">
        <x:v>公顷</x:v>
      </x:c>
      <x:c r="P480" s="22" t="str">
        <x:v>未提供（单期横截面）</x:v>
      </x:c>
      <x:c r="Q480" s="23" t="n">
        <x:v>1788</x:v>
      </x:c>
    </x:row>
    <x:row r="481">
      <x:c r="A481" s="30" t="n">
        <x:v>350200</x:v>
      </x:c>
      <x:c r="B481" s="22" t="str">
        <x:v>厦门市</x:v>
      </x:c>
      <x:c r="C481" s="31" t="n">
        <x:v>350212</x:v>
      </x:c>
      <x:c r="D481" s="22" t="str">
        <x:v>同安区</x:v>
      </x:c>
      <x:c r="E481" s="22" t="str">
        <x:v>农用地</x:v>
      </x:c>
      <x:c r="F481" s="22" t="str">
        <x:v>园地</x:v>
      </x:c>
      <x:c r="G481" s="32" t="str">
        <x:v>201</x:v>
      </x:c>
      <x:c r="H481" s="32" t="str">
        <x:v>201</x:v>
      </x:c>
      <x:c r="I481" s="22" t="str">
        <x:v>果园</x:v>
      </x:c>
      <x:c r="J481" s="22" t="str">
        <x:v>农业生态</x:v>
      </x:c>
      <x:c r="K481" s="32" t="str">
        <x:v>201</x:v>
      </x:c>
      <x:c r="L481" s="22" t="str">
        <x:v>城市范围</x:v>
      </x:c>
      <x:c r="M481" s="33" t="n">
        <x:v>391809.06999999983</x:v>
      </x:c>
      <x:c r="N481" s="33" t="n">
        <x:v>39.18090699999998</x:v>
      </x:c>
      <x:c r="O481" s="22" t="str">
        <x:v>公顷</x:v>
      </x:c>
      <x:c r="P481" s="22" t="str">
        <x:v>未提供（单期横截面）</x:v>
      </x:c>
      <x:c r="Q481" s="23" t="n">
        <x:v>1789</x:v>
      </x:c>
    </x:row>
    <x:row r="482">
      <x:c r="A482" s="30" t="n">
        <x:v>350200</x:v>
      </x:c>
      <x:c r="B482" s="22" t="str">
        <x:v>厦门市</x:v>
      </x:c>
      <x:c r="C482" s="31" t="n">
        <x:v>350212</x:v>
      </x:c>
      <x:c r="D482" s="22" t="str">
        <x:v>同安区</x:v>
      </x:c>
      <x:c r="E482" s="22" t="str">
        <x:v>农用地</x:v>
      </x:c>
      <x:c r="F482" s="22" t="str">
        <x:v>园地</x:v>
      </x:c>
      <x:c r="G482" s="32" t="str">
        <x:v>204</x:v>
      </x:c>
      <x:c r="H482" s="32" t="str">
        <x:v>204</x:v>
      </x:c>
      <x:c r="I482" s="22" t="str">
        <x:v>其他园地</x:v>
      </x:c>
      <x:c r="J482" s="22" t="str">
        <x:v>农业生态</x:v>
      </x:c>
      <x:c r="K482" s="32" t="str">
        <x:v>201</x:v>
      </x:c>
      <x:c r="L482" s="22" t="str">
        <x:v>城市范围</x:v>
      </x:c>
      <x:c r="M482" s="33" t="n">
        <x:v>10644.910000000002</x:v>
      </x:c>
      <x:c r="N482" s="33" t="n">
        <x:v>1.064491</x:v>
      </x:c>
      <x:c r="O482" s="22" t="str">
        <x:v>公顷</x:v>
      </x:c>
      <x:c r="P482" s="22" t="str">
        <x:v>未提供（单期横截面）</x:v>
      </x:c>
      <x:c r="Q482" s="23" t="n">
        <x:v>1790</x:v>
      </x:c>
    </x:row>
    <x:row r="483">
      <x:c r="A483" s="30" t="n">
        <x:v>350200</x:v>
      </x:c>
      <x:c r="B483" s="22" t="str">
        <x:v>厦门市</x:v>
      </x:c>
      <x:c r="C483" s="31" t="n">
        <x:v>350212</x:v>
      </x:c>
      <x:c r="D483" s="22" t="str">
        <x:v>同安区</x:v>
      </x:c>
      <x:c r="E483" s="22" t="str">
        <x:v>农用地</x:v>
      </x:c>
      <x:c r="F483" s="22" t="str">
        <x:v>林地</x:v>
      </x:c>
      <x:c r="G483" s="32" t="str">
        <x:v>301</x:v>
      </x:c>
      <x:c r="H483" s="32" t="str">
        <x:v>301</x:v>
      </x:c>
      <x:c r="I483" s="22" t="str">
        <x:v>乔木林地</x:v>
      </x:c>
      <x:c r="J483" s="22" t="str">
        <x:v>农业生态</x:v>
      </x:c>
      <x:c r="K483" s="32" t="str">
        <x:v>201</x:v>
      </x:c>
      <x:c r="L483" s="22" t="str">
        <x:v>城市范围</x:v>
      </x:c>
      <x:c r="M483" s="33" t="n">
        <x:v>211183.0200000001</x:v>
      </x:c>
      <x:c r="N483" s="33" t="n">
        <x:v>21.11830200000001</x:v>
      </x:c>
      <x:c r="O483" s="22" t="str">
        <x:v>公顷</x:v>
      </x:c>
      <x:c r="P483" s="22" t="str">
        <x:v>未提供（单期横截面）</x:v>
      </x:c>
      <x:c r="Q483" s="23" t="n">
        <x:v>1791</x:v>
      </x:c>
    </x:row>
    <x:row r="484">
      <x:c r="A484" s="30" t="n">
        <x:v>350200</x:v>
      </x:c>
      <x:c r="B484" s="22" t="str">
        <x:v>厦门市</x:v>
      </x:c>
      <x:c r="C484" s="31" t="n">
        <x:v>350212</x:v>
      </x:c>
      <x:c r="D484" s="22" t="str">
        <x:v>同安区</x:v>
      </x:c>
      <x:c r="E484" s="22" t="str">
        <x:v>农用地</x:v>
      </x:c>
      <x:c r="F484" s="22" t="str">
        <x:v>林地</x:v>
      </x:c>
      <x:c r="G484" s="32" t="str">
        <x:v>305</x:v>
      </x:c>
      <x:c r="H484" s="32" t="str">
        <x:v>305</x:v>
      </x:c>
      <x:c r="I484" s="22" t="str">
        <x:v>灌木林地</x:v>
      </x:c>
      <x:c r="J484" s="22" t="str">
        <x:v>农业生态</x:v>
      </x:c>
      <x:c r="K484" s="32" t="str">
        <x:v>201</x:v>
      </x:c>
      <x:c r="L484" s="22" t="str">
        <x:v>城市范围</x:v>
      </x:c>
      <x:c r="M484" s="33" t="n">
        <x:v>15127.849999999999</x:v>
      </x:c>
      <x:c r="N484" s="33" t="n">
        <x:v>1.5127849999999998</x:v>
      </x:c>
      <x:c r="O484" s="22" t="str">
        <x:v>公顷</x:v>
      </x:c>
      <x:c r="P484" s="22" t="str">
        <x:v>未提供（单期横截面）</x:v>
      </x:c>
      <x:c r="Q484" s="23" t="n">
        <x:v>1792</x:v>
      </x:c>
    </x:row>
    <x:row r="485">
      <x:c r="A485" s="30" t="n">
        <x:v>350200</x:v>
      </x:c>
      <x:c r="B485" s="22" t="str">
        <x:v>厦门市</x:v>
      </x:c>
      <x:c r="C485" s="31" t="n">
        <x:v>350212</x:v>
      </x:c>
      <x:c r="D485" s="22" t="str">
        <x:v>同安区</x:v>
      </x:c>
      <x:c r="E485" s="22" t="str">
        <x:v>农用地</x:v>
      </x:c>
      <x:c r="F485" s="22" t="str">
        <x:v>林地</x:v>
      </x:c>
      <x:c r="G485" s="32" t="str">
        <x:v>307</x:v>
      </x:c>
      <x:c r="H485" s="32" t="str">
        <x:v>307</x:v>
      </x:c>
      <x:c r="I485" s="22" t="str">
        <x:v>其他林地</x:v>
      </x:c>
      <x:c r="J485" s="22" t="str">
        <x:v>农业生态</x:v>
      </x:c>
      <x:c r="K485" s="32" t="str">
        <x:v>201</x:v>
      </x:c>
      <x:c r="L485" s="22" t="str">
        <x:v>城市范围</x:v>
      </x:c>
      <x:c r="M485" s="33" t="n">
        <x:v>166186.05</x:v>
      </x:c>
      <x:c r="N485" s="33" t="n">
        <x:v>16.618605</x:v>
      </x:c>
      <x:c r="O485" s="22" t="str">
        <x:v>公顷</x:v>
      </x:c>
      <x:c r="P485" s="22" t="str">
        <x:v>未提供（单期横截面）</x:v>
      </x:c>
      <x:c r="Q485" s="23" t="n">
        <x:v>1793</x:v>
      </x:c>
    </x:row>
    <x:row r="486">
      <x:c r="A486" s="30" t="n">
        <x:v>350200</x:v>
      </x:c>
      <x:c r="B486" s="22" t="str">
        <x:v>厦门市</x:v>
      </x:c>
      <x:c r="C486" s="31" t="n">
        <x:v>350212</x:v>
      </x:c>
      <x:c r="D486" s="22" t="str">
        <x:v>同安区</x:v>
      </x:c>
      <x:c r="E486" s="22" t="str">
        <x:v>农用地</x:v>
      </x:c>
      <x:c r="F486" s="22" t="str">
        <x:v>其他农用地</x:v>
      </x:c>
      <x:c r="G486" s="32" t="str">
        <x:v>1006</x:v>
      </x:c>
      <x:c r="H486" s="32" t="str">
        <x:v>1006</x:v>
      </x:c>
      <x:c r="I486" s="22" t="str">
        <x:v>农村道路</x:v>
      </x:c>
      <x:c r="J486" s="22" t="str">
        <x:v>农业生态</x:v>
      </x:c>
      <x:c r="K486" s="32" t="str">
        <x:v>201</x:v>
      </x:c>
      <x:c r="L486" s="22" t="str">
        <x:v>城市范围</x:v>
      </x:c>
      <x:c r="M486" s="33" t="n">
        <x:v>3780.04</x:v>
      </x:c>
      <x:c r="N486" s="33" t="n">
        <x:v>0.378004</x:v>
      </x:c>
      <x:c r="O486" s="22" t="str">
        <x:v>公顷</x:v>
      </x:c>
      <x:c r="P486" s="22" t="str">
        <x:v>未提供（单期横截面）</x:v>
      </x:c>
      <x:c r="Q486" s="23" t="n">
        <x:v>1794</x:v>
      </x:c>
    </x:row>
    <x:row r="487">
      <x:c r="A487" s="30" t="n">
        <x:v>350200</x:v>
      </x:c>
      <x:c r="B487" s="22" t="str">
        <x:v>厦门市</x:v>
      </x:c>
      <x:c r="C487" s="31" t="n">
        <x:v>350212</x:v>
      </x:c>
      <x:c r="D487" s="22" t="str">
        <x:v>同安区</x:v>
      </x:c>
      <x:c r="E487" s="22" t="str">
        <x:v>农用地</x:v>
      </x:c>
      <x:c r="F487" s="22" t="str">
        <x:v>水域及水利设施</x:v>
      </x:c>
      <x:c r="G487" s="32" t="str">
        <x:v>1104</x:v>
      </x:c>
      <x:c r="H487" s="32" t="str">
        <x:v>1104</x:v>
      </x:c>
      <x:c r="I487" s="22" t="str">
        <x:v>坑塘水面</x:v>
      </x:c>
      <x:c r="J487" s="22" t="str">
        <x:v>农业生态</x:v>
      </x:c>
      <x:c r="K487" s="32" t="str">
        <x:v>201</x:v>
      </x:c>
      <x:c r="L487" s="22" t="str">
        <x:v>城市范围</x:v>
      </x:c>
      <x:c r="M487" s="33" t="n">
        <x:v>133559.03000000003</x:v>
      </x:c>
      <x:c r="N487" s="33" t="n">
        <x:v>13.355903000000003</x:v>
      </x:c>
      <x:c r="O487" s="22" t="str">
        <x:v>公顷</x:v>
      </x:c>
      <x:c r="P487" s="22" t="str">
        <x:v>未提供（单期横截面）</x:v>
      </x:c>
      <x:c r="Q487" s="23" t="n">
        <x:v>1795</x:v>
      </x:c>
    </x:row>
    <x:row r="488">
      <x:c r="A488" s="30" t="n">
        <x:v>350200</x:v>
      </x:c>
      <x:c r="B488" s="22" t="str">
        <x:v>厦门市</x:v>
      </x:c>
      <x:c r="C488" s="31" t="n">
        <x:v>350212</x:v>
      </x:c>
      <x:c r="D488" s="22" t="str">
        <x:v>同安区</x:v>
      </x:c>
      <x:c r="E488" s="22" t="str">
        <x:v>农用地</x:v>
      </x:c>
      <x:c r="F488" s="22" t="str">
        <x:v>水域及水利设施</x:v>
      </x:c>
      <x:c r="G488" s="32" t="str">
        <x:v>1104A</x:v>
      </x:c>
      <x:c r="H488" s="32" t="str">
        <x:v>1104</x:v>
      </x:c>
      <x:c r="I488" s="22" t="str">
        <x:v>养殖坑塘</x:v>
      </x:c>
      <x:c r="J488" s="22" t="str">
        <x:v>农业生态</x:v>
      </x:c>
      <x:c r="K488" s="32" t="str">
        <x:v>201</x:v>
      </x:c>
      <x:c r="L488" s="22" t="str">
        <x:v>城市范围</x:v>
      </x:c>
      <x:c r="M488" s="33" t="n">
        <x:v>3898.66</x:v>
      </x:c>
      <x:c r="N488" s="33" t="n">
        <x:v>0.389866</x:v>
      </x:c>
      <x:c r="O488" s="22" t="str">
        <x:v>公顷</x:v>
      </x:c>
      <x:c r="P488" s="22" t="str">
        <x:v>未提供（单期横截面）</x:v>
      </x:c>
      <x:c r="Q488" s="23" t="n">
        <x:v>1796</x:v>
      </x:c>
    </x:row>
    <x:row r="489">
      <x:c r="A489" s="30" t="n">
        <x:v>350200</x:v>
      </x:c>
      <x:c r="B489" s="22" t="str">
        <x:v>厦门市</x:v>
      </x:c>
      <x:c r="C489" s="31" t="n">
        <x:v>350212</x:v>
      </x:c>
      <x:c r="D489" s="22" t="str">
        <x:v>同安区</x:v>
      </x:c>
      <x:c r="E489" s="22" t="str">
        <x:v>农用地</x:v>
      </x:c>
      <x:c r="F489" s="22" t="str">
        <x:v>水域及水利设施</x:v>
      </x:c>
      <x:c r="G489" s="32" t="str">
        <x:v>1107</x:v>
      </x:c>
      <x:c r="H489" s="32" t="str">
        <x:v>1107</x:v>
      </x:c>
      <x:c r="I489" s="22" t="str">
        <x:v>沟渠</x:v>
      </x:c>
      <x:c r="J489" s="22" t="str">
        <x:v>农业生态</x:v>
      </x:c>
      <x:c r="K489" s="32" t="str">
        <x:v>201</x:v>
      </x:c>
      <x:c r="L489" s="22" t="str">
        <x:v>城市范围</x:v>
      </x:c>
      <x:c r="M489" s="33" t="n">
        <x:v>15711.349999999999</x:v>
      </x:c>
      <x:c r="N489" s="33" t="n">
        <x:v>1.571135</x:v>
      </x:c>
      <x:c r="O489" s="22" t="str">
        <x:v>公顷</x:v>
      </x:c>
      <x:c r="P489" s="22" t="str">
        <x:v>未提供（单期横截面）</x:v>
      </x:c>
      <x:c r="Q489" s="23" t="n">
        <x:v>1797</x:v>
      </x:c>
    </x:row>
    <x:row r="490">
      <x:c r="A490" s="30" t="n">
        <x:v>350200</x:v>
      </x:c>
      <x:c r="B490" s="22" t="str">
        <x:v>厦门市</x:v>
      </x:c>
      <x:c r="C490" s="31" t="n">
        <x:v>350212</x:v>
      </x:c>
      <x:c r="D490" s="22" t="str">
        <x:v>同安区</x:v>
      </x:c>
      <x:c r="E490" s="22" t="str">
        <x:v>农用地</x:v>
      </x:c>
      <x:c r="F490" s="22" t="str">
        <x:v>其他农用地</x:v>
      </x:c>
      <x:c r="G490" s="32" t="str">
        <x:v>1202</x:v>
      </x:c>
      <x:c r="H490" s="32" t="str">
        <x:v>1202</x:v>
      </x:c>
      <x:c r="I490" s="22" t="str">
        <x:v>设施农用地</x:v>
      </x:c>
      <x:c r="J490" s="22" t="str">
        <x:v>农业生态</x:v>
      </x:c>
      <x:c r="K490" s="32" t="str">
        <x:v>201</x:v>
      </x:c>
      <x:c r="L490" s="22" t="str">
        <x:v>城市范围</x:v>
      </x:c>
      <x:c r="M490" s="33" t="n">
        <x:v>20820.23</x:v>
      </x:c>
      <x:c r="N490" s="33" t="n">
        <x:v>2.082023</x:v>
      </x:c>
      <x:c r="O490" s="22" t="str">
        <x:v>公顷</x:v>
      </x:c>
      <x:c r="P490" s="22" t="str">
        <x:v>未提供（单期横截面）</x:v>
      </x:c>
      <x:c r="Q490" s="23" t="n">
        <x:v>1798</x:v>
      </x:c>
    </x:row>
    <x:row r="491">
      <x:c r="A491" s="30" t="n">
        <x:v>350200</x:v>
      </x:c>
      <x:c r="B491" s="22" t="str">
        <x:v>厦门市</x:v>
      </x:c>
      <x:c r="C491" s="31" t="n">
        <x:v>350212</x:v>
      </x:c>
      <x:c r="D491" s="22" t="str">
        <x:v>同安区</x:v>
      </x:c>
      <x:c r="E491" s="22" t="str">
        <x:v>农用地</x:v>
      </x:c>
      <x:c r="F491" s="22" t="str">
        <x:v>耕地</x:v>
      </x:c>
      <x:c r="G491" s="32" t="str">
        <x:v>102</x:v>
      </x:c>
      <x:c r="H491" s="32" t="str">
        <x:v>102</x:v>
      </x:c>
      <x:c r="I491" s="22" t="str">
        <x:v>水浇地</x:v>
      </x:c>
      <x:c r="J491" s="22" t="str">
        <x:v>农业生态</x:v>
      </x:c>
      <x:c r="K491" s="32" t="str">
        <x:v>202</x:v>
      </x:c>
      <x:c r="L491" s="22" t="str">
        <x:v>建制镇范围</x:v>
      </x:c>
      <x:c r="M491" s="33" t="n">
        <x:v>2624.27</x:v>
      </x:c>
      <x:c r="N491" s="33" t="n">
        <x:v>0.262427</x:v>
      </x:c>
      <x:c r="O491" s="22" t="str">
        <x:v>公顷</x:v>
      </x:c>
      <x:c r="P491" s="22" t="str">
        <x:v>未提供（单期横截面）</x:v>
      </x:c>
      <x:c r="Q491" s="23" t="n">
        <x:v>1799</x:v>
      </x:c>
    </x:row>
    <x:row r="492">
      <x:c r="A492" s="30" t="n">
        <x:v>350200</x:v>
      </x:c>
      <x:c r="B492" s="22" t="str">
        <x:v>厦门市</x:v>
      </x:c>
      <x:c r="C492" s="31" t="n">
        <x:v>350212</x:v>
      </x:c>
      <x:c r="D492" s="22" t="str">
        <x:v>同安区</x:v>
      </x:c>
      <x:c r="E492" s="22" t="str">
        <x:v>农用地</x:v>
      </x:c>
      <x:c r="F492" s="22" t="str">
        <x:v>耕地</x:v>
      </x:c>
      <x:c r="G492" s="32" t="str">
        <x:v>103</x:v>
      </x:c>
      <x:c r="H492" s="32" t="str">
        <x:v>103</x:v>
      </x:c>
      <x:c r="I492" s="22" t="str">
        <x:v>旱地</x:v>
      </x:c>
      <x:c r="J492" s="22" t="str">
        <x:v>农业生态</x:v>
      </x:c>
      <x:c r="K492" s="32" t="str">
        <x:v>202</x:v>
      </x:c>
      <x:c r="L492" s="22" t="str">
        <x:v>建制镇范围</x:v>
      </x:c>
      <x:c r="M492" s="33" t="n">
        <x:v>2457.37</x:v>
      </x:c>
      <x:c r="N492" s="33" t="n">
        <x:v>0.24573699999999998</x:v>
      </x:c>
      <x:c r="O492" s="22" t="str">
        <x:v>公顷</x:v>
      </x:c>
      <x:c r="P492" s="22" t="str">
        <x:v>未提供（单期横截面）</x:v>
      </x:c>
      <x:c r="Q492" s="23" t="n">
        <x:v>1800</x:v>
      </x:c>
    </x:row>
    <x:row r="493">
      <x:c r="A493" s="30" t="n">
        <x:v>350200</x:v>
      </x:c>
      <x:c r="B493" s="22" t="str">
        <x:v>厦门市</x:v>
      </x:c>
      <x:c r="C493" s="31" t="n">
        <x:v>350212</x:v>
      </x:c>
      <x:c r="D493" s="22" t="str">
        <x:v>同安区</x:v>
      </x:c>
      <x:c r="E493" s="22" t="str">
        <x:v>农用地</x:v>
      </x:c>
      <x:c r="F493" s="22" t="str">
        <x:v>园地</x:v>
      </x:c>
      <x:c r="G493" s="32" t="str">
        <x:v>201</x:v>
      </x:c>
      <x:c r="H493" s="32" t="str">
        <x:v>201</x:v>
      </x:c>
      <x:c r="I493" s="22" t="str">
        <x:v>果园</x:v>
      </x:c>
      <x:c r="J493" s="22" t="str">
        <x:v>农业生态</x:v>
      </x:c>
      <x:c r="K493" s="32" t="str">
        <x:v>202</x:v>
      </x:c>
      <x:c r="L493" s="22" t="str">
        <x:v>建制镇范围</x:v>
      </x:c>
      <x:c r="M493" s="33" t="n">
        <x:v>41828.520000000004</x:v>
      </x:c>
      <x:c r="N493" s="33" t="n">
        <x:v>4.1828520000000005</x:v>
      </x:c>
      <x:c r="O493" s="22" t="str">
        <x:v>公顷</x:v>
      </x:c>
      <x:c r="P493" s="22" t="str">
        <x:v>未提供（单期横截面）</x:v>
      </x:c>
      <x:c r="Q493" s="23" t="n">
        <x:v>1801</x:v>
      </x:c>
    </x:row>
    <x:row r="494">
      <x:c r="A494" s="30" t="n">
        <x:v>350200</x:v>
      </x:c>
      <x:c r="B494" s="22" t="str">
        <x:v>厦门市</x:v>
      </x:c>
      <x:c r="C494" s="31" t="n">
        <x:v>350212</x:v>
      </x:c>
      <x:c r="D494" s="22" t="str">
        <x:v>同安区</x:v>
      </x:c>
      <x:c r="E494" s="22" t="str">
        <x:v>农用地</x:v>
      </x:c>
      <x:c r="F494" s="22" t="str">
        <x:v>园地</x:v>
      </x:c>
      <x:c r="G494" s="32" t="str">
        <x:v>204</x:v>
      </x:c>
      <x:c r="H494" s="32" t="str">
        <x:v>204</x:v>
      </x:c>
      <x:c r="I494" s="22" t="str">
        <x:v>其他园地</x:v>
      </x:c>
      <x:c r="J494" s="22" t="str">
        <x:v>农业生态</x:v>
      </x:c>
      <x:c r="K494" s="32" t="str">
        <x:v>202</x:v>
      </x:c>
      <x:c r="L494" s="22" t="str">
        <x:v>建制镇范围</x:v>
      </x:c>
      <x:c r="M494" s="33" t="n">
        <x:v>263.08</x:v>
      </x:c>
      <x:c r="N494" s="33" t="n">
        <x:v>0.026307999999999998</x:v>
      </x:c>
      <x:c r="O494" s="22" t="str">
        <x:v>公顷</x:v>
      </x:c>
      <x:c r="P494" s="22" t="str">
        <x:v>未提供（单期横截面）</x:v>
      </x:c>
      <x:c r="Q494" s="23" t="n">
        <x:v>1802</x:v>
      </x:c>
    </x:row>
    <x:row r="495">
      <x:c r="A495" s="30" t="n">
        <x:v>350200</x:v>
      </x:c>
      <x:c r="B495" s="22" t="str">
        <x:v>厦门市</x:v>
      </x:c>
      <x:c r="C495" s="31" t="n">
        <x:v>350212</x:v>
      </x:c>
      <x:c r="D495" s="22" t="str">
        <x:v>同安区</x:v>
      </x:c>
      <x:c r="E495" s="22" t="str">
        <x:v>农用地</x:v>
      </x:c>
      <x:c r="F495" s="22" t="str">
        <x:v>林地</x:v>
      </x:c>
      <x:c r="G495" s="32" t="str">
        <x:v>301</x:v>
      </x:c>
      <x:c r="H495" s="32" t="str">
        <x:v>301</x:v>
      </x:c>
      <x:c r="I495" s="22" t="str">
        <x:v>乔木林地</x:v>
      </x:c>
      <x:c r="J495" s="22" t="str">
        <x:v>农业生态</x:v>
      </x:c>
      <x:c r="K495" s="32" t="str">
        <x:v>202</x:v>
      </x:c>
      <x:c r="L495" s="22" t="str">
        <x:v>建制镇范围</x:v>
      </x:c>
      <x:c r="M495" s="33" t="n">
        <x:v>17956.22</x:v>
      </x:c>
      <x:c r="N495" s="33" t="n">
        <x:v>1.795622</x:v>
      </x:c>
      <x:c r="O495" s="22" t="str">
        <x:v>公顷</x:v>
      </x:c>
      <x:c r="P495" s="22" t="str">
        <x:v>未提供（单期横截面）</x:v>
      </x:c>
      <x:c r="Q495" s="23" t="n">
        <x:v>1803</x:v>
      </x:c>
    </x:row>
    <x:row r="496">
      <x:c r="A496" s="30" t="n">
        <x:v>350200</x:v>
      </x:c>
      <x:c r="B496" s="22" t="str">
        <x:v>厦门市</x:v>
      </x:c>
      <x:c r="C496" s="31" t="n">
        <x:v>350212</x:v>
      </x:c>
      <x:c r="D496" s="22" t="str">
        <x:v>同安区</x:v>
      </x:c>
      <x:c r="E496" s="22" t="str">
        <x:v>农用地</x:v>
      </x:c>
      <x:c r="F496" s="22" t="str">
        <x:v>林地</x:v>
      </x:c>
      <x:c r="G496" s="32" t="str">
        <x:v>305</x:v>
      </x:c>
      <x:c r="H496" s="32" t="str">
        <x:v>305</x:v>
      </x:c>
      <x:c r="I496" s="22" t="str">
        <x:v>灌木林地</x:v>
      </x:c>
      <x:c r="J496" s="22" t="str">
        <x:v>农业生态</x:v>
      </x:c>
      <x:c r="K496" s="32" t="str">
        <x:v>202</x:v>
      </x:c>
      <x:c r="L496" s="22" t="str">
        <x:v>建制镇范围</x:v>
      </x:c>
      <x:c r="M496" s="33" t="n">
        <x:v>5270.75</x:v>
      </x:c>
      <x:c r="N496" s="33" t="n">
        <x:v>0.527075</x:v>
      </x:c>
      <x:c r="O496" s="22" t="str">
        <x:v>公顷</x:v>
      </x:c>
      <x:c r="P496" s="22" t="str">
        <x:v>未提供（单期横截面）</x:v>
      </x:c>
      <x:c r="Q496" s="23" t="n">
        <x:v>1804</x:v>
      </x:c>
    </x:row>
    <x:row r="497">
      <x:c r="A497" s="30" t="n">
        <x:v>350200</x:v>
      </x:c>
      <x:c r="B497" s="22" t="str">
        <x:v>厦门市</x:v>
      </x:c>
      <x:c r="C497" s="31" t="n">
        <x:v>350212</x:v>
      </x:c>
      <x:c r="D497" s="22" t="str">
        <x:v>同安区</x:v>
      </x:c>
      <x:c r="E497" s="22" t="str">
        <x:v>农用地</x:v>
      </x:c>
      <x:c r="F497" s="22" t="str">
        <x:v>林地</x:v>
      </x:c>
      <x:c r="G497" s="32" t="str">
        <x:v>307</x:v>
      </x:c>
      <x:c r="H497" s="32" t="str">
        <x:v>307</x:v>
      </x:c>
      <x:c r="I497" s="22" t="str">
        <x:v>其他林地</x:v>
      </x:c>
      <x:c r="J497" s="22" t="str">
        <x:v>农业生态</x:v>
      </x:c>
      <x:c r="K497" s="32" t="str">
        <x:v>202</x:v>
      </x:c>
      <x:c r="L497" s="22" t="str">
        <x:v>建制镇范围</x:v>
      </x:c>
      <x:c r="M497" s="33" t="n">
        <x:v>7057.34</x:v>
      </x:c>
      <x:c r="N497" s="33" t="n">
        <x:v>0.705734</x:v>
      </x:c>
      <x:c r="O497" s="22" t="str">
        <x:v>公顷</x:v>
      </x:c>
      <x:c r="P497" s="22" t="str">
        <x:v>未提供（单期横截面）</x:v>
      </x:c>
      <x:c r="Q497" s="23" t="n">
        <x:v>1805</x:v>
      </x:c>
    </x:row>
    <x:row r="498">
      <x:c r="A498" s="30" t="n">
        <x:v>350200</x:v>
      </x:c>
      <x:c r="B498" s="22" t="str">
        <x:v>厦门市</x:v>
      </x:c>
      <x:c r="C498" s="31" t="n">
        <x:v>350212</x:v>
      </x:c>
      <x:c r="D498" s="22" t="str">
        <x:v>同安区</x:v>
      </x:c>
      <x:c r="E498" s="22" t="str">
        <x:v>农用地</x:v>
      </x:c>
      <x:c r="F498" s="22" t="str">
        <x:v>其他农用地</x:v>
      </x:c>
      <x:c r="G498" s="32" t="str">
        <x:v>1006</x:v>
      </x:c>
      <x:c r="H498" s="32" t="str">
        <x:v>1006</x:v>
      </x:c>
      <x:c r="I498" s="22" t="str">
        <x:v>农村道路</x:v>
      </x:c>
      <x:c r="J498" s="22" t="str">
        <x:v>农业生态</x:v>
      </x:c>
      <x:c r="K498" s="32" t="str">
        <x:v>202</x:v>
      </x:c>
      <x:c r="L498" s="22" t="str">
        <x:v>建制镇范围</x:v>
      </x:c>
      <x:c r="M498" s="33" t="n">
        <x:v>301.67</x:v>
      </x:c>
      <x:c r="N498" s="33" t="n">
        <x:v>0.030167000000000003</x:v>
      </x:c>
      <x:c r="O498" s="22" t="str">
        <x:v>公顷</x:v>
      </x:c>
      <x:c r="P498" s="22" t="str">
        <x:v>未提供（单期横截面）</x:v>
      </x:c>
      <x:c r="Q498" s="23" t="n">
        <x:v>1806</x:v>
      </x:c>
    </x:row>
    <x:row r="499">
      <x:c r="A499" s="30" t="n">
        <x:v>350200</x:v>
      </x:c>
      <x:c r="B499" s="22" t="str">
        <x:v>厦门市</x:v>
      </x:c>
      <x:c r="C499" s="31" t="n">
        <x:v>350212</x:v>
      </x:c>
      <x:c r="D499" s="22" t="str">
        <x:v>同安区</x:v>
      </x:c>
      <x:c r="E499" s="22" t="str">
        <x:v>农用地</x:v>
      </x:c>
      <x:c r="F499" s="22" t="str">
        <x:v>水域及水利设施</x:v>
      </x:c>
      <x:c r="G499" s="32" t="str">
        <x:v>1104</x:v>
      </x:c>
      <x:c r="H499" s="32" t="str">
        <x:v>1104</x:v>
      </x:c>
      <x:c r="I499" s="22" t="str">
        <x:v>坑塘水面</x:v>
      </x:c>
      <x:c r="J499" s="22" t="str">
        <x:v>农业生态</x:v>
      </x:c>
      <x:c r="K499" s="32" t="str">
        <x:v>202</x:v>
      </x:c>
      <x:c r="L499" s="22" t="str">
        <x:v>建制镇范围</x:v>
      </x:c>
      <x:c r="M499" s="33" t="n">
        <x:v>14660.699999999999</x:v>
      </x:c>
      <x:c r="N499" s="33" t="n">
        <x:v>1.46607</x:v>
      </x:c>
      <x:c r="O499" s="22" t="str">
        <x:v>公顷</x:v>
      </x:c>
      <x:c r="P499" s="22" t="str">
        <x:v>未提供（单期横截面）</x:v>
      </x:c>
      <x:c r="Q499" s="23" t="n">
        <x:v>1807</x:v>
      </x:c>
    </x:row>
    <x:row r="500">
      <x:c r="A500" s="30" t="n">
        <x:v>350200</x:v>
      </x:c>
      <x:c r="B500" s="22" t="str">
        <x:v>厦门市</x:v>
      </x:c>
      <x:c r="C500" s="31" t="n">
        <x:v>350212</x:v>
      </x:c>
      <x:c r="D500" s="22" t="str">
        <x:v>同安区</x:v>
      </x:c>
      <x:c r="E500" s="22" t="str">
        <x:v>农用地</x:v>
      </x:c>
      <x:c r="F500" s="22" t="str">
        <x:v>其他农用地</x:v>
      </x:c>
      <x:c r="G500" s="32" t="str">
        <x:v>1202</x:v>
      </x:c>
      <x:c r="H500" s="32" t="str">
        <x:v>1202</x:v>
      </x:c>
      <x:c r="I500" s="22" t="str">
        <x:v>设施农用地</x:v>
      </x:c>
      <x:c r="J500" s="22" t="str">
        <x:v>农业生态</x:v>
      </x:c>
      <x:c r="K500" s="32" t="str">
        <x:v>202</x:v>
      </x:c>
      <x:c r="L500" s="22" t="str">
        <x:v>建制镇范围</x:v>
      </x:c>
      <x:c r="M500" s="33" t="n">
        <x:v>2305.99</x:v>
      </x:c>
      <x:c r="N500" s="33" t="n">
        <x:v>0.23059899999999997</x:v>
      </x:c>
      <x:c r="O500" s="22" t="str">
        <x:v>公顷</x:v>
      </x:c>
      <x:c r="P500" s="22" t="str">
        <x:v>未提供（单期横截面）</x:v>
      </x:c>
      <x:c r="Q500" s="23" t="n">
        <x:v>1808</x:v>
      </x:c>
    </x:row>
    <x:row r="501">
      <x:c r="A501" s="30" t="n">
        <x:v>350200</x:v>
      </x:c>
      <x:c r="B501" s="22" t="str">
        <x:v>厦门市</x:v>
      </x:c>
      <x:c r="C501" s="31" t="n">
        <x:v>350212</x:v>
      </x:c>
      <x:c r="D501" s="22" t="str">
        <x:v>同安区</x:v>
      </x:c>
      <x:c r="E501" s="22" t="str">
        <x:v>农用地</x:v>
      </x:c>
      <x:c r="F501" s="22" t="str">
        <x:v>耕地</x:v>
      </x:c>
      <x:c r="G501" s="32" t="str">
        <x:v>101</x:v>
      </x:c>
      <x:c r="H501" s="32" t="str">
        <x:v>101</x:v>
      </x:c>
      <x:c r="I501" s="22" t="str">
        <x:v>水田</x:v>
      </x:c>
      <x:c r="J501" s="22" t="str">
        <x:v>农业生态</x:v>
      </x:c>
      <x:c r="K501" s="32" t="str">
        <x:v>203</x:v>
      </x:c>
      <x:c r="L501" s="22" t="str">
        <x:v>村庄范围</x:v>
      </x:c>
      <x:c r="M501" s="33" t="n">
        <x:v>64069.080000000016</x:v>
      </x:c>
      <x:c r="N501" s="33" t="n">
        <x:v>6.406908000000001</x:v>
      </x:c>
      <x:c r="O501" s="22" t="str">
        <x:v>公顷</x:v>
      </x:c>
      <x:c r="P501" s="22" t="str">
        <x:v>未提供（单期横截面）</x:v>
      </x:c>
      <x:c r="Q501" s="23" t="n">
        <x:v>1809</x:v>
      </x:c>
    </x:row>
    <x:row r="502">
      <x:c r="A502" s="30" t="n">
        <x:v>350200</x:v>
      </x:c>
      <x:c r="B502" s="22" t="str">
        <x:v>厦门市</x:v>
      </x:c>
      <x:c r="C502" s="31" t="n">
        <x:v>350212</x:v>
      </x:c>
      <x:c r="D502" s="22" t="str">
        <x:v>同安区</x:v>
      </x:c>
      <x:c r="E502" s="22" t="str">
        <x:v>农用地</x:v>
      </x:c>
      <x:c r="F502" s="22" t="str">
        <x:v>耕地</x:v>
      </x:c>
      <x:c r="G502" s="32" t="str">
        <x:v>102</x:v>
      </x:c>
      <x:c r="H502" s="32" t="str">
        <x:v>102</x:v>
      </x:c>
      <x:c r="I502" s="22" t="str">
        <x:v>水浇地</x:v>
      </x:c>
      <x:c r="J502" s="22" t="str">
        <x:v>农业生态</x:v>
      </x:c>
      <x:c r="K502" s="32" t="str">
        <x:v>203</x:v>
      </x:c>
      <x:c r="L502" s="22" t="str">
        <x:v>村庄范围</x:v>
      </x:c>
      <x:c r="M502" s="33" t="n">
        <x:v>27067.09</x:v>
      </x:c>
      <x:c r="N502" s="33" t="n">
        <x:v>2.706709</x:v>
      </x:c>
      <x:c r="O502" s="22" t="str">
        <x:v>公顷</x:v>
      </x:c>
      <x:c r="P502" s="22" t="str">
        <x:v>未提供（单期横截面）</x:v>
      </x:c>
      <x:c r="Q502" s="23" t="n">
        <x:v>1810</x:v>
      </x:c>
    </x:row>
    <x:row r="503">
      <x:c r="A503" s="30" t="n">
        <x:v>350200</x:v>
      </x:c>
      <x:c r="B503" s="22" t="str">
        <x:v>厦门市</x:v>
      </x:c>
      <x:c r="C503" s="31" t="n">
        <x:v>350212</x:v>
      </x:c>
      <x:c r="D503" s="22" t="str">
        <x:v>同安区</x:v>
      </x:c>
      <x:c r="E503" s="22" t="str">
        <x:v>农用地</x:v>
      </x:c>
      <x:c r="F503" s="22" t="str">
        <x:v>耕地</x:v>
      </x:c>
      <x:c r="G503" s="32" t="str">
        <x:v>103</x:v>
      </x:c>
      <x:c r="H503" s="32" t="str">
        <x:v>103</x:v>
      </x:c>
      <x:c r="I503" s="22" t="str">
        <x:v>旱地</x:v>
      </x:c>
      <x:c r="J503" s="22" t="str">
        <x:v>农业生态</x:v>
      </x:c>
      <x:c r="K503" s="32" t="str">
        <x:v>203</x:v>
      </x:c>
      <x:c r="L503" s="22" t="str">
        <x:v>村庄范围</x:v>
      </x:c>
      <x:c r="M503" s="33" t="n">
        <x:v>18851.48</x:v>
      </x:c>
      <x:c r="N503" s="33" t="n">
        <x:v>1.885148</x:v>
      </x:c>
      <x:c r="O503" s="22" t="str">
        <x:v>公顷</x:v>
      </x:c>
      <x:c r="P503" s="22" t="str">
        <x:v>未提供（单期横截面）</x:v>
      </x:c>
      <x:c r="Q503" s="23" t="n">
        <x:v>1811</x:v>
      </x:c>
    </x:row>
    <x:row r="504">
      <x:c r="A504" s="30" t="n">
        <x:v>350200</x:v>
      </x:c>
      <x:c r="B504" s="22" t="str">
        <x:v>厦门市</x:v>
      </x:c>
      <x:c r="C504" s="31" t="n">
        <x:v>350212</x:v>
      </x:c>
      <x:c r="D504" s="22" t="str">
        <x:v>同安区</x:v>
      </x:c>
      <x:c r="E504" s="22" t="str">
        <x:v>农用地</x:v>
      </x:c>
      <x:c r="F504" s="22" t="str">
        <x:v>园地</x:v>
      </x:c>
      <x:c r="G504" s="32" t="str">
        <x:v>201</x:v>
      </x:c>
      <x:c r="H504" s="32" t="str">
        <x:v>201</x:v>
      </x:c>
      <x:c r="I504" s="22" t="str">
        <x:v>果园</x:v>
      </x:c>
      <x:c r="J504" s="22" t="str">
        <x:v>农业生态</x:v>
      </x:c>
      <x:c r="K504" s="32" t="str">
        <x:v>203</x:v>
      </x:c>
      <x:c r="L504" s="22" t="str">
        <x:v>村庄范围</x:v>
      </x:c>
      <x:c r="M504" s="33" t="n">
        <x:v>176235.34</x:v>
      </x:c>
      <x:c r="N504" s="33" t="n">
        <x:v>17.623534</x:v>
      </x:c>
      <x:c r="O504" s="22" t="str">
        <x:v>公顷</x:v>
      </x:c>
      <x:c r="P504" s="22" t="str">
        <x:v>未提供（单期横截面）</x:v>
      </x:c>
      <x:c r="Q504" s="23" t="n">
        <x:v>1812</x:v>
      </x:c>
    </x:row>
    <x:row r="505">
      <x:c r="A505" s="30" t="n">
        <x:v>350200</x:v>
      </x:c>
      <x:c r="B505" s="22" t="str">
        <x:v>厦门市</x:v>
      </x:c>
      <x:c r="C505" s="31" t="n">
        <x:v>350212</x:v>
      </x:c>
      <x:c r="D505" s="22" t="str">
        <x:v>同安区</x:v>
      </x:c>
      <x:c r="E505" s="22" t="str">
        <x:v>农用地</x:v>
      </x:c>
      <x:c r="F505" s="22" t="str">
        <x:v>园地</x:v>
      </x:c>
      <x:c r="G505" s="32" t="str">
        <x:v>202</x:v>
      </x:c>
      <x:c r="H505" s="32" t="str">
        <x:v>202</x:v>
      </x:c>
      <x:c r="I505" s="22" t="str">
        <x:v>茶园</x:v>
      </x:c>
      <x:c r="J505" s="22" t="str">
        <x:v>农业生态</x:v>
      </x:c>
      <x:c r="K505" s="32" t="str">
        <x:v>203</x:v>
      </x:c>
      <x:c r="L505" s="22" t="str">
        <x:v>村庄范围</x:v>
      </x:c>
      <x:c r="M505" s="33" t="n">
        <x:v>5607.24</x:v>
      </x:c>
      <x:c r="N505" s="33" t="n">
        <x:v>0.560724</x:v>
      </x:c>
      <x:c r="O505" s="22" t="str">
        <x:v>公顷</x:v>
      </x:c>
      <x:c r="P505" s="22" t="str">
        <x:v>未提供（单期横截面）</x:v>
      </x:c>
      <x:c r="Q505" s="23" t="n">
        <x:v>1813</x:v>
      </x:c>
    </x:row>
    <x:row r="506">
      <x:c r="A506" s="30" t="n">
        <x:v>350200</x:v>
      </x:c>
      <x:c r="B506" s="22" t="str">
        <x:v>厦门市</x:v>
      </x:c>
      <x:c r="C506" s="31" t="n">
        <x:v>350212</x:v>
      </x:c>
      <x:c r="D506" s="22" t="str">
        <x:v>同安区</x:v>
      </x:c>
      <x:c r="E506" s="22" t="str">
        <x:v>农用地</x:v>
      </x:c>
      <x:c r="F506" s="22" t="str">
        <x:v>园地</x:v>
      </x:c>
      <x:c r="G506" s="32" t="str">
        <x:v>204</x:v>
      </x:c>
      <x:c r="H506" s="32" t="str">
        <x:v>204</x:v>
      </x:c>
      <x:c r="I506" s="22" t="str">
        <x:v>其他园地</x:v>
      </x:c>
      <x:c r="J506" s="22" t="str">
        <x:v>农业生态</x:v>
      </x:c>
      <x:c r="K506" s="32" t="str">
        <x:v>203</x:v>
      </x:c>
      <x:c r="L506" s="22" t="str">
        <x:v>村庄范围</x:v>
      </x:c>
      <x:c r="M506" s="33" t="n">
        <x:v>2279.45</x:v>
      </x:c>
      <x:c r="N506" s="33" t="n">
        <x:v>0.22794499999999998</x:v>
      </x:c>
      <x:c r="O506" s="22" t="str">
        <x:v>公顷</x:v>
      </x:c>
      <x:c r="P506" s="22" t="str">
        <x:v>未提供（单期横截面）</x:v>
      </x:c>
      <x:c r="Q506" s="23" t="n">
        <x:v>1814</x:v>
      </x:c>
    </x:row>
    <x:row r="507">
      <x:c r="A507" s="30" t="n">
        <x:v>350200</x:v>
      </x:c>
      <x:c r="B507" s="22" t="str">
        <x:v>厦门市</x:v>
      </x:c>
      <x:c r="C507" s="31" t="n">
        <x:v>350212</x:v>
      </x:c>
      <x:c r="D507" s="22" t="str">
        <x:v>同安区</x:v>
      </x:c>
      <x:c r="E507" s="22" t="str">
        <x:v>农用地</x:v>
      </x:c>
      <x:c r="F507" s="22" t="str">
        <x:v>林地</x:v>
      </x:c>
      <x:c r="G507" s="32" t="str">
        <x:v>301</x:v>
      </x:c>
      <x:c r="H507" s="32" t="str">
        <x:v>301</x:v>
      </x:c>
      <x:c r="I507" s="22" t="str">
        <x:v>乔木林地</x:v>
      </x:c>
      <x:c r="J507" s="22" t="str">
        <x:v>农业生态</x:v>
      </x:c>
      <x:c r="K507" s="32" t="str">
        <x:v>203</x:v>
      </x:c>
      <x:c r="L507" s="22" t="str">
        <x:v>村庄范围</x:v>
      </x:c>
      <x:c r="M507" s="33" t="n">
        <x:v>21681.030000000002</x:v>
      </x:c>
      <x:c r="N507" s="33" t="n">
        <x:v>2.1681030000000003</x:v>
      </x:c>
      <x:c r="O507" s="22" t="str">
        <x:v>公顷</x:v>
      </x:c>
      <x:c r="P507" s="22" t="str">
        <x:v>未提供（单期横截面）</x:v>
      </x:c>
      <x:c r="Q507" s="23" t="n">
        <x:v>1815</x:v>
      </x:c>
    </x:row>
    <x:row r="508">
      <x:c r="A508" s="30" t="n">
        <x:v>350200</x:v>
      </x:c>
      <x:c r="B508" s="22" t="str">
        <x:v>厦门市</x:v>
      </x:c>
      <x:c r="C508" s="31" t="n">
        <x:v>350212</x:v>
      </x:c>
      <x:c r="D508" s="22" t="str">
        <x:v>同安区</x:v>
      </x:c>
      <x:c r="E508" s="22" t="str">
        <x:v>农用地</x:v>
      </x:c>
      <x:c r="F508" s="22" t="str">
        <x:v>林地</x:v>
      </x:c>
      <x:c r="G508" s="32" t="str">
        <x:v>302</x:v>
      </x:c>
      <x:c r="H508" s="32" t="str">
        <x:v>302</x:v>
      </x:c>
      <x:c r="I508" s="22" t="str">
        <x:v>竹林地</x:v>
      </x:c>
      <x:c r="J508" s="22" t="str">
        <x:v>农业生态</x:v>
      </x:c>
      <x:c r="K508" s="32" t="str">
        <x:v>203</x:v>
      </x:c>
      <x:c r="L508" s="22" t="str">
        <x:v>村庄范围</x:v>
      </x:c>
      <x:c r="M508" s="33" t="n">
        <x:v>1123.69</x:v>
      </x:c>
      <x:c r="N508" s="33" t="n">
        <x:v>0.11236900000000001</x:v>
      </x:c>
      <x:c r="O508" s="22" t="str">
        <x:v>公顷</x:v>
      </x:c>
      <x:c r="P508" s="22" t="str">
        <x:v>未提供（单期横截面）</x:v>
      </x:c>
      <x:c r="Q508" s="23" t="n">
        <x:v>1816</x:v>
      </x:c>
    </x:row>
    <x:row r="509">
      <x:c r="A509" s="30" t="n">
        <x:v>350200</x:v>
      </x:c>
      <x:c r="B509" s="22" t="str">
        <x:v>厦门市</x:v>
      </x:c>
      <x:c r="C509" s="31" t="n">
        <x:v>350212</x:v>
      </x:c>
      <x:c r="D509" s="22" t="str">
        <x:v>同安区</x:v>
      </x:c>
      <x:c r="E509" s="22" t="str">
        <x:v>农用地</x:v>
      </x:c>
      <x:c r="F509" s="22" t="str">
        <x:v>林地</x:v>
      </x:c>
      <x:c r="G509" s="32" t="str">
        <x:v>305</x:v>
      </x:c>
      <x:c r="H509" s="32" t="str">
        <x:v>305</x:v>
      </x:c>
      <x:c r="I509" s="22" t="str">
        <x:v>灌木林地</x:v>
      </x:c>
      <x:c r="J509" s="22" t="str">
        <x:v>农业生态</x:v>
      </x:c>
      <x:c r="K509" s="32" t="str">
        <x:v>203</x:v>
      </x:c>
      <x:c r="L509" s="22" t="str">
        <x:v>村庄范围</x:v>
      </x:c>
      <x:c r="M509" s="33" t="n">
        <x:v>8210.5</x:v>
      </x:c>
      <x:c r="N509" s="33" t="n">
        <x:v>0.82105</x:v>
      </x:c>
      <x:c r="O509" s="22" t="str">
        <x:v>公顷</x:v>
      </x:c>
      <x:c r="P509" s="22" t="str">
        <x:v>未提供（单期横截面）</x:v>
      </x:c>
      <x:c r="Q509" s="23" t="n">
        <x:v>1817</x:v>
      </x:c>
    </x:row>
    <x:row r="510">
      <x:c r="A510" s="30" t="n">
        <x:v>350200</x:v>
      </x:c>
      <x:c r="B510" s="22" t="str">
        <x:v>厦门市</x:v>
      </x:c>
      <x:c r="C510" s="31" t="n">
        <x:v>350212</x:v>
      </x:c>
      <x:c r="D510" s="22" t="str">
        <x:v>同安区</x:v>
      </x:c>
      <x:c r="E510" s="22" t="str">
        <x:v>农用地</x:v>
      </x:c>
      <x:c r="F510" s="22" t="str">
        <x:v>林地</x:v>
      </x:c>
      <x:c r="G510" s="32" t="str">
        <x:v>307</x:v>
      </x:c>
      <x:c r="H510" s="32" t="str">
        <x:v>307</x:v>
      </x:c>
      <x:c r="I510" s="22" t="str">
        <x:v>其他林地</x:v>
      </x:c>
      <x:c r="J510" s="22" t="str">
        <x:v>农业生态</x:v>
      </x:c>
      <x:c r="K510" s="32" t="str">
        <x:v>203</x:v>
      </x:c>
      <x:c r="L510" s="22" t="str">
        <x:v>村庄范围</x:v>
      </x:c>
      <x:c r="M510" s="33" t="n">
        <x:v>13752.81</x:v>
      </x:c>
      <x:c r="N510" s="33" t="n">
        <x:v>1.375281</x:v>
      </x:c>
      <x:c r="O510" s="22" t="str">
        <x:v>公顷</x:v>
      </x:c>
      <x:c r="P510" s="22" t="str">
        <x:v>未提供（单期横截面）</x:v>
      </x:c>
      <x:c r="Q510" s="23" t="n">
        <x:v>1818</x:v>
      </x:c>
    </x:row>
    <x:row r="511">
      <x:c r="A511" s="30" t="n">
        <x:v>350200</x:v>
      </x:c>
      <x:c r="B511" s="22" t="str">
        <x:v>厦门市</x:v>
      </x:c>
      <x:c r="C511" s="31" t="n">
        <x:v>350212</x:v>
      </x:c>
      <x:c r="D511" s="22" t="str">
        <x:v>同安区</x:v>
      </x:c>
      <x:c r="E511" s="22" t="str">
        <x:v>农用地</x:v>
      </x:c>
      <x:c r="F511" s="22" t="str">
        <x:v>其他农用地</x:v>
      </x:c>
      <x:c r="G511" s="32" t="str">
        <x:v>1006</x:v>
      </x:c>
      <x:c r="H511" s="32" t="str">
        <x:v>1006</x:v>
      </x:c>
      <x:c r="I511" s="22" t="str">
        <x:v>农村道路</x:v>
      </x:c>
      <x:c r="J511" s="22" t="str">
        <x:v>农业生态</x:v>
      </x:c>
      <x:c r="K511" s="32" t="str">
        <x:v>203</x:v>
      </x:c>
      <x:c r="L511" s="22" t="str">
        <x:v>村庄范围</x:v>
      </x:c>
      <x:c r="M511" s="33" t="n">
        <x:v>665.66</x:v>
      </x:c>
      <x:c r="N511" s="33" t="n">
        <x:v>0.066566</x:v>
      </x:c>
      <x:c r="O511" s="22" t="str">
        <x:v>公顷</x:v>
      </x:c>
      <x:c r="P511" s="22" t="str">
        <x:v>未提供（单期横截面）</x:v>
      </x:c>
      <x:c r="Q511" s="23" t="n">
        <x:v>1819</x:v>
      </x:c>
    </x:row>
    <x:row r="512">
      <x:c r="A512" s="30" t="n">
        <x:v>350200</x:v>
      </x:c>
      <x:c r="B512" s="22" t="str">
        <x:v>厦门市</x:v>
      </x:c>
      <x:c r="C512" s="31" t="n">
        <x:v>350212</x:v>
      </x:c>
      <x:c r="D512" s="22" t="str">
        <x:v>同安区</x:v>
      </x:c>
      <x:c r="E512" s="22" t="str">
        <x:v>农用地</x:v>
      </x:c>
      <x:c r="F512" s="22" t="str">
        <x:v>水域及水利设施</x:v>
      </x:c>
      <x:c r="G512" s="32" t="str">
        <x:v>1104</x:v>
      </x:c>
      <x:c r="H512" s="32" t="str">
        <x:v>1104</x:v>
      </x:c>
      <x:c r="I512" s="22" t="str">
        <x:v>坑塘水面</x:v>
      </x:c>
      <x:c r="J512" s="22" t="str">
        <x:v>农业生态</x:v>
      </x:c>
      <x:c r="K512" s="32" t="str">
        <x:v>203</x:v>
      </x:c>
      <x:c r="L512" s="22" t="str">
        <x:v>村庄范围</x:v>
      </x:c>
      <x:c r="M512" s="33" t="n">
        <x:v>23525.419999999995</x:v>
      </x:c>
      <x:c r="N512" s="33" t="n">
        <x:v>2.3525419999999992</x:v>
      </x:c>
      <x:c r="O512" s="22" t="str">
        <x:v>公顷</x:v>
      </x:c>
      <x:c r="P512" s="22" t="str">
        <x:v>未提供（单期横截面）</x:v>
      </x:c>
      <x:c r="Q512" s="23" t="n">
        <x:v>1820</x:v>
      </x:c>
    </x:row>
    <x:row r="513">
      <x:c r="A513" s="30" t="n">
        <x:v>350200</x:v>
      </x:c>
      <x:c r="B513" s="22" t="str">
        <x:v>厦门市</x:v>
      </x:c>
      <x:c r="C513" s="31" t="n">
        <x:v>350212</x:v>
      </x:c>
      <x:c r="D513" s="22" t="str">
        <x:v>同安区</x:v>
      </x:c>
      <x:c r="E513" s="22" t="str">
        <x:v>农用地</x:v>
      </x:c>
      <x:c r="F513" s="22" t="str">
        <x:v>水域及水利设施</x:v>
      </x:c>
      <x:c r="G513" s="32" t="str">
        <x:v>1104A</x:v>
      </x:c>
      <x:c r="H513" s="32" t="str">
        <x:v>1104</x:v>
      </x:c>
      <x:c r="I513" s="22" t="str">
        <x:v>养殖坑塘</x:v>
      </x:c>
      <x:c r="J513" s="22" t="str">
        <x:v>农业生态</x:v>
      </x:c>
      <x:c r="K513" s="32" t="str">
        <x:v>203</x:v>
      </x:c>
      <x:c r="L513" s="22" t="str">
        <x:v>村庄范围</x:v>
      </x:c>
      <x:c r="M513" s="33" t="n">
        <x:v>880.1</x:v>
      </x:c>
      <x:c r="N513" s="33" t="n">
        <x:v>0.08801</x:v>
      </x:c>
      <x:c r="O513" s="22" t="str">
        <x:v>公顷</x:v>
      </x:c>
      <x:c r="P513" s="22" t="str">
        <x:v>未提供（单期横截面）</x:v>
      </x:c>
      <x:c r="Q513" s="23" t="n">
        <x:v>1821</x:v>
      </x:c>
    </x:row>
    <x:row r="514">
      <x:c r="A514" s="30" t="n">
        <x:v>350200</x:v>
      </x:c>
      <x:c r="B514" s="22" t="str">
        <x:v>厦门市</x:v>
      </x:c>
      <x:c r="C514" s="31" t="n">
        <x:v>350212</x:v>
      </x:c>
      <x:c r="D514" s="22" t="str">
        <x:v>同安区</x:v>
      </x:c>
      <x:c r="E514" s="22" t="str">
        <x:v>农用地</x:v>
      </x:c>
      <x:c r="F514" s="22" t="str">
        <x:v>其他农用地</x:v>
      </x:c>
      <x:c r="G514" s="32" t="str">
        <x:v>1202</x:v>
      </x:c>
      <x:c r="H514" s="32" t="str">
        <x:v>1202</x:v>
      </x:c>
      <x:c r="I514" s="22" t="str">
        <x:v>设施农用地</x:v>
      </x:c>
      <x:c r="J514" s="22" t="str">
        <x:v>农业生态</x:v>
      </x:c>
      <x:c r="K514" s="32" t="str">
        <x:v>203</x:v>
      </x:c>
      <x:c r="L514" s="22" t="str">
        <x:v>村庄范围</x:v>
      </x:c>
      <x:c r="M514" s="33" t="n">
        <x:v>17028.170000000002</x:v>
      </x:c>
      <x:c r="N514" s="33" t="n">
        <x:v>1.7028170000000002</x:v>
      </x:c>
      <x:c r="O514" s="22" t="str">
        <x:v>公顷</x:v>
      </x:c>
      <x:c r="P514" s="22" t="str">
        <x:v>未提供（单期横截面）</x:v>
      </x:c>
      <x:c r="Q514" s="23" t="n">
        <x:v>1822</x:v>
      </x:c>
    </x:row>
    <x:row r="515">
      <x:c r="A515" s="30" t="n">
        <x:v>350200</x:v>
      </x:c>
      <x:c r="B515" s="22" t="str">
        <x:v>厦门市</x:v>
      </x:c>
      <x:c r="C515" s="31" t="n">
        <x:v>350212</x:v>
      </x:c>
      <x:c r="D515" s="22" t="str">
        <x:v>同安区</x:v>
      </x:c>
      <x:c r="E515" s="22" t="str">
        <x:v>农用地</x:v>
      </x:c>
      <x:c r="F515" s="22" t="str">
        <x:v>耕地</x:v>
      </x:c>
      <x:c r="G515" s="32" t="str">
        <x:v>103</x:v>
      </x:c>
      <x:c r="H515" s="32" t="str">
        <x:v>103</x:v>
      </x:c>
      <x:c r="I515" s="22" t="str">
        <x:v>旱地</x:v>
      </x:c>
      <x:c r="J515" s="22" t="str">
        <x:v>农业生态</x:v>
      </x:c>
      <x:c r="K515" s="32" t="str">
        <x:v>205</x:v>
      </x:c>
      <x:c r="L515" s="22" t="str">
        <x:v>特殊用地</x:v>
      </x:c>
      <x:c r="M515" s="33" t="n">
        <x:v>598.67</x:v>
      </x:c>
      <x:c r="N515" s="33" t="n">
        <x:v>0.059867</x:v>
      </x:c>
      <x:c r="O515" s="22" t="str">
        <x:v>公顷</x:v>
      </x:c>
      <x:c r="P515" s="22" t="str">
        <x:v>未提供（单期横截面）</x:v>
      </x:c>
      <x:c r="Q515" s="23" t="n">
        <x:v>1823</x:v>
      </x:c>
    </x:row>
    <x:row r="516">
      <x:c r="A516" s="30" t="n">
        <x:v>350200</x:v>
      </x:c>
      <x:c r="B516" s="22" t="str">
        <x:v>厦门市</x:v>
      </x:c>
      <x:c r="C516" s="31" t="n">
        <x:v>350212</x:v>
      </x:c>
      <x:c r="D516" s="22" t="str">
        <x:v>同安区</x:v>
      </x:c>
      <x:c r="E516" s="22" t="str">
        <x:v>农用地</x:v>
      </x:c>
      <x:c r="F516" s="22" t="str">
        <x:v>其他农用地</x:v>
      </x:c>
      <x:c r="G516" s="32" t="str">
        <x:v>1202</x:v>
      </x:c>
      <x:c r="H516" s="32" t="str">
        <x:v>1202</x:v>
      </x:c>
      <x:c r="I516" s="22" t="str">
        <x:v>设施农用地</x:v>
      </x:c>
      <x:c r="J516" s="22" t="str">
        <x:v>农业生态</x:v>
      </x:c>
      <x:c r="K516" s="32" t="str">
        <x:v>205</x:v>
      </x:c>
      <x:c r="L516" s="22" t="str">
        <x:v>特殊用地</x:v>
      </x:c>
      <x:c r="M516" s="33" t="n">
        <x:v>495.74</x:v>
      </x:c>
      <x:c r="N516" s="33" t="n">
        <x:v>0.049574</x:v>
      </x:c>
      <x:c r="O516" s="22" t="str">
        <x:v>公顷</x:v>
      </x:c>
      <x:c r="P516" s="22" t="str">
        <x:v>未提供（单期横截面）</x:v>
      </x:c>
      <x:c r="Q516" s="23" t="n">
        <x:v>1824</x:v>
      </x:c>
    </x:row>
    <x:row r="517">
      <x:c r="A517" s="30" t="n">
        <x:v>350200</x:v>
      </x:c>
      <x:c r="B517" s="22" t="str">
        <x:v>厦门市</x:v>
      </x:c>
      <x:c r="C517" s="31" t="n">
        <x:v>350212</x:v>
      </x:c>
      <x:c r="D517" s="22" t="str">
        <x:v>同安区</x:v>
      </x:c>
      <x:c r="E517" s="22" t="str">
        <x:v>未利用地</x:v>
      </x:c>
      <x:c r="F517" s="22" t="str">
        <x:v>草地</x:v>
      </x:c>
      <x:c r="G517" s="32" t="str">
        <x:v>404</x:v>
      </x:c>
      <x:c r="H517" s="32" t="str">
        <x:v>404</x:v>
      </x:c>
      <x:c r="I517" s="22" t="str">
        <x:v>其他草地</x:v>
      </x:c>
      <x:c r="J517" s="22" t="str">
        <x:v>农业生态</x:v>
      </x:c>
      <x:c r="K517" s="32" t="str"/>
      <x:c r="L517" s="22" t="str">
        <x:v>不适用/未标注</x:v>
      </x:c>
      <x:c r="M517" s="33" t="n">
        <x:v>5818631.669999998</x:v>
      </x:c>
      <x:c r="N517" s="33" t="n">
        <x:v>581.8631669999999</x:v>
      </x:c>
      <x:c r="O517" s="22" t="str">
        <x:v>公顷</x:v>
      </x:c>
      <x:c r="P517" s="22" t="str">
        <x:v>未提供（单期横截面）</x:v>
      </x:c>
      <x:c r="Q517" s="23" t="n">
        <x:v>1825</x:v>
      </x:c>
    </x:row>
    <x:row r="518">
      <x:c r="A518" s="30" t="n">
        <x:v>350200</x:v>
      </x:c>
      <x:c r="B518" s="22" t="str">
        <x:v>厦门市</x:v>
      </x:c>
      <x:c r="C518" s="31" t="n">
        <x:v>350212</x:v>
      </x:c>
      <x:c r="D518" s="22" t="str">
        <x:v>同安区</x:v>
      </x:c>
      <x:c r="E518" s="22" t="str">
        <x:v>未利用地</x:v>
      </x:c>
      <x:c r="F518" s="22" t="str">
        <x:v>水域及水利设施</x:v>
      </x:c>
      <x:c r="G518" s="32" t="str">
        <x:v>1101</x:v>
      </x:c>
      <x:c r="H518" s="32" t="str">
        <x:v>1101</x:v>
      </x:c>
      <x:c r="I518" s="22" t="str">
        <x:v>河流水面</x:v>
      </x:c>
      <x:c r="J518" s="22" t="str">
        <x:v>农业生态</x:v>
      </x:c>
      <x:c r="K518" s="32" t="str"/>
      <x:c r="L518" s="22" t="str">
        <x:v>不适用/未标注</x:v>
      </x:c>
      <x:c r="M518" s="33" t="n">
        <x:v>10733266.940000016</x:v>
      </x:c>
      <x:c r="N518" s="33" t="n">
        <x:v>1073.3266940000017</x:v>
      </x:c>
      <x:c r="O518" s="22" t="str">
        <x:v>公顷</x:v>
      </x:c>
      <x:c r="P518" s="22" t="str">
        <x:v>未提供（单期横截面）</x:v>
      </x:c>
      <x:c r="Q518" s="23" t="n">
        <x:v>1826</x:v>
      </x:c>
    </x:row>
    <x:row r="519">
      <x:c r="A519" s="30" t="n">
        <x:v>350200</x:v>
      </x:c>
      <x:c r="B519" s="22" t="str">
        <x:v>厦门市</x:v>
      </x:c>
      <x:c r="C519" s="31" t="n">
        <x:v>350212</x:v>
      </x:c>
      <x:c r="D519" s="22" t="str">
        <x:v>同安区</x:v>
      </x:c>
      <x:c r="E519" s="22" t="str">
        <x:v>未利用地</x:v>
      </x:c>
      <x:c r="F519" s="22" t="str">
        <x:v>水域及水利设施</x:v>
      </x:c>
      <x:c r="G519" s="32" t="str">
        <x:v>1102</x:v>
      </x:c>
      <x:c r="H519" s="32" t="str">
        <x:v>1102</x:v>
      </x:c>
      <x:c r="I519" s="22" t="str">
        <x:v>湖泊水面</x:v>
      </x:c>
      <x:c r="J519" s="22" t="str">
        <x:v>农业生态</x:v>
      </x:c>
      <x:c r="K519" s="32" t="str"/>
      <x:c r="L519" s="22" t="str">
        <x:v>不适用/未标注</x:v>
      </x:c>
      <x:c r="M519" s="33" t="n">
        <x:v>8112.93</x:v>
      </x:c>
      <x:c r="N519" s="33" t="n">
        <x:v>0.811293</x:v>
      </x:c>
      <x:c r="O519" s="22" t="str">
        <x:v>公顷</x:v>
      </x:c>
      <x:c r="P519" s="22" t="str">
        <x:v>未提供（单期横截面）</x:v>
      </x:c>
      <x:c r="Q519" s="23" t="n">
        <x:v>1827</x:v>
      </x:c>
    </x:row>
    <x:row r="520">
      <x:c r="A520" s="30" t="n">
        <x:v>350200</x:v>
      </x:c>
      <x:c r="B520" s="22" t="str">
        <x:v>厦门市</x:v>
      </x:c>
      <x:c r="C520" s="31" t="n">
        <x:v>350212</x:v>
      </x:c>
      <x:c r="D520" s="22" t="str">
        <x:v>同安区</x:v>
      </x:c>
      <x:c r="E520" s="22" t="str">
        <x:v>未利用地</x:v>
      </x:c>
      <x:c r="F520" s="22" t="str">
        <x:v>水域及水利设施</x:v>
      </x:c>
      <x:c r="G520" s="32" t="str">
        <x:v>1105</x:v>
      </x:c>
      <x:c r="H520" s="32" t="str">
        <x:v>1105</x:v>
      </x:c>
      <x:c r="I520" s="22" t="str">
        <x:v>沿海滩涂</x:v>
      </x:c>
      <x:c r="J520" s="22" t="str">
        <x:v>农业生态</x:v>
      </x:c>
      <x:c r="K520" s="32" t="str"/>
      <x:c r="L520" s="22" t="str">
        <x:v>不适用/未标注</x:v>
      </x:c>
      <x:c r="M520" s="33" t="n">
        <x:v>17044969.61</x:v>
      </x:c>
      <x:c r="N520" s="33" t="n">
        <x:v>1704.4969609999998</x:v>
      </x:c>
      <x:c r="O520" s="22" t="str">
        <x:v>公顷</x:v>
      </x:c>
      <x:c r="P520" s="22" t="str">
        <x:v>未提供（单期横截面）</x:v>
      </x:c>
      <x:c r="Q520" s="23" t="n">
        <x:v>1828</x:v>
      </x:c>
    </x:row>
    <x:row r="521">
      <x:c r="A521" s="30" t="n">
        <x:v>350200</x:v>
      </x:c>
      <x:c r="B521" s="22" t="str">
        <x:v>厦门市</x:v>
      </x:c>
      <x:c r="C521" s="31" t="n">
        <x:v>350212</x:v>
      </x:c>
      <x:c r="D521" s="22" t="str">
        <x:v>同安区</x:v>
      </x:c>
      <x:c r="E521" s="22" t="str">
        <x:v>未利用地</x:v>
      </x:c>
      <x:c r="F521" s="22" t="str">
        <x:v>水域及水利设施</x:v>
      </x:c>
      <x:c r="G521" s="32" t="str">
        <x:v>1106</x:v>
      </x:c>
      <x:c r="H521" s="32" t="str">
        <x:v>1106</x:v>
      </x:c>
      <x:c r="I521" s="22" t="str">
        <x:v>内陆滩涂</x:v>
      </x:c>
      <x:c r="J521" s="22" t="str">
        <x:v>农业生态</x:v>
      </x:c>
      <x:c r="K521" s="32" t="str"/>
      <x:c r="L521" s="22" t="str">
        <x:v>不适用/未标注</x:v>
      </x:c>
      <x:c r="M521" s="33" t="n">
        <x:v>1827519.8100000003</x:v>
      </x:c>
      <x:c r="N521" s="33" t="n">
        <x:v>182.75198100000003</x:v>
      </x:c>
      <x:c r="O521" s="22" t="str">
        <x:v>公顷</x:v>
      </x:c>
      <x:c r="P521" s="22" t="str">
        <x:v>未提供（单期横截面）</x:v>
      </x:c>
      <x:c r="Q521" s="23" t="n">
        <x:v>1829</x:v>
      </x:c>
    </x:row>
    <x:row r="522">
      <x:c r="A522" s="30" t="n">
        <x:v>350200</x:v>
      </x:c>
      <x:c r="B522" s="22" t="str">
        <x:v>厦门市</x:v>
      </x:c>
      <x:c r="C522" s="31" t="n">
        <x:v>350212</x:v>
      </x:c>
      <x:c r="D522" s="22" t="str">
        <x:v>同安区</x:v>
      </x:c>
      <x:c r="E522" s="22" t="str">
        <x:v>未利用地</x:v>
      </x:c>
      <x:c r="F522" s="22" t="str">
        <x:v>未利用地</x:v>
      </x:c>
      <x:c r="G522" s="32" t="str">
        <x:v>1206</x:v>
      </x:c>
      <x:c r="H522" s="32" t="str">
        <x:v>1206</x:v>
      </x:c>
      <x:c r="I522" s="22" t="str">
        <x:v>裸土地</x:v>
      </x:c>
      <x:c r="J522" s="22" t="str">
        <x:v>未利用地</x:v>
      </x:c>
      <x:c r="K522" s="32" t="str"/>
      <x:c r="L522" s="22" t="str">
        <x:v>不适用/未标注</x:v>
      </x:c>
      <x:c r="M522" s="33" t="n">
        <x:v>158416.63</x:v>
      </x:c>
      <x:c r="N522" s="33" t="n">
        <x:v>15.841663</x:v>
      </x:c>
      <x:c r="O522" s="22" t="str">
        <x:v>公顷</x:v>
      </x:c>
      <x:c r="P522" s="22" t="str">
        <x:v>未提供（单期横截面）</x:v>
      </x:c>
      <x:c r="Q522" s="23" t="n">
        <x:v>1830</x:v>
      </x:c>
    </x:row>
    <x:row r="523">
      <x:c r="A523" s="30" t="n">
        <x:v>350200</x:v>
      </x:c>
      <x:c r="B523" s="22" t="str">
        <x:v>厦门市</x:v>
      </x:c>
      <x:c r="C523" s="31" t="n">
        <x:v>350212</x:v>
      </x:c>
      <x:c r="D523" s="22" t="str">
        <x:v>同安区</x:v>
      </x:c>
      <x:c r="E523" s="22" t="str">
        <x:v>未利用地</x:v>
      </x:c>
      <x:c r="F523" s="22" t="str">
        <x:v>未利用地</x:v>
      </x:c>
      <x:c r="G523" s="32" t="str">
        <x:v>1207</x:v>
      </x:c>
      <x:c r="H523" s="32" t="str">
        <x:v>1207</x:v>
      </x:c>
      <x:c r="I523" s="22" t="str">
        <x:v>裸岩石砾地</x:v>
      </x:c>
      <x:c r="J523" s="22" t="str">
        <x:v>未利用地</x:v>
      </x:c>
      <x:c r="K523" s="32" t="str"/>
      <x:c r="L523" s="22" t="str">
        <x:v>不适用/未标注</x:v>
      </x:c>
      <x:c r="M523" s="33" t="n">
        <x:v>501732.33000000025</x:v>
      </x:c>
      <x:c r="N523" s="33" t="n">
        <x:v>50.173233000000025</x:v>
      </x:c>
      <x:c r="O523" s="22" t="str">
        <x:v>公顷</x:v>
      </x:c>
      <x:c r="P523" s="22" t="str">
        <x:v>未提供（单期横截面）</x:v>
      </x:c>
      <x:c r="Q523" s="23" t="n">
        <x:v>1831</x:v>
      </x:c>
    </x:row>
    <x:row r="524">
      <x:c r="A524" s="30" t="n">
        <x:v>350200</x:v>
      </x:c>
      <x:c r="B524" s="22" t="str">
        <x:v>厦门市</x:v>
      </x:c>
      <x:c r="C524" s="31" t="n">
        <x:v>350212</x:v>
      </x:c>
      <x:c r="D524" s="22" t="str">
        <x:v>同安区</x:v>
      </x:c>
      <x:c r="E524" s="22" t="str">
        <x:v>未利用地</x:v>
      </x:c>
      <x:c r="F524" s="22" t="str">
        <x:v>草地</x:v>
      </x:c>
      <x:c r="G524" s="32" t="str">
        <x:v>404</x:v>
      </x:c>
      <x:c r="H524" s="32" t="str">
        <x:v>404</x:v>
      </x:c>
      <x:c r="I524" s="22" t="str">
        <x:v>其他草地</x:v>
      </x:c>
      <x:c r="J524" s="22" t="str">
        <x:v>农业生态</x:v>
      </x:c>
      <x:c r="K524" s="32" t="str">
        <x:v>201</x:v>
      </x:c>
      <x:c r="L524" s="22" t="str">
        <x:v>城市范围</x:v>
      </x:c>
      <x:c r="M524" s="33" t="n">
        <x:v>169047.40000000002</x:v>
      </x:c>
      <x:c r="N524" s="33" t="n">
        <x:v>16.904740000000004</x:v>
      </x:c>
      <x:c r="O524" s="22" t="str">
        <x:v>公顷</x:v>
      </x:c>
      <x:c r="P524" s="22" t="str">
        <x:v>未提供（单期横截面）</x:v>
      </x:c>
      <x:c r="Q524" s="23" t="n">
        <x:v>1832</x:v>
      </x:c>
    </x:row>
    <x:row r="525">
      <x:c r="A525" s="30" t="n">
        <x:v>350200</x:v>
      </x:c>
      <x:c r="B525" s="22" t="str">
        <x:v>厦门市</x:v>
      </x:c>
      <x:c r="C525" s="31" t="n">
        <x:v>350212</x:v>
      </x:c>
      <x:c r="D525" s="22" t="str">
        <x:v>同安区</x:v>
      </x:c>
      <x:c r="E525" s="22" t="str">
        <x:v>未利用地</x:v>
      </x:c>
      <x:c r="F525" s="22" t="str">
        <x:v>水域及水利设施</x:v>
      </x:c>
      <x:c r="G525" s="32" t="str">
        <x:v>1101</x:v>
      </x:c>
      <x:c r="H525" s="32" t="str">
        <x:v>1101</x:v>
      </x:c>
      <x:c r="I525" s="22" t="str">
        <x:v>河流水面</x:v>
      </x:c>
      <x:c r="J525" s="22" t="str">
        <x:v>农业生态</x:v>
      </x:c>
      <x:c r="K525" s="32" t="str">
        <x:v>201</x:v>
      </x:c>
      <x:c r="L525" s="22" t="str">
        <x:v>城市范围</x:v>
      </x:c>
      <x:c r="M525" s="33" t="n">
        <x:v>14917.24</x:v>
      </x:c>
      <x:c r="N525" s="33" t="n">
        <x:v>1.491724</x:v>
      </x:c>
      <x:c r="O525" s="22" t="str">
        <x:v>公顷</x:v>
      </x:c>
      <x:c r="P525" s="22" t="str">
        <x:v>未提供（单期横截面）</x:v>
      </x:c>
      <x:c r="Q525" s="23" t="n">
        <x:v>1833</x:v>
      </x:c>
    </x:row>
    <x:row r="526">
      <x:c r="A526" s="30" t="n">
        <x:v>350200</x:v>
      </x:c>
      <x:c r="B526" s="22" t="str">
        <x:v>厦门市</x:v>
      </x:c>
      <x:c r="C526" s="31" t="n">
        <x:v>350212</x:v>
      </x:c>
      <x:c r="D526" s="22" t="str">
        <x:v>同安区</x:v>
      </x:c>
      <x:c r="E526" s="22" t="str">
        <x:v>未利用地</x:v>
      </x:c>
      <x:c r="F526" s="22" t="str">
        <x:v>未利用地</x:v>
      </x:c>
      <x:c r="G526" s="32" t="str">
        <x:v>1206</x:v>
      </x:c>
      <x:c r="H526" s="32" t="str">
        <x:v>1206</x:v>
      </x:c>
      <x:c r="I526" s="22" t="str">
        <x:v>裸土地</x:v>
      </x:c>
      <x:c r="J526" s="22" t="str">
        <x:v>未利用地</x:v>
      </x:c>
      <x:c r="K526" s="32" t="str">
        <x:v>201</x:v>
      </x:c>
      <x:c r="L526" s="22" t="str">
        <x:v>城市范围</x:v>
      </x:c>
      <x:c r="M526" s="33" t="n">
        <x:v>2847.31</x:v>
      </x:c>
      <x:c r="N526" s="33" t="n">
        <x:v>0.284731</x:v>
      </x:c>
      <x:c r="O526" s="22" t="str">
        <x:v>公顷</x:v>
      </x:c>
      <x:c r="P526" s="22" t="str">
        <x:v>未提供（单期横截面）</x:v>
      </x:c>
      <x:c r="Q526" s="23" t="n">
        <x:v>1834</x:v>
      </x:c>
    </x:row>
    <x:row r="527">
      <x:c r="A527" s="30" t="n">
        <x:v>350200</x:v>
      </x:c>
      <x:c r="B527" s="22" t="str">
        <x:v>厦门市</x:v>
      </x:c>
      <x:c r="C527" s="31" t="n">
        <x:v>350212</x:v>
      </x:c>
      <x:c r="D527" s="22" t="str">
        <x:v>同安区</x:v>
      </x:c>
      <x:c r="E527" s="22" t="str">
        <x:v>未利用地</x:v>
      </x:c>
      <x:c r="F527" s="22" t="str">
        <x:v>草地</x:v>
      </x:c>
      <x:c r="G527" s="32" t="str">
        <x:v>404</x:v>
      </x:c>
      <x:c r="H527" s="32" t="str">
        <x:v>404</x:v>
      </x:c>
      <x:c r="I527" s="22" t="str">
        <x:v>其他草地</x:v>
      </x:c>
      <x:c r="J527" s="22" t="str">
        <x:v>农业生态</x:v>
      </x:c>
      <x:c r="K527" s="32" t="str">
        <x:v>202</x:v>
      </x:c>
      <x:c r="L527" s="22" t="str">
        <x:v>建制镇范围</x:v>
      </x:c>
      <x:c r="M527" s="33" t="n">
        <x:v>4946.9400000000005</x:v>
      </x:c>
      <x:c r="N527" s="33" t="n">
        <x:v>0.4946940000000001</x:v>
      </x:c>
      <x:c r="O527" s="22" t="str">
        <x:v>公顷</x:v>
      </x:c>
      <x:c r="P527" s="22" t="str">
        <x:v>未提供（单期横截面）</x:v>
      </x:c>
      <x:c r="Q527" s="23" t="n">
        <x:v>1835</x:v>
      </x:c>
    </x:row>
    <x:row r="528">
      <x:c r="A528" s="30" t="n">
        <x:v>350200</x:v>
      </x:c>
      <x:c r="B528" s="22" t="str">
        <x:v>厦门市</x:v>
      </x:c>
      <x:c r="C528" s="31" t="n">
        <x:v>350212</x:v>
      </x:c>
      <x:c r="D528" s="22" t="str">
        <x:v>同安区</x:v>
      </x:c>
      <x:c r="E528" s="22" t="str">
        <x:v>未利用地</x:v>
      </x:c>
      <x:c r="F528" s="22" t="str">
        <x:v>草地</x:v>
      </x:c>
      <x:c r="G528" s="32" t="str">
        <x:v>404</x:v>
      </x:c>
      <x:c r="H528" s="32" t="str">
        <x:v>404</x:v>
      </x:c>
      <x:c r="I528" s="22" t="str">
        <x:v>其他草地</x:v>
      </x:c>
      <x:c r="J528" s="22" t="str">
        <x:v>农业生态</x:v>
      </x:c>
      <x:c r="K528" s="32" t="str">
        <x:v>203</x:v>
      </x:c>
      <x:c r="L528" s="22" t="str">
        <x:v>村庄范围</x:v>
      </x:c>
      <x:c r="M528" s="33" t="n">
        <x:v>19693.210000000006</x:v>
      </x:c>
      <x:c r="N528" s="33" t="n">
        <x:v>1.9693210000000005</x:v>
      </x:c>
      <x:c r="O528" s="22" t="str">
        <x:v>公顷</x:v>
      </x:c>
      <x:c r="P528" s="22" t="str">
        <x:v>未提供（单期横截面）</x:v>
      </x:c>
      <x:c r="Q528" s="23" t="n">
        <x:v>1836</x:v>
      </x:c>
    </x:row>
    <x:row r="529">
      <x:c r="A529" s="30" t="n">
        <x:v>350200</x:v>
      </x:c>
      <x:c r="B529" s="22" t="str">
        <x:v>厦门市</x:v>
      </x:c>
      <x:c r="C529" s="31" t="n">
        <x:v>350212</x:v>
      </x:c>
      <x:c r="D529" s="22" t="str">
        <x:v>同安区</x:v>
      </x:c>
      <x:c r="E529" s="22" t="str">
        <x:v>未利用地</x:v>
      </x:c>
      <x:c r="F529" s="22" t="str">
        <x:v>未利用地</x:v>
      </x:c>
      <x:c r="G529" s="32" t="str">
        <x:v>1206</x:v>
      </x:c>
      <x:c r="H529" s="32" t="str">
        <x:v>1206</x:v>
      </x:c>
      <x:c r="I529" s="22" t="str">
        <x:v>裸土地</x:v>
      </x:c>
      <x:c r="J529" s="22" t="str">
        <x:v>未利用地</x:v>
      </x:c>
      <x:c r="K529" s="32" t="str">
        <x:v>203</x:v>
      </x:c>
      <x:c r="L529" s="22" t="str">
        <x:v>村庄范围</x:v>
      </x:c>
      <x:c r="M529" s="33" t="n">
        <x:v>796.75</x:v>
      </x:c>
      <x:c r="N529" s="33" t="n">
        <x:v>0.079675</x:v>
      </x:c>
      <x:c r="O529" s="22" t="str">
        <x:v>公顷</x:v>
      </x:c>
      <x:c r="P529" s="22" t="str">
        <x:v>未提供（单期横截面）</x:v>
      </x:c>
      <x:c r="Q529" s="23" t="n">
        <x:v>1837</x:v>
      </x:c>
    </x:row>
    <x:row r="530">
      <x:c r="A530" s="30" t="n">
        <x:v>350200</x:v>
      </x:c>
      <x:c r="B530" s="22" t="str">
        <x:v>厦门市</x:v>
      </x:c>
      <x:c r="C530" s="31" t="n">
        <x:v>350213</x:v>
      </x:c>
      <x:c r="D530" s="22" t="str">
        <x:v>翔安区</x:v>
      </x:c>
      <x:c r="E530" s="22" t="str">
        <x:v>建设用地</x:v>
      </x:c>
      <x:c r="F530" s="22" t="str">
        <x:v>交通运输用地</x:v>
      </x:c>
      <x:c r="G530" s="32" t="str">
        <x:v>1001</x:v>
      </x:c>
      <x:c r="H530" s="32" t="str">
        <x:v>1001</x:v>
      </x:c>
      <x:c r="I530" s="22" t="str">
        <x:v>铁路用地</x:v>
      </x:c>
      <x:c r="J530" s="22" t="str">
        <x:v>交通门户</x:v>
      </x:c>
      <x:c r="K530" s="32" t="str"/>
      <x:c r="L530" s="22" t="str">
        <x:v>不适用/未标注</x:v>
      </x:c>
      <x:c r="M530" s="33" t="n">
        <x:v>501431.05</x:v>
      </x:c>
      <x:c r="N530" s="33" t="n">
        <x:v>50.143105</x:v>
      </x:c>
      <x:c r="O530" s="22" t="str">
        <x:v>公顷</x:v>
      </x:c>
      <x:c r="P530" s="22" t="str">
        <x:v>未提供（单期横截面）</x:v>
      </x:c>
      <x:c r="Q530" s="23" t="n">
        <x:v>1838</x:v>
      </x:c>
    </x:row>
    <x:row r="531">
      <x:c r="A531" s="30" t="n">
        <x:v>350200</x:v>
      </x:c>
      <x:c r="B531" s="22" t="str">
        <x:v>厦门市</x:v>
      </x:c>
      <x:c r="C531" s="31" t="n">
        <x:v>350213</x:v>
      </x:c>
      <x:c r="D531" s="22" t="str">
        <x:v>翔安区</x:v>
      </x:c>
      <x:c r="E531" s="22" t="str">
        <x:v>建设用地</x:v>
      </x:c>
      <x:c r="F531" s="22" t="str">
        <x:v>交通运输用地</x:v>
      </x:c>
      <x:c r="G531" s="32" t="str">
        <x:v>1002</x:v>
      </x:c>
      <x:c r="H531" s="32" t="str">
        <x:v>1002</x:v>
      </x:c>
      <x:c r="I531" s="22" t="str">
        <x:v>轨道交通用地</x:v>
      </x:c>
      <x:c r="J531" s="22" t="str">
        <x:v>交通门户</x:v>
      </x:c>
      <x:c r="K531" s="32" t="str"/>
      <x:c r="L531" s="22" t="str">
        <x:v>不适用/未标注</x:v>
      </x:c>
      <x:c r="M531" s="33" t="n">
        <x:v>1280796.4</x:v>
      </x:c>
      <x:c r="N531" s="33" t="n">
        <x:v>128.07963999999998</x:v>
      </x:c>
      <x:c r="O531" s="22" t="str">
        <x:v>公顷</x:v>
      </x:c>
      <x:c r="P531" s="22" t="str">
        <x:v>未提供（单期横截面）</x:v>
      </x:c>
      <x:c r="Q531" s="23" t="n">
        <x:v>1839</x:v>
      </x:c>
    </x:row>
    <x:row r="532">
      <x:c r="A532" s="30" t="n">
        <x:v>350200</x:v>
      </x:c>
      <x:c r="B532" s="22" t="str">
        <x:v>厦门市</x:v>
      </x:c>
      <x:c r="C532" s="31" t="n">
        <x:v>350213</x:v>
      </x:c>
      <x:c r="D532" s="22" t="str">
        <x:v>翔安区</x:v>
      </x:c>
      <x:c r="E532" s="22" t="str">
        <x:v>建设用地</x:v>
      </x:c>
      <x:c r="F532" s="22" t="str">
        <x:v>交通运输用地</x:v>
      </x:c>
      <x:c r="G532" s="32" t="str">
        <x:v>1003</x:v>
      </x:c>
      <x:c r="H532" s="32" t="str">
        <x:v>1003</x:v>
      </x:c>
      <x:c r="I532" s="22" t="str">
        <x:v>公路用地</x:v>
      </x:c>
      <x:c r="J532" s="22" t="str">
        <x:v>交通门户</x:v>
      </x:c>
      <x:c r="K532" s="32" t="str"/>
      <x:c r="L532" s="22" t="str">
        <x:v>不适用/未标注</x:v>
      </x:c>
      <x:c r="M532" s="33" t="n">
        <x:v>19029994.690000024</x:v>
      </x:c>
      <x:c r="N532" s="33" t="n">
        <x:v>1902.9994690000024</x:v>
      </x:c>
      <x:c r="O532" s="22" t="str">
        <x:v>公顷</x:v>
      </x:c>
      <x:c r="P532" s="22" t="str">
        <x:v>未提供（单期横截面）</x:v>
      </x:c>
      <x:c r="Q532" s="23" t="n">
        <x:v>1840</x:v>
      </x:c>
    </x:row>
    <x:row r="533">
      <x:c r="A533" s="30" t="n">
        <x:v>350200</x:v>
      </x:c>
      <x:c r="B533" s="22" t="str">
        <x:v>厦门市</x:v>
      </x:c>
      <x:c r="C533" s="31" t="n">
        <x:v>350213</x:v>
      </x:c>
      <x:c r="D533" s="22" t="str">
        <x:v>翔安区</x:v>
      </x:c>
      <x:c r="E533" s="22" t="str">
        <x:v>建设用地</x:v>
      </x:c>
      <x:c r="F533" s="22" t="str">
        <x:v>交通运输用地</x:v>
      </x:c>
      <x:c r="G533" s="32" t="str">
        <x:v>1007</x:v>
      </x:c>
      <x:c r="H533" s="32" t="str">
        <x:v>1007</x:v>
      </x:c>
      <x:c r="I533" s="22" t="str">
        <x:v>机场用地</x:v>
      </x:c>
      <x:c r="J533" s="22" t="str">
        <x:v>交通门户</x:v>
      </x:c>
      <x:c r="K533" s="32" t="str"/>
      <x:c r="L533" s="22" t="str">
        <x:v>不适用/未标注</x:v>
      </x:c>
      <x:c r="M533" s="33" t="n">
        <x:v>9730960.42</x:v>
      </x:c>
      <x:c r="N533" s="33" t="n">
        <x:v>973.096042</x:v>
      </x:c>
      <x:c r="O533" s="22" t="str">
        <x:v>公顷</x:v>
      </x:c>
      <x:c r="P533" s="22" t="str">
        <x:v>未提供（单期横截面）</x:v>
      </x:c>
      <x:c r="Q533" s="23" t="n">
        <x:v>1841</x:v>
      </x:c>
    </x:row>
    <x:row r="534">
      <x:c r="A534" s="30" t="n">
        <x:v>350200</x:v>
      </x:c>
      <x:c r="B534" s="22" t="str">
        <x:v>厦门市</x:v>
      </x:c>
      <x:c r="C534" s="31" t="n">
        <x:v>350213</x:v>
      </x:c>
      <x:c r="D534" s="22" t="str">
        <x:v>翔安区</x:v>
      </x:c>
      <x:c r="E534" s="22" t="str">
        <x:v>建设用地</x:v>
      </x:c>
      <x:c r="F534" s="22" t="str">
        <x:v>交通运输用地</x:v>
      </x:c>
      <x:c r="G534" s="32" t="str">
        <x:v>1008</x:v>
      </x:c>
      <x:c r="H534" s="32" t="str">
        <x:v>1008</x:v>
      </x:c>
      <x:c r="I534" s="22" t="str">
        <x:v>港口码头用地</x:v>
      </x:c>
      <x:c r="J534" s="22" t="str">
        <x:v>交通门户</x:v>
      </x:c>
      <x:c r="K534" s="32" t="str"/>
      <x:c r="L534" s="22" t="str">
        <x:v>不适用/未标注</x:v>
      </x:c>
      <x:c r="M534" s="33" t="n">
        <x:v>939468.75</x:v>
      </x:c>
      <x:c r="N534" s="33" t="n">
        <x:v>93.946875</x:v>
      </x:c>
      <x:c r="O534" s="22" t="str">
        <x:v>公顷</x:v>
      </x:c>
      <x:c r="P534" s="22" t="str">
        <x:v>未提供（单期横截面）</x:v>
      </x:c>
      <x:c r="Q534" s="23" t="n">
        <x:v>1842</x:v>
      </x:c>
    </x:row>
    <x:row r="535">
      <x:c r="A535" s="30" t="n">
        <x:v>350200</x:v>
      </x:c>
      <x:c r="B535" s="22" t="str">
        <x:v>厦门市</x:v>
      </x:c>
      <x:c r="C535" s="31" t="n">
        <x:v>350213</x:v>
      </x:c>
      <x:c r="D535" s="22" t="str">
        <x:v>翔安区</x:v>
      </x:c>
      <x:c r="E535" s="22" t="str">
        <x:v>建设用地</x:v>
      </x:c>
      <x:c r="F535" s="22" t="str">
        <x:v>水域及水利设施</x:v>
      </x:c>
      <x:c r="G535" s="32" t="str">
        <x:v>1109</x:v>
      </x:c>
      <x:c r="H535" s="32" t="str">
        <x:v>1109</x:v>
      </x:c>
      <x:c r="I535" s="22" t="str">
        <x:v>水工建筑用地</x:v>
      </x:c>
      <x:c r="J535" s="22" t="str">
        <x:v>其他建设</x:v>
      </x:c>
      <x:c r="K535" s="32" t="str"/>
      <x:c r="L535" s="22" t="str">
        <x:v>不适用/未标注</x:v>
      </x:c>
      <x:c r="M535" s="33" t="n">
        <x:v>1543037.79</x:v>
      </x:c>
      <x:c r="N535" s="33" t="n">
        <x:v>154.303779</x:v>
      </x:c>
      <x:c r="O535" s="22" t="str">
        <x:v>公顷</x:v>
      </x:c>
      <x:c r="P535" s="22" t="str">
        <x:v>未提供（单期横截面）</x:v>
      </x:c>
      <x:c r="Q535" s="23" t="n">
        <x:v>1843</x:v>
      </x:c>
    </x:row>
    <x:row r="536">
      <x:c r="A536" s="30" t="n">
        <x:v>350200</x:v>
      </x:c>
      <x:c r="B536" s="22" t="str">
        <x:v>厦门市</x:v>
      </x:c>
      <x:c r="C536" s="31" t="n">
        <x:v>350213</x:v>
      </x:c>
      <x:c r="D536" s="22" t="str">
        <x:v>翔安区</x:v>
      </x:c>
      <x:c r="E536" s="22" t="str">
        <x:v>建设用地</x:v>
      </x:c>
      <x:c r="F536" s="22" t="str">
        <x:v>工矿仓储用地</x:v>
      </x:c>
      <x:c r="G536" s="32" t="str">
        <x:v>508</x:v>
      </x:c>
      <x:c r="H536" s="32" t="str">
        <x:v>508</x:v>
      </x:c>
      <x:c r="I536" s="22" t="str">
        <x:v>物流仓储用地</x:v>
      </x:c>
      <x:c r="J536" s="22" t="str">
        <x:v>产业功能</x:v>
      </x:c>
      <x:c r="K536" s="32" t="str">
        <x:v>201</x:v>
      </x:c>
      <x:c r="L536" s="22" t="str">
        <x:v>城市范围</x:v>
      </x:c>
      <x:c r="M536" s="33" t="n">
        <x:v>228737.12000000002</x:v>
      </x:c>
      <x:c r="N536" s="33" t="n">
        <x:v>22.873712</x:v>
      </x:c>
      <x:c r="O536" s="22" t="str">
        <x:v>公顷</x:v>
      </x:c>
      <x:c r="P536" s="22" t="str">
        <x:v>未提供（单期横截面）</x:v>
      </x:c>
      <x:c r="Q536" s="23" t="n">
        <x:v>1844</x:v>
      </x:c>
    </x:row>
    <x:row r="537">
      <x:c r="A537" s="30" t="n">
        <x:v>350200</x:v>
      </x:c>
      <x:c r="B537" s="22" t="str">
        <x:v>厦门市</x:v>
      </x:c>
      <x:c r="C537" s="31" t="n">
        <x:v>350213</x:v>
      </x:c>
      <x:c r="D537" s="22" t="str">
        <x:v>翔安区</x:v>
      </x:c>
      <x:c r="E537" s="22" t="str">
        <x:v>建设用地</x:v>
      </x:c>
      <x:c r="F537" s="22" t="str">
        <x:v>商业服务业用地</x:v>
      </x:c>
      <x:c r="G537" s="32" t="str">
        <x:v>05H1</x:v>
      </x:c>
      <x:c r="H537" s="32" t="str">
        <x:v>05H1</x:v>
      </x:c>
      <x:c r="I537" s="22" t="str">
        <x:v>商业服务业设施用地</x:v>
      </x:c>
      <x:c r="J537" s="22" t="str">
        <x:v>商业服务</x:v>
      </x:c>
      <x:c r="K537" s="32" t="str">
        <x:v>201</x:v>
      </x:c>
      <x:c r="L537" s="22" t="str">
        <x:v>城市范围</x:v>
      </x:c>
      <x:c r="M537" s="33" t="n">
        <x:v>1417247.720000001</x:v>
      </x:c>
      <x:c r="N537" s="33" t="n">
        <x:v>141.7247720000001</x:v>
      </x:c>
      <x:c r="O537" s="22" t="str">
        <x:v>公顷</x:v>
      </x:c>
      <x:c r="P537" s="22" t="str">
        <x:v>未提供（单期横截面）</x:v>
      </x:c>
      <x:c r="Q537" s="23" t="n">
        <x:v>1845</x:v>
      </x:c>
    </x:row>
    <x:row r="538">
      <x:c r="A538" s="30" t="n">
        <x:v>350200</x:v>
      </x:c>
      <x:c r="B538" s="22" t="str">
        <x:v>厦门市</x:v>
      </x:c>
      <x:c r="C538" s="31" t="n">
        <x:v>350213</x:v>
      </x:c>
      <x:c r="D538" s="22" t="str">
        <x:v>翔安区</x:v>
      </x:c>
      <x:c r="E538" s="22" t="str">
        <x:v>建设用地</x:v>
      </x:c>
      <x:c r="F538" s="22" t="str">
        <x:v>工矿仓储用地</x:v>
      </x:c>
      <x:c r="G538" s="32" t="str">
        <x:v>601</x:v>
      </x:c>
      <x:c r="H538" s="32" t="str">
        <x:v>601</x:v>
      </x:c>
      <x:c r="I538" s="22" t="str">
        <x:v>工业用地</x:v>
      </x:c>
      <x:c r="J538" s="22" t="str">
        <x:v>产业功能</x:v>
      </x:c>
      <x:c r="K538" s="32" t="str">
        <x:v>201</x:v>
      </x:c>
      <x:c r="L538" s="22" t="str">
        <x:v>城市范围</x:v>
      </x:c>
      <x:c r="M538" s="33" t="n">
        <x:v>12398609.349999996</x:v>
      </x:c>
      <x:c r="N538" s="33" t="n">
        <x:v>1239.8609349999997</x:v>
      </x:c>
      <x:c r="O538" s="22" t="str">
        <x:v>公顷</x:v>
      </x:c>
      <x:c r="P538" s="22" t="str">
        <x:v>未提供（单期横截面）</x:v>
      </x:c>
      <x:c r="Q538" s="23" t="n">
        <x:v>1846</x:v>
      </x:c>
    </x:row>
    <x:row r="539">
      <x:c r="A539" s="30" t="n">
        <x:v>350200</x:v>
      </x:c>
      <x:c r="B539" s="22" t="str">
        <x:v>厦门市</x:v>
      </x:c>
      <x:c r="C539" s="31" t="n">
        <x:v>350213</x:v>
      </x:c>
      <x:c r="D539" s="22" t="str">
        <x:v>翔安区</x:v>
      </x:c>
      <x:c r="E539" s="22" t="str">
        <x:v>建设用地</x:v>
      </x:c>
      <x:c r="F539" s="22" t="str">
        <x:v>居住用地</x:v>
      </x:c>
      <x:c r="G539" s="32" t="str">
        <x:v>701</x:v>
      </x:c>
      <x:c r="H539" s="32" t="str">
        <x:v>701</x:v>
      </x:c>
      <x:c r="I539" s="22" t="str">
        <x:v>城镇住宅用地</x:v>
      </x:c>
      <x:c r="J539" s="22" t="str">
        <x:v>居住功能</x:v>
      </x:c>
      <x:c r="K539" s="32" t="str">
        <x:v>201</x:v>
      </x:c>
      <x:c r="L539" s="22" t="str">
        <x:v>城市范围</x:v>
      </x:c>
      <x:c r="M539" s="33" t="n">
        <x:v>6739065.149999998</x:v>
      </x:c>
      <x:c r="N539" s="33" t="n">
        <x:v>673.9065149999998</x:v>
      </x:c>
      <x:c r="O539" s="22" t="str">
        <x:v>公顷</x:v>
      </x:c>
      <x:c r="P539" s="22" t="str">
        <x:v>未提供（单期横截面）</x:v>
      </x:c>
      <x:c r="Q539" s="23" t="n">
        <x:v>1847</x:v>
      </x:c>
    </x:row>
    <x:row r="540">
      <x:c r="A540" s="30" t="n">
        <x:v>350200</x:v>
      </x:c>
      <x:c r="B540" s="22" t="str">
        <x:v>厦门市</x:v>
      </x:c>
      <x:c r="C540" s="31" t="n">
        <x:v>350213</x:v>
      </x:c>
      <x:c r="D540" s="22" t="str">
        <x:v>翔安区</x:v>
      </x:c>
      <x:c r="E540" s="22" t="str">
        <x:v>建设用地</x:v>
      </x:c>
      <x:c r="F540" s="22" t="str">
        <x:v>居住用地</x:v>
      </x:c>
      <x:c r="G540" s="32" t="str">
        <x:v>702</x:v>
      </x:c>
      <x:c r="H540" s="32" t="str">
        <x:v>702</x:v>
      </x:c>
      <x:c r="I540" s="22" t="str">
        <x:v>农村宅基地</x:v>
      </x:c>
      <x:c r="J540" s="22" t="str">
        <x:v>居住功能</x:v>
      </x:c>
      <x:c r="K540" s="32" t="str">
        <x:v>201</x:v>
      </x:c>
      <x:c r="L540" s="22" t="str">
        <x:v>城市范围</x:v>
      </x:c>
      <x:c r="M540" s="33" t="n">
        <x:v>11516364.700000007</x:v>
      </x:c>
      <x:c r="N540" s="33" t="n">
        <x:v>1151.6364700000006</x:v>
      </x:c>
      <x:c r="O540" s="22" t="str">
        <x:v>公顷</x:v>
      </x:c>
      <x:c r="P540" s="22" t="str">
        <x:v>未提供（单期横截面）</x:v>
      </x:c>
      <x:c r="Q540" s="23" t="n">
        <x:v>1848</x:v>
      </x:c>
    </x:row>
    <x:row r="541">
      <x:c r="A541" s="30" t="n">
        <x:v>350200</x:v>
      </x:c>
      <x:c r="B541" s="22" t="str">
        <x:v>厦门市</x:v>
      </x:c>
      <x:c r="C541" s="31" t="n">
        <x:v>350213</x:v>
      </x:c>
      <x:c r="D541" s="22" t="str">
        <x:v>翔安区</x:v>
      </x:c>
      <x:c r="E541" s="22" t="str">
        <x:v>建设用地</x:v>
      </x:c>
      <x:c r="F541" s="22" t="str">
        <x:v>公用设施用地</x:v>
      </x:c>
      <x:c r="G541" s="32" t="str">
        <x:v>809</x:v>
      </x:c>
      <x:c r="H541" s="32" t="str">
        <x:v>809</x:v>
      </x:c>
      <x:c r="I541" s="22" t="str">
        <x:v>公用设施用地</x:v>
      </x:c>
      <x:c r="J541" s="22" t="str">
        <x:v>其他建设</x:v>
      </x:c>
      <x:c r="K541" s="32" t="str">
        <x:v>201</x:v>
      </x:c>
      <x:c r="L541" s="22" t="str">
        <x:v>城市范围</x:v>
      </x:c>
      <x:c r="M541" s="33" t="n">
        <x:v>666337.2499999999</x:v>
      </x:c>
      <x:c r="N541" s="33" t="n">
        <x:v>66.63372499999998</x:v>
      </x:c>
      <x:c r="O541" s="22" t="str">
        <x:v>公顷</x:v>
      </x:c>
      <x:c r="P541" s="22" t="str">
        <x:v>未提供（单期横截面）</x:v>
      </x:c>
      <x:c r="Q541" s="23" t="n">
        <x:v>1849</x:v>
      </x:c>
    </x:row>
    <x:row r="542">
      <x:c r="A542" s="30" t="n">
        <x:v>350200</x:v>
      </x:c>
      <x:c r="B542" s="22" t="str">
        <x:v>厦门市</x:v>
      </x:c>
      <x:c r="C542" s="31" t="n">
        <x:v>350213</x:v>
      </x:c>
      <x:c r="D542" s="22" t="str">
        <x:v>翔安区</x:v>
      </x:c>
      <x:c r="E542" s="22" t="str">
        <x:v>建设用地</x:v>
      </x:c>
      <x:c r="F542" s="22" t="str">
        <x:v>绿地与广场用地</x:v>
      </x:c>
      <x:c r="G542" s="32" t="str">
        <x:v>810</x:v>
      </x:c>
      <x:c r="H542" s="32" t="str">
        <x:v>810</x:v>
      </x:c>
      <x:c r="I542" s="22" t="str">
        <x:v>公园与绿地</x:v>
      </x:c>
      <x:c r="J542" s="22" t="str">
        <x:v>公共空间</x:v>
      </x:c>
      <x:c r="K542" s="32" t="str">
        <x:v>201</x:v>
      </x:c>
      <x:c r="L542" s="22" t="str">
        <x:v>城市范围</x:v>
      </x:c>
      <x:c r="M542" s="33" t="n">
        <x:v>1182103.19</x:v>
      </x:c>
      <x:c r="N542" s="33" t="n">
        <x:v>118.210319</x:v>
      </x:c>
      <x:c r="O542" s="22" t="str">
        <x:v>公顷</x:v>
      </x:c>
      <x:c r="P542" s="22" t="str">
        <x:v>未提供（单期横截面）</x:v>
      </x:c>
      <x:c r="Q542" s="23" t="n">
        <x:v>1850</x:v>
      </x:c>
    </x:row>
    <x:row r="543">
      <x:c r="A543" s="30" t="n">
        <x:v>350200</x:v>
      </x:c>
      <x:c r="B543" s="22" t="str">
        <x:v>厦门市</x:v>
      </x:c>
      <x:c r="C543" s="31" t="n">
        <x:v>350213</x:v>
      </x:c>
      <x:c r="D543" s="22" t="str">
        <x:v>翔安区</x:v>
      </x:c>
      <x:c r="E543" s="22" t="str">
        <x:v>建设用地</x:v>
      </x:c>
      <x:c r="F543" s="22" t="str">
        <x:v>绿地与广场用地</x:v>
      </x:c>
      <x:c r="G543" s="32" t="str">
        <x:v>0810A</x:v>
      </x:c>
      <x:c r="H543" s="32" t="str">
        <x:v>0810</x:v>
      </x:c>
      <x:c r="I543" s="22" t="str">
        <x:v>广场用地</x:v>
      </x:c>
      <x:c r="J543" s="22" t="str">
        <x:v>公共空间</x:v>
      </x:c>
      <x:c r="K543" s="32" t="str">
        <x:v>201</x:v>
      </x:c>
      <x:c r="L543" s="22" t="str">
        <x:v>城市范围</x:v>
      </x:c>
      <x:c r="M543" s="33" t="n">
        <x:v>21766.78</x:v>
      </x:c>
      <x:c r="N543" s="33" t="n">
        <x:v>2.176678</x:v>
      </x:c>
      <x:c r="O543" s="22" t="str">
        <x:v>公顷</x:v>
      </x:c>
      <x:c r="P543" s="22" t="str">
        <x:v>未提供（单期横截面）</x:v>
      </x:c>
      <x:c r="Q543" s="23" t="n">
        <x:v>1851</x:v>
      </x:c>
    </x:row>
    <x:row r="544">
      <x:c r="A544" s="30" t="n">
        <x:v>350200</x:v>
      </x:c>
      <x:c r="B544" s="22" t="str">
        <x:v>厦门市</x:v>
      </x:c>
      <x:c r="C544" s="31" t="n">
        <x:v>350213</x:v>
      </x:c>
      <x:c r="D544" s="22" t="str">
        <x:v>翔安区</x:v>
      </x:c>
      <x:c r="E544" s="22" t="str">
        <x:v>建设用地</x:v>
      </x:c>
      <x:c r="F544" s="22" t="str">
        <x:v>公共管理与公共服务用地</x:v>
      </x:c>
      <x:c r="G544" s="32" t="str">
        <x:v>08H1</x:v>
      </x:c>
      <x:c r="H544" s="32" t="str">
        <x:v>08H1</x:v>
      </x:c>
      <x:c r="I544" s="22" t="str">
        <x:v>机关团体新闻出版用地</x:v>
      </x:c>
      <x:c r="J544" s="22" t="str">
        <x:v>公共服务</x:v>
      </x:c>
      <x:c r="K544" s="32" t="str">
        <x:v>201</x:v>
      </x:c>
      <x:c r="L544" s="22" t="str">
        <x:v>城市范围</x:v>
      </x:c>
      <x:c r="M544" s="33" t="n">
        <x:v>473889.0300000002</x:v>
      </x:c>
      <x:c r="N544" s="33" t="n">
        <x:v>47.38890300000002</x:v>
      </x:c>
      <x:c r="O544" s="22" t="str">
        <x:v>公顷</x:v>
      </x:c>
      <x:c r="P544" s="22" t="str">
        <x:v>未提供（单期横截面）</x:v>
      </x:c>
      <x:c r="Q544" s="23" t="n">
        <x:v>1852</x:v>
      </x:c>
    </x:row>
    <x:row r="545">
      <x:c r="A545" s="30" t="n">
        <x:v>350200</x:v>
      </x:c>
      <x:c r="B545" s="22" t="str">
        <x:v>厦门市</x:v>
      </x:c>
      <x:c r="C545" s="31" t="n">
        <x:v>350213</x:v>
      </x:c>
      <x:c r="D545" s="22" t="str">
        <x:v>翔安区</x:v>
      </x:c>
      <x:c r="E545" s="22" t="str">
        <x:v>建设用地</x:v>
      </x:c>
      <x:c r="F545" s="22" t="str">
        <x:v>公共管理与公共服务用地</x:v>
      </x:c>
      <x:c r="G545" s="32" t="str">
        <x:v>08H2</x:v>
      </x:c>
      <x:c r="H545" s="32" t="str">
        <x:v>08H2</x:v>
      </x:c>
      <x:c r="I545" s="22" t="str">
        <x:v>科教文卫用地</x:v>
      </x:c>
      <x:c r="J545" s="22" t="str">
        <x:v>公共服务</x:v>
      </x:c>
      <x:c r="K545" s="32" t="str">
        <x:v>201</x:v>
      </x:c>
      <x:c r="L545" s="22" t="str">
        <x:v>城市范围</x:v>
      </x:c>
      <x:c r="M545" s="33" t="n">
        <x:v>1975269.3199999996</x:v>
      </x:c>
      <x:c r="N545" s="33" t="n">
        <x:v>197.52693199999996</x:v>
      </x:c>
      <x:c r="O545" s="22" t="str">
        <x:v>公顷</x:v>
      </x:c>
      <x:c r="P545" s="22" t="str">
        <x:v>未提供（单期横截面）</x:v>
      </x:c>
      <x:c r="Q545" s="23" t="n">
        <x:v>1853</x:v>
      </x:c>
    </x:row>
    <x:row r="546">
      <x:c r="A546" s="30" t="n">
        <x:v>350200</x:v>
      </x:c>
      <x:c r="B546" s="22" t="str">
        <x:v>厦门市</x:v>
      </x:c>
      <x:c r="C546" s="31" t="n">
        <x:v>350213</x:v>
      </x:c>
      <x:c r="D546" s="22" t="str">
        <x:v>翔安区</x:v>
      </x:c>
      <x:c r="E546" s="22" t="str">
        <x:v>建设用地</x:v>
      </x:c>
      <x:c r="F546" s="22" t="str">
        <x:v>公共管理与公共服务用地</x:v>
      </x:c>
      <x:c r="G546" s="32" t="str">
        <x:v>08H2A</x:v>
      </x:c>
      <x:c r="H546" s="32" t="str">
        <x:v>08H2</x:v>
      </x:c>
      <x:c r="I546" s="22" t="str">
        <x:v>高教用地</x:v>
      </x:c>
      <x:c r="J546" s="22" t="str">
        <x:v>公共服务</x:v>
      </x:c>
      <x:c r="K546" s="32" t="str">
        <x:v>201</x:v>
      </x:c>
      <x:c r="L546" s="22" t="str">
        <x:v>城市范围</x:v>
      </x:c>
      <x:c r="M546" s="33" t="n">
        <x:v>3386612.19</x:v>
      </x:c>
      <x:c r="N546" s="33" t="n">
        <x:v>338.661219</x:v>
      </x:c>
      <x:c r="O546" s="22" t="str">
        <x:v>公顷</x:v>
      </x:c>
      <x:c r="P546" s="22" t="str">
        <x:v>未提供（单期横截面）</x:v>
      </x:c>
      <x:c r="Q546" s="23" t="n">
        <x:v>1854</x:v>
      </x:c>
    </x:row>
    <x:row r="547">
      <x:c r="A547" s="30" t="n">
        <x:v>350200</x:v>
      </x:c>
      <x:c r="B547" s="22" t="str">
        <x:v>厦门市</x:v>
      </x:c>
      <x:c r="C547" s="31" t="n">
        <x:v>350213</x:v>
      </x:c>
      <x:c r="D547" s="22" t="str">
        <x:v>翔安区</x:v>
      </x:c>
      <x:c r="E547" s="22" t="str">
        <x:v>建设用地</x:v>
      </x:c>
      <x:c r="F547" s="22" t="str">
        <x:v>特殊用地</x:v>
      </x:c>
      <x:c r="G547" s="32" t="str">
        <x:v>9</x:v>
      </x:c>
      <x:c r="H547" s="32" t="str">
        <x:v>9</x:v>
      </x:c>
      <x:c r="I547" s="22" t="str">
        <x:v>特殊用地</x:v>
      </x:c>
      <x:c r="J547" s="22" t="str">
        <x:v>其他建设</x:v>
      </x:c>
      <x:c r="K547" s="32" t="str">
        <x:v>201</x:v>
      </x:c>
      <x:c r="L547" s="22" t="str">
        <x:v>城市范围</x:v>
      </x:c>
      <x:c r="M547" s="33" t="n">
        <x:v>125198.28000000003</x:v>
      </x:c>
      <x:c r="N547" s="33" t="n">
        <x:v>12.519828000000002</x:v>
      </x:c>
      <x:c r="O547" s="22" t="str">
        <x:v>公顷</x:v>
      </x:c>
      <x:c r="P547" s="22" t="str">
        <x:v>未提供（单期横截面）</x:v>
      </x:c>
      <x:c r="Q547" s="23" t="n">
        <x:v>1855</x:v>
      </x:c>
    </x:row>
    <x:row r="548">
      <x:c r="A548" s="30" t="n">
        <x:v>350200</x:v>
      </x:c>
      <x:c r="B548" s="22" t="str">
        <x:v>厦门市</x:v>
      </x:c>
      <x:c r="C548" s="31" t="n">
        <x:v>350213</x:v>
      </x:c>
      <x:c r="D548" s="22" t="str">
        <x:v>翔安区</x:v>
      </x:c>
      <x:c r="E548" s="22" t="str">
        <x:v>建设用地</x:v>
      </x:c>
      <x:c r="F548" s="22" t="str">
        <x:v>交通运输用地</x:v>
      </x:c>
      <x:c r="G548" s="32" t="str">
        <x:v>1002</x:v>
      </x:c>
      <x:c r="H548" s="32" t="str">
        <x:v>1002</x:v>
      </x:c>
      <x:c r="I548" s="22" t="str">
        <x:v>轨道交通用地</x:v>
      </x:c>
      <x:c r="J548" s="22" t="str">
        <x:v>交通门户</x:v>
      </x:c>
      <x:c r="K548" s="32" t="str">
        <x:v>201</x:v>
      </x:c>
      <x:c r="L548" s="22" t="str">
        <x:v>城市范围</x:v>
      </x:c>
      <x:c r="M548" s="33" t="n">
        <x:v>203120.17</x:v>
      </x:c>
      <x:c r="N548" s="33" t="n">
        <x:v>20.312017</x:v>
      </x:c>
      <x:c r="O548" s="22" t="str">
        <x:v>公顷</x:v>
      </x:c>
      <x:c r="P548" s="22" t="str">
        <x:v>未提供（单期横截面）</x:v>
      </x:c>
      <x:c r="Q548" s="23" t="n">
        <x:v>1856</x:v>
      </x:c>
    </x:row>
    <x:row r="549">
      <x:c r="A549" s="30" t="n">
        <x:v>350200</x:v>
      </x:c>
      <x:c r="B549" s="22" t="str">
        <x:v>厦门市</x:v>
      </x:c>
      <x:c r="C549" s="31" t="n">
        <x:v>350213</x:v>
      </x:c>
      <x:c r="D549" s="22" t="str">
        <x:v>翔安区</x:v>
      </x:c>
      <x:c r="E549" s="22" t="str">
        <x:v>建设用地</x:v>
      </x:c>
      <x:c r="F549" s="22" t="str">
        <x:v>交通运输用地</x:v>
      </x:c>
      <x:c r="G549" s="32" t="str">
        <x:v>1003</x:v>
      </x:c>
      <x:c r="H549" s="32" t="str">
        <x:v>1003</x:v>
      </x:c>
      <x:c r="I549" s="22" t="str">
        <x:v>公路用地</x:v>
      </x:c>
      <x:c r="J549" s="22" t="str">
        <x:v>交通门户</x:v>
      </x:c>
      <x:c r="K549" s="32" t="str">
        <x:v>201</x:v>
      </x:c>
      <x:c r="L549" s="22" t="str">
        <x:v>城市范围</x:v>
      </x:c>
      <x:c r="M549" s="33" t="n">
        <x:v>60175.08</x:v>
      </x:c>
      <x:c r="N549" s="33" t="n">
        <x:v>6.017508</x:v>
      </x:c>
      <x:c r="O549" s="22" t="str">
        <x:v>公顷</x:v>
      </x:c>
      <x:c r="P549" s="22" t="str">
        <x:v>未提供（单期横截面）</x:v>
      </x:c>
      <x:c r="Q549" s="23" t="n">
        <x:v>1857</x:v>
      </x:c>
    </x:row>
    <x:row r="550">
      <x:c r="A550" s="30" t="n">
        <x:v>350200</x:v>
      </x:c>
      <x:c r="B550" s="22" t="str">
        <x:v>厦门市</x:v>
      </x:c>
      <x:c r="C550" s="31" t="n">
        <x:v>350213</x:v>
      </x:c>
      <x:c r="D550" s="22" t="str">
        <x:v>翔安区</x:v>
      </x:c>
      <x:c r="E550" s="22" t="str">
        <x:v>建设用地</x:v>
      </x:c>
      <x:c r="F550" s="22" t="str">
        <x:v>交通运输用地</x:v>
      </x:c>
      <x:c r="G550" s="32" t="str">
        <x:v>1004</x:v>
      </x:c>
      <x:c r="H550" s="32" t="str">
        <x:v>1004</x:v>
      </x:c>
      <x:c r="I550" s="22" t="str">
        <x:v>城镇村道路用地</x:v>
      </x:c>
      <x:c r="J550" s="22" t="str">
        <x:v>交通门户</x:v>
      </x:c>
      <x:c r="K550" s="32" t="str">
        <x:v>201</x:v>
      </x:c>
      <x:c r="L550" s="22" t="str">
        <x:v>城市范围</x:v>
      </x:c>
      <x:c r="M550" s="33" t="n">
        <x:v>2889454.889999998</x:v>
      </x:c>
      <x:c r="N550" s="33" t="n">
        <x:v>288.9454889999998</x:v>
      </x:c>
      <x:c r="O550" s="22" t="str">
        <x:v>公顷</x:v>
      </x:c>
      <x:c r="P550" s="22" t="str">
        <x:v>未提供（单期横截面）</x:v>
      </x:c>
      <x:c r="Q550" s="23" t="n">
        <x:v>1858</x:v>
      </x:c>
    </x:row>
    <x:row r="551">
      <x:c r="A551" s="30" t="n">
        <x:v>350200</x:v>
      </x:c>
      <x:c r="B551" s="22" t="str">
        <x:v>厦门市</x:v>
      </x:c>
      <x:c r="C551" s="31" t="n">
        <x:v>350213</x:v>
      </x:c>
      <x:c r="D551" s="22" t="str">
        <x:v>翔安区</x:v>
      </x:c>
      <x:c r="E551" s="22" t="str">
        <x:v>建设用地</x:v>
      </x:c>
      <x:c r="F551" s="22" t="str">
        <x:v>交通运输用地</x:v>
      </x:c>
      <x:c r="G551" s="32" t="str">
        <x:v>1005</x:v>
      </x:c>
      <x:c r="H551" s="32" t="str">
        <x:v>1005</x:v>
      </x:c>
      <x:c r="I551" s="22" t="str">
        <x:v>交通服务场站用地</x:v>
      </x:c>
      <x:c r="J551" s="22" t="str">
        <x:v>交通门户</x:v>
      </x:c>
      <x:c r="K551" s="32" t="str">
        <x:v>201</x:v>
      </x:c>
      <x:c r="L551" s="22" t="str">
        <x:v>城市范围</x:v>
      </x:c>
      <x:c r="M551" s="33" t="n">
        <x:v>533617.41</x:v>
      </x:c>
      <x:c r="N551" s="33" t="n">
        <x:v>53.361741</x:v>
      </x:c>
      <x:c r="O551" s="22" t="str">
        <x:v>公顷</x:v>
      </x:c>
      <x:c r="P551" s="22" t="str">
        <x:v>未提供（单期横截面）</x:v>
      </x:c>
      <x:c r="Q551" s="23" t="n">
        <x:v>1859</x:v>
      </x:c>
    </x:row>
    <x:row r="552">
      <x:c r="A552" s="30" t="n">
        <x:v>350200</x:v>
      </x:c>
      <x:c r="B552" s="22" t="str">
        <x:v>厦门市</x:v>
      </x:c>
      <x:c r="C552" s="31" t="n">
        <x:v>350213</x:v>
      </x:c>
      <x:c r="D552" s="22" t="str">
        <x:v>翔安区</x:v>
      </x:c>
      <x:c r="E552" s="22" t="str">
        <x:v>建设用地</x:v>
      </x:c>
      <x:c r="F552" s="22" t="str">
        <x:v>水域及水利设施</x:v>
      </x:c>
      <x:c r="G552" s="32" t="str">
        <x:v>1109</x:v>
      </x:c>
      <x:c r="H552" s="32" t="str">
        <x:v>1109</x:v>
      </x:c>
      <x:c r="I552" s="22" t="str">
        <x:v>水工建筑用地</x:v>
      </x:c>
      <x:c r="J552" s="22" t="str">
        <x:v>其他建设</x:v>
      </x:c>
      <x:c r="K552" s="32" t="str">
        <x:v>201</x:v>
      </x:c>
      <x:c r="L552" s="22" t="str">
        <x:v>城市范围</x:v>
      </x:c>
      <x:c r="M552" s="33" t="n">
        <x:v>11200.36</x:v>
      </x:c>
      <x:c r="N552" s="33" t="n">
        <x:v>1.120036</x:v>
      </x:c>
      <x:c r="O552" s="22" t="str">
        <x:v>公顷</x:v>
      </x:c>
      <x:c r="P552" s="22" t="str">
        <x:v>未提供（单期横截面）</x:v>
      </x:c>
      <x:c r="Q552" s="23" t="n">
        <x:v>1860</x:v>
      </x:c>
    </x:row>
    <x:row r="553">
      <x:c r="A553" s="30" t="n">
        <x:v>350200</x:v>
      </x:c>
      <x:c r="B553" s="22" t="str">
        <x:v>厦门市</x:v>
      </x:c>
      <x:c r="C553" s="31" t="n">
        <x:v>350213</x:v>
      </x:c>
      <x:c r="D553" s="22" t="str">
        <x:v>翔安区</x:v>
      </x:c>
      <x:c r="E553" s="22" t="str">
        <x:v>建设用地</x:v>
      </x:c>
      <x:c r="F553" s="22" t="str">
        <x:v>其他建设用地</x:v>
      </x:c>
      <x:c r="G553" s="32" t="str">
        <x:v>1201</x:v>
      </x:c>
      <x:c r="H553" s="32" t="str">
        <x:v>1201</x:v>
      </x:c>
      <x:c r="I553" s="22" t="str">
        <x:v>空闲地</x:v>
      </x:c>
      <x:c r="J553" s="22" t="str">
        <x:v>其他建设</x:v>
      </x:c>
      <x:c r="K553" s="32" t="str">
        <x:v>201</x:v>
      </x:c>
      <x:c r="L553" s="22" t="str">
        <x:v>城市范围</x:v>
      </x:c>
      <x:c r="M553" s="33" t="n">
        <x:v>4423864.64</x:v>
      </x:c>
      <x:c r="N553" s="33" t="n">
        <x:v>442.386464</x:v>
      </x:c>
      <x:c r="O553" s="22" t="str">
        <x:v>公顷</x:v>
      </x:c>
      <x:c r="P553" s="22" t="str">
        <x:v>未提供（单期横截面）</x:v>
      </x:c>
      <x:c r="Q553" s="23" t="n">
        <x:v>1861</x:v>
      </x:c>
    </x:row>
    <x:row r="554">
      <x:c r="A554" s="30" t="n">
        <x:v>350200</x:v>
      </x:c>
      <x:c r="B554" s="22" t="str">
        <x:v>厦门市</x:v>
      </x:c>
      <x:c r="C554" s="31" t="n">
        <x:v>350213</x:v>
      </x:c>
      <x:c r="D554" s="22" t="str">
        <x:v>翔安区</x:v>
      </x:c>
      <x:c r="E554" s="22" t="str">
        <x:v>建设用地</x:v>
      </x:c>
      <x:c r="F554" s="22" t="str">
        <x:v>工矿仓储用地</x:v>
      </x:c>
      <x:c r="G554" s="32" t="str">
        <x:v>601</x:v>
      </x:c>
      <x:c r="H554" s="32" t="str">
        <x:v>601</x:v>
      </x:c>
      <x:c r="I554" s="22" t="str">
        <x:v>工业用地</x:v>
      </x:c>
      <x:c r="J554" s="22" t="str">
        <x:v>产业功能</x:v>
      </x:c>
      <x:c r="K554" s="32" t="str">
        <x:v>201A</x:v>
      </x:c>
      <x:c r="L554" s="22" t="str">
        <x:v>城市独立工业用地</x:v>
      </x:c>
      <x:c r="M554" s="33" t="n">
        <x:v>433773.31999999983</x:v>
      </x:c>
      <x:c r="N554" s="33" t="n">
        <x:v>43.37733199999998</x:v>
      </x:c>
      <x:c r="O554" s="22" t="str">
        <x:v>公顷</x:v>
      </x:c>
      <x:c r="P554" s="22" t="str">
        <x:v>未提供（单期横截面）</x:v>
      </x:c>
      <x:c r="Q554" s="23" t="n">
        <x:v>1862</x:v>
      </x:c>
    </x:row>
    <x:row r="555">
      <x:c r="A555" s="30" t="n">
        <x:v>350200</x:v>
      </x:c>
      <x:c r="B555" s="22" t="str">
        <x:v>厦门市</x:v>
      </x:c>
      <x:c r="C555" s="31" t="n">
        <x:v>350213</x:v>
      </x:c>
      <x:c r="D555" s="22" t="str">
        <x:v>翔安区</x:v>
      </x:c>
      <x:c r="E555" s="22" t="str">
        <x:v>建设用地</x:v>
      </x:c>
      <x:c r="F555" s="22" t="str">
        <x:v>工矿仓储用地</x:v>
      </x:c>
      <x:c r="G555" s="32" t="str">
        <x:v>508</x:v>
      </x:c>
      <x:c r="H555" s="32" t="str">
        <x:v>508</x:v>
      </x:c>
      <x:c r="I555" s="22" t="str">
        <x:v>物流仓储用地</x:v>
      </x:c>
      <x:c r="J555" s="22" t="str">
        <x:v>产业功能</x:v>
      </x:c>
      <x:c r="K555" s="32" t="str">
        <x:v>202</x:v>
      </x:c>
      <x:c r="L555" s="22" t="str">
        <x:v>建制镇范围</x:v>
      </x:c>
      <x:c r="M555" s="33" t="n">
        <x:v>90654.10000000002</x:v>
      </x:c>
      <x:c r="N555" s="33" t="n">
        <x:v>9.065410000000002</x:v>
      </x:c>
      <x:c r="O555" s="22" t="str">
        <x:v>公顷</x:v>
      </x:c>
      <x:c r="P555" s="22" t="str">
        <x:v>未提供（单期横截面）</x:v>
      </x:c>
      <x:c r="Q555" s="23" t="n">
        <x:v>1863</x:v>
      </x:c>
    </x:row>
    <x:row r="556">
      <x:c r="A556" s="30" t="n">
        <x:v>350200</x:v>
      </x:c>
      <x:c r="B556" s="22" t="str">
        <x:v>厦门市</x:v>
      </x:c>
      <x:c r="C556" s="31" t="n">
        <x:v>350213</x:v>
      </x:c>
      <x:c r="D556" s="22" t="str">
        <x:v>翔安区</x:v>
      </x:c>
      <x:c r="E556" s="22" t="str">
        <x:v>建设用地</x:v>
      </x:c>
      <x:c r="F556" s="22" t="str">
        <x:v>商业服务业用地</x:v>
      </x:c>
      <x:c r="G556" s="32" t="str">
        <x:v>05H1</x:v>
      </x:c>
      <x:c r="H556" s="32" t="str">
        <x:v>05H1</x:v>
      </x:c>
      <x:c r="I556" s="22" t="str">
        <x:v>商业服务业设施用地</x:v>
      </x:c>
      <x:c r="J556" s="22" t="str">
        <x:v>商业服务</x:v>
      </x:c>
      <x:c r="K556" s="32" t="str">
        <x:v>202</x:v>
      </x:c>
      <x:c r="L556" s="22" t="str">
        <x:v>建制镇范围</x:v>
      </x:c>
      <x:c r="M556" s="33" t="n">
        <x:v>217466.81000000003</x:v>
      </x:c>
      <x:c r="N556" s="33" t="n">
        <x:v>21.746681000000002</x:v>
      </x:c>
      <x:c r="O556" s="22" t="str">
        <x:v>公顷</x:v>
      </x:c>
      <x:c r="P556" s="22" t="str">
        <x:v>未提供（单期横截面）</x:v>
      </x:c>
      <x:c r="Q556" s="23" t="n">
        <x:v>1864</x:v>
      </x:c>
    </x:row>
    <x:row r="557">
      <x:c r="A557" s="30" t="n">
        <x:v>350200</x:v>
      </x:c>
      <x:c r="B557" s="22" t="str">
        <x:v>厦门市</x:v>
      </x:c>
      <x:c r="C557" s="31" t="n">
        <x:v>350213</x:v>
      </x:c>
      <x:c r="D557" s="22" t="str">
        <x:v>翔安区</x:v>
      </x:c>
      <x:c r="E557" s="22" t="str">
        <x:v>建设用地</x:v>
      </x:c>
      <x:c r="F557" s="22" t="str">
        <x:v>工矿仓储用地</x:v>
      </x:c>
      <x:c r="G557" s="32" t="str">
        <x:v>601</x:v>
      </x:c>
      <x:c r="H557" s="32" t="str">
        <x:v>601</x:v>
      </x:c>
      <x:c r="I557" s="22" t="str">
        <x:v>工业用地</x:v>
      </x:c>
      <x:c r="J557" s="22" t="str">
        <x:v>产业功能</x:v>
      </x:c>
      <x:c r="K557" s="32" t="str">
        <x:v>202</x:v>
      </x:c>
      <x:c r="L557" s="22" t="str">
        <x:v>建制镇范围</x:v>
      </x:c>
      <x:c r="M557" s="33" t="n">
        <x:v>2734741.6799999983</x:v>
      </x:c>
      <x:c r="N557" s="33" t="n">
        <x:v>273.47416799999985</x:v>
      </x:c>
      <x:c r="O557" s="22" t="str">
        <x:v>公顷</x:v>
      </x:c>
      <x:c r="P557" s="22" t="str">
        <x:v>未提供（单期横截面）</x:v>
      </x:c>
      <x:c r="Q557" s="23" t="n">
        <x:v>1865</x:v>
      </x:c>
    </x:row>
    <x:row r="558">
      <x:c r="A558" s="30" t="n">
        <x:v>350200</x:v>
      </x:c>
      <x:c r="B558" s="22" t="str">
        <x:v>厦门市</x:v>
      </x:c>
      <x:c r="C558" s="31" t="n">
        <x:v>350213</x:v>
      </x:c>
      <x:c r="D558" s="22" t="str">
        <x:v>翔安区</x:v>
      </x:c>
      <x:c r="E558" s="22" t="str">
        <x:v>建设用地</x:v>
      </x:c>
      <x:c r="F558" s="22" t="str">
        <x:v>居住用地</x:v>
      </x:c>
      <x:c r="G558" s="32" t="str">
        <x:v>701</x:v>
      </x:c>
      <x:c r="H558" s="32" t="str">
        <x:v>701</x:v>
      </x:c>
      <x:c r="I558" s="22" t="str">
        <x:v>城镇住宅用地</x:v>
      </x:c>
      <x:c r="J558" s="22" t="str">
        <x:v>居住功能</x:v>
      </x:c>
      <x:c r="K558" s="32" t="str">
        <x:v>202</x:v>
      </x:c>
      <x:c r="L558" s="22" t="str">
        <x:v>建制镇范围</x:v>
      </x:c>
      <x:c r="M558" s="33" t="n">
        <x:v>1579935.8400000005</x:v>
      </x:c>
      <x:c r="N558" s="33" t="n">
        <x:v>157.99358400000006</x:v>
      </x:c>
      <x:c r="O558" s="22" t="str">
        <x:v>公顷</x:v>
      </x:c>
      <x:c r="P558" s="22" t="str">
        <x:v>未提供（单期横截面）</x:v>
      </x:c>
      <x:c r="Q558" s="23" t="n">
        <x:v>1866</x:v>
      </x:c>
    </x:row>
    <x:row r="559">
      <x:c r="A559" s="30" t="n">
        <x:v>350200</x:v>
      </x:c>
      <x:c r="B559" s="22" t="str">
        <x:v>厦门市</x:v>
      </x:c>
      <x:c r="C559" s="31" t="n">
        <x:v>350213</x:v>
      </x:c>
      <x:c r="D559" s="22" t="str">
        <x:v>翔安区</x:v>
      </x:c>
      <x:c r="E559" s="22" t="str">
        <x:v>建设用地</x:v>
      </x:c>
      <x:c r="F559" s="22" t="str">
        <x:v>居住用地</x:v>
      </x:c>
      <x:c r="G559" s="32" t="str">
        <x:v>702</x:v>
      </x:c>
      <x:c r="H559" s="32" t="str">
        <x:v>702</x:v>
      </x:c>
      <x:c r="I559" s="22" t="str">
        <x:v>农村宅基地</x:v>
      </x:c>
      <x:c r="J559" s="22" t="str">
        <x:v>居住功能</x:v>
      </x:c>
      <x:c r="K559" s="32" t="str">
        <x:v>202</x:v>
      </x:c>
      <x:c r="L559" s="22" t="str">
        <x:v>建制镇范围</x:v>
      </x:c>
      <x:c r="M559" s="33" t="n">
        <x:v>4086451.250000001</x:v>
      </x:c>
      <x:c r="N559" s="33" t="n">
        <x:v>408.6451250000001</x:v>
      </x:c>
      <x:c r="O559" s="22" t="str">
        <x:v>公顷</x:v>
      </x:c>
      <x:c r="P559" s="22" t="str">
        <x:v>未提供（单期横截面）</x:v>
      </x:c>
      <x:c r="Q559" s="23" t="n">
        <x:v>1867</x:v>
      </x:c>
    </x:row>
    <x:row r="560">
      <x:c r="A560" s="30" t="n">
        <x:v>350200</x:v>
      </x:c>
      <x:c r="B560" s="22" t="str">
        <x:v>厦门市</x:v>
      </x:c>
      <x:c r="C560" s="31" t="n">
        <x:v>350213</x:v>
      </x:c>
      <x:c r="D560" s="22" t="str">
        <x:v>翔安区</x:v>
      </x:c>
      <x:c r="E560" s="22" t="str">
        <x:v>建设用地</x:v>
      </x:c>
      <x:c r="F560" s="22" t="str">
        <x:v>公用设施用地</x:v>
      </x:c>
      <x:c r="G560" s="32" t="str">
        <x:v>809</x:v>
      </x:c>
      <x:c r="H560" s="32" t="str">
        <x:v>809</x:v>
      </x:c>
      <x:c r="I560" s="22" t="str">
        <x:v>公用设施用地</x:v>
      </x:c>
      <x:c r="J560" s="22" t="str">
        <x:v>其他建设</x:v>
      </x:c>
      <x:c r="K560" s="32" t="str">
        <x:v>202</x:v>
      </x:c>
      <x:c r="L560" s="22" t="str">
        <x:v>建制镇范围</x:v>
      </x:c>
      <x:c r="M560" s="33" t="n">
        <x:v>941683.2299999997</x:v>
      </x:c>
      <x:c r="N560" s="33" t="n">
        <x:v>94.16832299999997</x:v>
      </x:c>
      <x:c r="O560" s="22" t="str">
        <x:v>公顷</x:v>
      </x:c>
      <x:c r="P560" s="22" t="str">
        <x:v>未提供（单期横截面）</x:v>
      </x:c>
      <x:c r="Q560" s="23" t="n">
        <x:v>1868</x:v>
      </x:c>
    </x:row>
    <x:row r="561">
      <x:c r="A561" s="30" t="n">
        <x:v>350200</x:v>
      </x:c>
      <x:c r="B561" s="22" t="str">
        <x:v>厦门市</x:v>
      </x:c>
      <x:c r="C561" s="31" t="n">
        <x:v>350213</x:v>
      </x:c>
      <x:c r="D561" s="22" t="str">
        <x:v>翔安区</x:v>
      </x:c>
      <x:c r="E561" s="22" t="str">
        <x:v>建设用地</x:v>
      </x:c>
      <x:c r="F561" s="22" t="str">
        <x:v>绿地与广场用地</x:v>
      </x:c>
      <x:c r="G561" s="32" t="str">
        <x:v>810</x:v>
      </x:c>
      <x:c r="H561" s="32" t="str">
        <x:v>810</x:v>
      </x:c>
      <x:c r="I561" s="22" t="str">
        <x:v>公园与绿地</x:v>
      </x:c>
      <x:c r="J561" s="22" t="str">
        <x:v>公共空间</x:v>
      </x:c>
      <x:c r="K561" s="32" t="str">
        <x:v>202</x:v>
      </x:c>
      <x:c r="L561" s="22" t="str">
        <x:v>建制镇范围</x:v>
      </x:c>
      <x:c r="M561" s="33" t="n">
        <x:v>235473.46999999997</x:v>
      </x:c>
      <x:c r="N561" s="33" t="n">
        <x:v>23.547347</x:v>
      </x:c>
      <x:c r="O561" s="22" t="str">
        <x:v>公顷</x:v>
      </x:c>
      <x:c r="P561" s="22" t="str">
        <x:v>未提供（单期横截面）</x:v>
      </x:c>
      <x:c r="Q561" s="23" t="n">
        <x:v>1869</x:v>
      </x:c>
    </x:row>
    <x:row r="562">
      <x:c r="A562" s="30" t="n">
        <x:v>350200</x:v>
      </x:c>
      <x:c r="B562" s="22" t="str">
        <x:v>厦门市</x:v>
      </x:c>
      <x:c r="C562" s="31" t="n">
        <x:v>350213</x:v>
      </x:c>
      <x:c r="D562" s="22" t="str">
        <x:v>翔安区</x:v>
      </x:c>
      <x:c r="E562" s="22" t="str">
        <x:v>建设用地</x:v>
      </x:c>
      <x:c r="F562" s="22" t="str">
        <x:v>绿地与广场用地</x:v>
      </x:c>
      <x:c r="G562" s="32" t="str">
        <x:v>0810A</x:v>
      </x:c>
      <x:c r="H562" s="32" t="str">
        <x:v>0810</x:v>
      </x:c>
      <x:c r="I562" s="22" t="str">
        <x:v>广场用地</x:v>
      </x:c>
      <x:c r="J562" s="22" t="str">
        <x:v>公共空间</x:v>
      </x:c>
      <x:c r="K562" s="32" t="str">
        <x:v>202</x:v>
      </x:c>
      <x:c r="L562" s="22" t="str">
        <x:v>建制镇范围</x:v>
      </x:c>
      <x:c r="M562" s="33" t="n">
        <x:v>39560.51</x:v>
      </x:c>
      <x:c r="N562" s="33" t="n">
        <x:v>3.956051</x:v>
      </x:c>
      <x:c r="O562" s="22" t="str">
        <x:v>公顷</x:v>
      </x:c>
      <x:c r="P562" s="22" t="str">
        <x:v>未提供（单期横截面）</x:v>
      </x:c>
      <x:c r="Q562" s="23" t="n">
        <x:v>1870</x:v>
      </x:c>
    </x:row>
    <x:row r="563">
      <x:c r="A563" s="30" t="n">
        <x:v>350200</x:v>
      </x:c>
      <x:c r="B563" s="22" t="str">
        <x:v>厦门市</x:v>
      </x:c>
      <x:c r="C563" s="31" t="n">
        <x:v>350213</x:v>
      </x:c>
      <x:c r="D563" s="22" t="str">
        <x:v>翔安区</x:v>
      </x:c>
      <x:c r="E563" s="22" t="str">
        <x:v>建设用地</x:v>
      </x:c>
      <x:c r="F563" s="22" t="str">
        <x:v>公共管理与公共服务用地</x:v>
      </x:c>
      <x:c r="G563" s="32" t="str">
        <x:v>08H1</x:v>
      </x:c>
      <x:c r="H563" s="32" t="str">
        <x:v>08H1</x:v>
      </x:c>
      <x:c r="I563" s="22" t="str">
        <x:v>机关团体新闻出版用地</x:v>
      </x:c>
      <x:c r="J563" s="22" t="str">
        <x:v>公共服务</x:v>
      </x:c>
      <x:c r="K563" s="32" t="str">
        <x:v>202</x:v>
      </x:c>
      <x:c r="L563" s="22" t="str">
        <x:v>建制镇范围</x:v>
      </x:c>
      <x:c r="M563" s="33" t="n">
        <x:v>95131.19</x:v>
      </x:c>
      <x:c r="N563" s="33" t="n">
        <x:v>9.513119</x:v>
      </x:c>
      <x:c r="O563" s="22" t="str">
        <x:v>公顷</x:v>
      </x:c>
      <x:c r="P563" s="22" t="str">
        <x:v>未提供（单期横截面）</x:v>
      </x:c>
      <x:c r="Q563" s="23" t="n">
        <x:v>1871</x:v>
      </x:c>
    </x:row>
    <x:row r="564">
      <x:c r="A564" s="30" t="n">
        <x:v>350200</x:v>
      </x:c>
      <x:c r="B564" s="22" t="str">
        <x:v>厦门市</x:v>
      </x:c>
      <x:c r="C564" s="31" t="n">
        <x:v>350213</x:v>
      </x:c>
      <x:c r="D564" s="22" t="str">
        <x:v>翔安区</x:v>
      </x:c>
      <x:c r="E564" s="22" t="str">
        <x:v>建设用地</x:v>
      </x:c>
      <x:c r="F564" s="22" t="str">
        <x:v>公共管理与公共服务用地</x:v>
      </x:c>
      <x:c r="G564" s="32" t="str">
        <x:v>08H2</x:v>
      </x:c>
      <x:c r="H564" s="32" t="str">
        <x:v>08H2</x:v>
      </x:c>
      <x:c r="I564" s="22" t="str">
        <x:v>科教文卫用地</x:v>
      </x:c>
      <x:c r="J564" s="22" t="str">
        <x:v>公共服务</x:v>
      </x:c>
      <x:c r="K564" s="32" t="str">
        <x:v>202</x:v>
      </x:c>
      <x:c r="L564" s="22" t="str">
        <x:v>建制镇范围</x:v>
      </x:c>
      <x:c r="M564" s="33" t="n">
        <x:v>339727.07</x:v>
      </x:c>
      <x:c r="N564" s="33" t="n">
        <x:v>33.972707</x:v>
      </x:c>
      <x:c r="O564" s="22" t="str">
        <x:v>公顷</x:v>
      </x:c>
      <x:c r="P564" s="22" t="str">
        <x:v>未提供（单期横截面）</x:v>
      </x:c>
      <x:c r="Q564" s="23" t="n">
        <x:v>1872</x:v>
      </x:c>
    </x:row>
    <x:row r="565">
      <x:c r="A565" s="30" t="n">
        <x:v>350200</x:v>
      </x:c>
      <x:c r="B565" s="22" t="str">
        <x:v>厦门市</x:v>
      </x:c>
      <x:c r="C565" s="31" t="n">
        <x:v>350213</x:v>
      </x:c>
      <x:c r="D565" s="22" t="str">
        <x:v>翔安区</x:v>
      </x:c>
      <x:c r="E565" s="22" t="str">
        <x:v>建设用地</x:v>
      </x:c>
      <x:c r="F565" s="22" t="str">
        <x:v>特殊用地</x:v>
      </x:c>
      <x:c r="G565" s="32" t="str">
        <x:v>9</x:v>
      </x:c>
      <x:c r="H565" s="32" t="str">
        <x:v>9</x:v>
      </x:c>
      <x:c r="I565" s="22" t="str">
        <x:v>特殊用地</x:v>
      </x:c>
      <x:c r="J565" s="22" t="str">
        <x:v>其他建设</x:v>
      </x:c>
      <x:c r="K565" s="32" t="str">
        <x:v>202</x:v>
      </x:c>
      <x:c r="L565" s="22" t="str">
        <x:v>建制镇范围</x:v>
      </x:c>
      <x:c r="M565" s="33" t="n">
        <x:v>386805.14</x:v>
      </x:c>
      <x:c r="N565" s="33" t="n">
        <x:v>38.680514</x:v>
      </x:c>
      <x:c r="O565" s="22" t="str">
        <x:v>公顷</x:v>
      </x:c>
      <x:c r="P565" s="22" t="str">
        <x:v>未提供（单期横截面）</x:v>
      </x:c>
      <x:c r="Q565" s="23" t="n">
        <x:v>1873</x:v>
      </x:c>
    </x:row>
    <x:row r="566">
      <x:c r="A566" s="30" t="n">
        <x:v>350200</x:v>
      </x:c>
      <x:c r="B566" s="22" t="str">
        <x:v>厦门市</x:v>
      </x:c>
      <x:c r="C566" s="31" t="n">
        <x:v>350213</x:v>
      </x:c>
      <x:c r="D566" s="22" t="str">
        <x:v>翔安区</x:v>
      </x:c>
      <x:c r="E566" s="22" t="str">
        <x:v>建设用地</x:v>
      </x:c>
      <x:c r="F566" s="22" t="str">
        <x:v>交通运输用地</x:v>
      </x:c>
      <x:c r="G566" s="32" t="str">
        <x:v>1004</x:v>
      </x:c>
      <x:c r="H566" s="32" t="str">
        <x:v>1004</x:v>
      </x:c>
      <x:c r="I566" s="22" t="str">
        <x:v>城镇村道路用地</x:v>
      </x:c>
      <x:c r="J566" s="22" t="str">
        <x:v>交通门户</x:v>
      </x:c>
      <x:c r="K566" s="32" t="str">
        <x:v>202</x:v>
      </x:c>
      <x:c r="L566" s="22" t="str">
        <x:v>建制镇范围</x:v>
      </x:c>
      <x:c r="M566" s="33" t="n">
        <x:v>419585.3299999996</x:v>
      </x:c>
      <x:c r="N566" s="33" t="n">
        <x:v>41.95853299999996</x:v>
      </x:c>
      <x:c r="O566" s="22" t="str">
        <x:v>公顷</x:v>
      </x:c>
      <x:c r="P566" s="22" t="str">
        <x:v>未提供（单期横截面）</x:v>
      </x:c>
      <x:c r="Q566" s="23" t="n">
        <x:v>1874</x:v>
      </x:c>
    </x:row>
    <x:row r="567">
      <x:c r="A567" s="30" t="n">
        <x:v>350200</x:v>
      </x:c>
      <x:c r="B567" s="22" t="str">
        <x:v>厦门市</x:v>
      </x:c>
      <x:c r="C567" s="31" t="n">
        <x:v>350213</x:v>
      </x:c>
      <x:c r="D567" s="22" t="str">
        <x:v>翔安区</x:v>
      </x:c>
      <x:c r="E567" s="22" t="str">
        <x:v>建设用地</x:v>
      </x:c>
      <x:c r="F567" s="22" t="str">
        <x:v>交通运输用地</x:v>
      </x:c>
      <x:c r="G567" s="32" t="str">
        <x:v>1005</x:v>
      </x:c>
      <x:c r="H567" s="32" t="str">
        <x:v>1005</x:v>
      </x:c>
      <x:c r="I567" s="22" t="str">
        <x:v>交通服务场站用地</x:v>
      </x:c>
      <x:c r="J567" s="22" t="str">
        <x:v>交通门户</x:v>
      </x:c>
      <x:c r="K567" s="32" t="str">
        <x:v>202</x:v>
      </x:c>
      <x:c r="L567" s="22" t="str">
        <x:v>建制镇范围</x:v>
      </x:c>
      <x:c r="M567" s="33" t="n">
        <x:v>201926.25000000006</x:v>
      </x:c>
      <x:c r="N567" s="33" t="n">
        <x:v>20.192625000000007</x:v>
      </x:c>
      <x:c r="O567" s="22" t="str">
        <x:v>公顷</x:v>
      </x:c>
      <x:c r="P567" s="22" t="str">
        <x:v>未提供（单期横截面）</x:v>
      </x:c>
      <x:c r="Q567" s="23" t="n">
        <x:v>1875</x:v>
      </x:c>
    </x:row>
    <x:row r="568">
      <x:c r="A568" s="30" t="n">
        <x:v>350200</x:v>
      </x:c>
      <x:c r="B568" s="22" t="str">
        <x:v>厦门市</x:v>
      </x:c>
      <x:c r="C568" s="31" t="n">
        <x:v>350213</x:v>
      </x:c>
      <x:c r="D568" s="22" t="str">
        <x:v>翔安区</x:v>
      </x:c>
      <x:c r="E568" s="22" t="str">
        <x:v>建设用地</x:v>
      </x:c>
      <x:c r="F568" s="22" t="str">
        <x:v>工矿仓储用地</x:v>
      </x:c>
      <x:c r="G568" s="32" t="str">
        <x:v>601</x:v>
      </x:c>
      <x:c r="H568" s="32" t="str">
        <x:v>601</x:v>
      </x:c>
      <x:c r="I568" s="22" t="str">
        <x:v>工业用地</x:v>
      </x:c>
      <x:c r="J568" s="22" t="str">
        <x:v>产业功能</x:v>
      </x:c>
      <x:c r="K568" s="32" t="str">
        <x:v>202A</x:v>
      </x:c>
      <x:c r="L568" s="22" t="str">
        <x:v>建制镇独立工业用地</x:v>
      </x:c>
      <x:c r="M568" s="33" t="n">
        <x:v>183918.62999999995</x:v>
      </x:c>
      <x:c r="N568" s="33" t="n">
        <x:v>18.391862999999994</x:v>
      </x:c>
      <x:c r="O568" s="22" t="str">
        <x:v>公顷</x:v>
      </x:c>
      <x:c r="P568" s="22" t="str">
        <x:v>未提供（单期横截面）</x:v>
      </x:c>
      <x:c r="Q568" s="23" t="n">
        <x:v>1876</x:v>
      </x:c>
    </x:row>
    <x:row r="569">
      <x:c r="A569" s="30" t="n">
        <x:v>350200</x:v>
      </x:c>
      <x:c r="B569" s="22" t="str">
        <x:v>厦门市</x:v>
      </x:c>
      <x:c r="C569" s="31" t="n">
        <x:v>350213</x:v>
      </x:c>
      <x:c r="D569" s="22" t="str">
        <x:v>翔安区</x:v>
      </x:c>
      <x:c r="E569" s="22" t="str">
        <x:v>建设用地</x:v>
      </x:c>
      <x:c r="F569" s="22" t="str">
        <x:v>工矿仓储用地</x:v>
      </x:c>
      <x:c r="G569" s="32" t="str">
        <x:v>508</x:v>
      </x:c>
      <x:c r="H569" s="32" t="str">
        <x:v>508</x:v>
      </x:c>
      <x:c r="I569" s="22" t="str">
        <x:v>物流仓储用地</x:v>
      </x:c>
      <x:c r="J569" s="22" t="str">
        <x:v>产业功能</x:v>
      </x:c>
      <x:c r="K569" s="32" t="str">
        <x:v>203</x:v>
      </x:c>
      <x:c r="L569" s="22" t="str">
        <x:v>村庄范围</x:v>
      </x:c>
      <x:c r="M569" s="33" t="n">
        <x:v>275871.93000000005</x:v>
      </x:c>
      <x:c r="N569" s="33" t="n">
        <x:v>27.587193000000006</x:v>
      </x:c>
      <x:c r="O569" s="22" t="str">
        <x:v>公顷</x:v>
      </x:c>
      <x:c r="P569" s="22" t="str">
        <x:v>未提供（单期横截面）</x:v>
      </x:c>
      <x:c r="Q569" s="23" t="n">
        <x:v>1877</x:v>
      </x:c>
    </x:row>
    <x:row r="570">
      <x:c r="A570" s="30" t="n">
        <x:v>350200</x:v>
      </x:c>
      <x:c r="B570" s="22" t="str">
        <x:v>厦门市</x:v>
      </x:c>
      <x:c r="C570" s="31" t="n">
        <x:v>350213</x:v>
      </x:c>
      <x:c r="D570" s="22" t="str">
        <x:v>翔安区</x:v>
      </x:c>
      <x:c r="E570" s="22" t="str">
        <x:v>建设用地</x:v>
      </x:c>
      <x:c r="F570" s="22" t="str">
        <x:v>商业服务业用地</x:v>
      </x:c>
      <x:c r="G570" s="32" t="str">
        <x:v>05H1</x:v>
      </x:c>
      <x:c r="H570" s="32" t="str">
        <x:v>05H1</x:v>
      </x:c>
      <x:c r="I570" s="22" t="str">
        <x:v>商业服务业设施用地</x:v>
      </x:c>
      <x:c r="J570" s="22" t="str">
        <x:v>商业服务</x:v>
      </x:c>
      <x:c r="K570" s="32" t="str">
        <x:v>203</x:v>
      </x:c>
      <x:c r="L570" s="22" t="str">
        <x:v>村庄范围</x:v>
      </x:c>
      <x:c r="M570" s="33" t="n">
        <x:v>709001.9899999999</x:v>
      </x:c>
      <x:c r="N570" s="33" t="n">
        <x:v>70.90019899999999</x:v>
      </x:c>
      <x:c r="O570" s="22" t="str">
        <x:v>公顷</x:v>
      </x:c>
      <x:c r="P570" s="22" t="str">
        <x:v>未提供（单期横截面）</x:v>
      </x:c>
      <x:c r="Q570" s="23" t="n">
        <x:v>1878</x:v>
      </x:c>
    </x:row>
    <x:row r="571">
      <x:c r="A571" s="30" t="n">
        <x:v>350200</x:v>
      </x:c>
      <x:c r="B571" s="22" t="str">
        <x:v>厦门市</x:v>
      </x:c>
      <x:c r="C571" s="31" t="n">
        <x:v>350213</x:v>
      </x:c>
      <x:c r="D571" s="22" t="str">
        <x:v>翔安区</x:v>
      </x:c>
      <x:c r="E571" s="22" t="str">
        <x:v>建设用地</x:v>
      </x:c>
      <x:c r="F571" s="22" t="str">
        <x:v>工矿仓储用地</x:v>
      </x:c>
      <x:c r="G571" s="32" t="str">
        <x:v>601</x:v>
      </x:c>
      <x:c r="H571" s="32" t="str">
        <x:v>601</x:v>
      </x:c>
      <x:c r="I571" s="22" t="str">
        <x:v>工业用地</x:v>
      </x:c>
      <x:c r="J571" s="22" t="str">
        <x:v>产业功能</x:v>
      </x:c>
      <x:c r="K571" s="32" t="str">
        <x:v>203</x:v>
      </x:c>
      <x:c r="L571" s="22" t="str">
        <x:v>村庄范围</x:v>
      </x:c>
      <x:c r="M571" s="33" t="n">
        <x:v>1860111.1899999995</x:v>
      </x:c>
      <x:c r="N571" s="33" t="n">
        <x:v>186.01111899999995</x:v>
      </x:c>
      <x:c r="O571" s="22" t="str">
        <x:v>公顷</x:v>
      </x:c>
      <x:c r="P571" s="22" t="str">
        <x:v>未提供（单期横截面）</x:v>
      </x:c>
      <x:c r="Q571" s="23" t="n">
        <x:v>1879</x:v>
      </x:c>
    </x:row>
    <x:row r="572">
      <x:c r="A572" s="30" t="n">
        <x:v>350200</x:v>
      </x:c>
      <x:c r="B572" s="22" t="str">
        <x:v>厦门市</x:v>
      </x:c>
      <x:c r="C572" s="31" t="n">
        <x:v>350213</x:v>
      </x:c>
      <x:c r="D572" s="22" t="str">
        <x:v>翔安区</x:v>
      </x:c>
      <x:c r="E572" s="22" t="str">
        <x:v>建设用地</x:v>
      </x:c>
      <x:c r="F572" s="22" t="str">
        <x:v>居住用地</x:v>
      </x:c>
      <x:c r="G572" s="32" t="str">
        <x:v>701</x:v>
      </x:c>
      <x:c r="H572" s="32" t="str">
        <x:v>701</x:v>
      </x:c>
      <x:c r="I572" s="22" t="str">
        <x:v>城镇住宅用地</x:v>
      </x:c>
      <x:c r="J572" s="22" t="str">
        <x:v>居住功能</x:v>
      </x:c>
      <x:c r="K572" s="32" t="str">
        <x:v>203</x:v>
      </x:c>
      <x:c r="L572" s="22" t="str">
        <x:v>村庄范围</x:v>
      </x:c>
      <x:c r="M572" s="33" t="n">
        <x:v>147092.19000000003</x:v>
      </x:c>
      <x:c r="N572" s="33" t="n">
        <x:v>14.709219000000003</x:v>
      </x:c>
      <x:c r="O572" s="22" t="str">
        <x:v>公顷</x:v>
      </x:c>
      <x:c r="P572" s="22" t="str">
        <x:v>未提供（单期横截面）</x:v>
      </x:c>
      <x:c r="Q572" s="23" t="n">
        <x:v>1880</x:v>
      </x:c>
    </x:row>
    <x:row r="573">
      <x:c r="A573" s="30" t="n">
        <x:v>350200</x:v>
      </x:c>
      <x:c r="B573" s="22" t="str">
        <x:v>厦门市</x:v>
      </x:c>
      <x:c r="C573" s="31" t="n">
        <x:v>350213</x:v>
      </x:c>
      <x:c r="D573" s="22" t="str">
        <x:v>翔安区</x:v>
      </x:c>
      <x:c r="E573" s="22" t="str">
        <x:v>建设用地</x:v>
      </x:c>
      <x:c r="F573" s="22" t="str">
        <x:v>居住用地</x:v>
      </x:c>
      <x:c r="G573" s="32" t="str">
        <x:v>702</x:v>
      </x:c>
      <x:c r="H573" s="32" t="str">
        <x:v>702</x:v>
      </x:c>
      <x:c r="I573" s="22" t="str">
        <x:v>农村宅基地</x:v>
      </x:c>
      <x:c r="J573" s="22" t="str">
        <x:v>居住功能</x:v>
      </x:c>
      <x:c r="K573" s="32" t="str">
        <x:v>203</x:v>
      </x:c>
      <x:c r="L573" s="22" t="str">
        <x:v>村庄范围</x:v>
      </x:c>
      <x:c r="M573" s="33" t="n">
        <x:v>17777830.22999998</x:v>
      </x:c>
      <x:c r="N573" s="33" t="n">
        <x:v>1777.7830229999981</x:v>
      </x:c>
      <x:c r="O573" s="22" t="str">
        <x:v>公顷</x:v>
      </x:c>
      <x:c r="P573" s="22" t="str">
        <x:v>未提供（单期横截面）</x:v>
      </x:c>
      <x:c r="Q573" s="23" t="n">
        <x:v>1881</x:v>
      </x:c>
    </x:row>
    <x:row r="574">
      <x:c r="A574" s="30" t="n">
        <x:v>350200</x:v>
      </x:c>
      <x:c r="B574" s="22" t="str">
        <x:v>厦门市</x:v>
      </x:c>
      <x:c r="C574" s="31" t="n">
        <x:v>350213</x:v>
      </x:c>
      <x:c r="D574" s="22" t="str">
        <x:v>翔安区</x:v>
      </x:c>
      <x:c r="E574" s="22" t="str">
        <x:v>建设用地</x:v>
      </x:c>
      <x:c r="F574" s="22" t="str">
        <x:v>公用设施用地</x:v>
      </x:c>
      <x:c r="G574" s="32" t="str">
        <x:v>809</x:v>
      </x:c>
      <x:c r="H574" s="32" t="str">
        <x:v>809</x:v>
      </x:c>
      <x:c r="I574" s="22" t="str">
        <x:v>公用设施用地</x:v>
      </x:c>
      <x:c r="J574" s="22" t="str">
        <x:v>其他建设</x:v>
      </x:c>
      <x:c r="K574" s="32" t="str">
        <x:v>203</x:v>
      </x:c>
      <x:c r="L574" s="22" t="str">
        <x:v>村庄范围</x:v>
      </x:c>
      <x:c r="M574" s="33" t="n">
        <x:v>223423.62999999995</x:v>
      </x:c>
      <x:c r="N574" s="33" t="n">
        <x:v>22.342362999999995</x:v>
      </x:c>
      <x:c r="O574" s="22" t="str">
        <x:v>公顷</x:v>
      </x:c>
      <x:c r="P574" s="22" t="str">
        <x:v>未提供（单期横截面）</x:v>
      </x:c>
      <x:c r="Q574" s="23" t="n">
        <x:v>1882</x:v>
      </x:c>
    </x:row>
    <x:row r="575">
      <x:c r="A575" s="30" t="n">
        <x:v>350200</x:v>
      </x:c>
      <x:c r="B575" s="22" t="str">
        <x:v>厦门市</x:v>
      </x:c>
      <x:c r="C575" s="31" t="n">
        <x:v>350213</x:v>
      </x:c>
      <x:c r="D575" s="22" t="str">
        <x:v>翔安区</x:v>
      </x:c>
      <x:c r="E575" s="22" t="str">
        <x:v>建设用地</x:v>
      </x:c>
      <x:c r="F575" s="22" t="str">
        <x:v>绿地与广场用地</x:v>
      </x:c>
      <x:c r="G575" s="32" t="str">
        <x:v>810</x:v>
      </x:c>
      <x:c r="H575" s="32" t="str">
        <x:v>810</x:v>
      </x:c>
      <x:c r="I575" s="22" t="str">
        <x:v>公园与绿地</x:v>
      </x:c>
      <x:c r="J575" s="22" t="str">
        <x:v>公共空间</x:v>
      </x:c>
      <x:c r="K575" s="32" t="str">
        <x:v>203</x:v>
      </x:c>
      <x:c r="L575" s="22" t="str">
        <x:v>村庄范围</x:v>
      </x:c>
      <x:c r="M575" s="33" t="n">
        <x:v>232728.31000000003</x:v>
      </x:c>
      <x:c r="N575" s="33" t="n">
        <x:v>23.272831000000004</x:v>
      </x:c>
      <x:c r="O575" s="22" t="str">
        <x:v>公顷</x:v>
      </x:c>
      <x:c r="P575" s="22" t="str">
        <x:v>未提供（单期横截面）</x:v>
      </x:c>
      <x:c r="Q575" s="23" t="n">
        <x:v>1883</x:v>
      </x:c>
    </x:row>
    <x:row r="576">
      <x:c r="A576" s="30" t="n">
        <x:v>350200</x:v>
      </x:c>
      <x:c r="B576" s="22" t="str">
        <x:v>厦门市</x:v>
      </x:c>
      <x:c r="C576" s="31" t="n">
        <x:v>350213</x:v>
      </x:c>
      <x:c r="D576" s="22" t="str">
        <x:v>翔安区</x:v>
      </x:c>
      <x:c r="E576" s="22" t="str">
        <x:v>建设用地</x:v>
      </x:c>
      <x:c r="F576" s="22" t="str">
        <x:v>绿地与广场用地</x:v>
      </x:c>
      <x:c r="G576" s="32" t="str">
        <x:v>0810A</x:v>
      </x:c>
      <x:c r="H576" s="32" t="str">
        <x:v>0810</x:v>
      </x:c>
      <x:c r="I576" s="22" t="str">
        <x:v>广场用地</x:v>
      </x:c>
      <x:c r="J576" s="22" t="str">
        <x:v>公共空间</x:v>
      </x:c>
      <x:c r="K576" s="32" t="str">
        <x:v>203</x:v>
      </x:c>
      <x:c r="L576" s="22" t="str">
        <x:v>村庄范围</x:v>
      </x:c>
      <x:c r="M576" s="33" t="n">
        <x:v>4768.1900000000005</x:v>
      </x:c>
      <x:c r="N576" s="33" t="n">
        <x:v>0.47681900000000005</x:v>
      </x:c>
      <x:c r="O576" s="22" t="str">
        <x:v>公顷</x:v>
      </x:c>
      <x:c r="P576" s="22" t="str">
        <x:v>未提供（单期横截面）</x:v>
      </x:c>
      <x:c r="Q576" s="23" t="n">
        <x:v>1884</x:v>
      </x:c>
    </x:row>
    <x:row r="577">
      <x:c r="A577" s="30" t="n">
        <x:v>350200</x:v>
      </x:c>
      <x:c r="B577" s="22" t="str">
        <x:v>厦门市</x:v>
      </x:c>
      <x:c r="C577" s="31" t="n">
        <x:v>350213</x:v>
      </x:c>
      <x:c r="D577" s="22" t="str">
        <x:v>翔安区</x:v>
      </x:c>
      <x:c r="E577" s="22" t="str">
        <x:v>建设用地</x:v>
      </x:c>
      <x:c r="F577" s="22" t="str">
        <x:v>公共管理与公共服务用地</x:v>
      </x:c>
      <x:c r="G577" s="32" t="str">
        <x:v>08H1</x:v>
      </x:c>
      <x:c r="H577" s="32" t="str">
        <x:v>08H1</x:v>
      </x:c>
      <x:c r="I577" s="22" t="str">
        <x:v>机关团体新闻出版用地</x:v>
      </x:c>
      <x:c r="J577" s="22" t="str">
        <x:v>公共服务</x:v>
      </x:c>
      <x:c r="K577" s="32" t="str">
        <x:v>203</x:v>
      </x:c>
      <x:c r="L577" s="22" t="str">
        <x:v>村庄范围</x:v>
      </x:c>
      <x:c r="M577" s="33" t="n">
        <x:v>175077.43000000002</x:v>
      </x:c>
      <x:c r="N577" s="33" t="n">
        <x:v>17.507743</x:v>
      </x:c>
      <x:c r="O577" s="22" t="str">
        <x:v>公顷</x:v>
      </x:c>
      <x:c r="P577" s="22" t="str">
        <x:v>未提供（单期横截面）</x:v>
      </x:c>
      <x:c r="Q577" s="23" t="n">
        <x:v>1885</x:v>
      </x:c>
    </x:row>
    <x:row r="578">
      <x:c r="A578" s="30" t="n">
        <x:v>350200</x:v>
      </x:c>
      <x:c r="B578" s="22" t="str">
        <x:v>厦门市</x:v>
      </x:c>
      <x:c r="C578" s="31" t="n">
        <x:v>350213</x:v>
      </x:c>
      <x:c r="D578" s="22" t="str">
        <x:v>翔安区</x:v>
      </x:c>
      <x:c r="E578" s="22" t="str">
        <x:v>建设用地</x:v>
      </x:c>
      <x:c r="F578" s="22" t="str">
        <x:v>公共管理与公共服务用地</x:v>
      </x:c>
      <x:c r="G578" s="32" t="str">
        <x:v>08H2</x:v>
      </x:c>
      <x:c r="H578" s="32" t="str">
        <x:v>08H2</x:v>
      </x:c>
      <x:c r="I578" s="22" t="str">
        <x:v>科教文卫用地</x:v>
      </x:c>
      <x:c r="J578" s="22" t="str">
        <x:v>公共服务</x:v>
      </x:c>
      <x:c r="K578" s="32" t="str">
        <x:v>203</x:v>
      </x:c>
      <x:c r="L578" s="22" t="str">
        <x:v>村庄范围</x:v>
      </x:c>
      <x:c r="M578" s="33" t="n">
        <x:v>1009007.5199999996</x:v>
      </x:c>
      <x:c r="N578" s="33" t="n">
        <x:v>100.90075199999995</x:v>
      </x:c>
      <x:c r="O578" s="22" t="str">
        <x:v>公顷</x:v>
      </x:c>
      <x:c r="P578" s="22" t="str">
        <x:v>未提供（单期横截面）</x:v>
      </x:c>
      <x:c r="Q578" s="23" t="n">
        <x:v>1886</x:v>
      </x:c>
    </x:row>
    <x:row r="579">
      <x:c r="A579" s="30" t="n">
        <x:v>350200</x:v>
      </x:c>
      <x:c r="B579" s="22" t="str">
        <x:v>厦门市</x:v>
      </x:c>
      <x:c r="C579" s="31" t="n">
        <x:v>350213</x:v>
      </x:c>
      <x:c r="D579" s="22" t="str">
        <x:v>翔安区</x:v>
      </x:c>
      <x:c r="E579" s="22" t="str">
        <x:v>建设用地</x:v>
      </x:c>
      <x:c r="F579" s="22" t="str">
        <x:v>特殊用地</x:v>
      </x:c>
      <x:c r="G579" s="32" t="str">
        <x:v>9</x:v>
      </x:c>
      <x:c r="H579" s="32" t="str">
        <x:v>9</x:v>
      </x:c>
      <x:c r="I579" s="22" t="str">
        <x:v>特殊用地</x:v>
      </x:c>
      <x:c r="J579" s="22" t="str">
        <x:v>其他建设</x:v>
      </x:c>
      <x:c r="K579" s="32" t="str">
        <x:v>203</x:v>
      </x:c>
      <x:c r="L579" s="22" t="str">
        <x:v>村庄范围</x:v>
      </x:c>
      <x:c r="M579" s="33" t="n">
        <x:v>221987.0899999999</x:v>
      </x:c>
      <x:c r="N579" s="33" t="n">
        <x:v>22.19870899999999</x:v>
      </x:c>
      <x:c r="O579" s="22" t="str">
        <x:v>公顷</x:v>
      </x:c>
      <x:c r="P579" s="22" t="str">
        <x:v>未提供（单期横截面）</x:v>
      </x:c>
      <x:c r="Q579" s="23" t="n">
        <x:v>1887</x:v>
      </x:c>
    </x:row>
    <x:row r="580">
      <x:c r="A580" s="30" t="n">
        <x:v>350200</x:v>
      </x:c>
      <x:c r="B580" s="22" t="str">
        <x:v>厦门市</x:v>
      </x:c>
      <x:c r="C580" s="31" t="n">
        <x:v>350213</x:v>
      </x:c>
      <x:c r="D580" s="22" t="str">
        <x:v>翔安区</x:v>
      </x:c>
      <x:c r="E580" s="22" t="str">
        <x:v>建设用地</x:v>
      </x:c>
      <x:c r="F580" s="22" t="str">
        <x:v>交通运输用地</x:v>
      </x:c>
      <x:c r="G580" s="32" t="str">
        <x:v>1004</x:v>
      </x:c>
      <x:c r="H580" s="32" t="str">
        <x:v>1004</x:v>
      </x:c>
      <x:c r="I580" s="22" t="str">
        <x:v>城镇村道路用地</x:v>
      </x:c>
      <x:c r="J580" s="22" t="str">
        <x:v>交通门户</x:v>
      </x:c>
      <x:c r="K580" s="32" t="str">
        <x:v>203</x:v>
      </x:c>
      <x:c r="L580" s="22" t="str">
        <x:v>村庄范围</x:v>
      </x:c>
      <x:c r="M580" s="33" t="n">
        <x:v>1201721.2500000002</x:v>
      </x:c>
      <x:c r="N580" s="33" t="n">
        <x:v>120.17212500000002</x:v>
      </x:c>
      <x:c r="O580" s="22" t="str">
        <x:v>公顷</x:v>
      </x:c>
      <x:c r="P580" s="22" t="str">
        <x:v>未提供（单期横截面）</x:v>
      </x:c>
      <x:c r="Q580" s="23" t="n">
        <x:v>1888</x:v>
      </x:c>
    </x:row>
    <x:row r="581">
      <x:c r="A581" s="30" t="n">
        <x:v>350200</x:v>
      </x:c>
      <x:c r="B581" s="22" t="str">
        <x:v>厦门市</x:v>
      </x:c>
      <x:c r="C581" s="31" t="n">
        <x:v>350213</x:v>
      </x:c>
      <x:c r="D581" s="22" t="str">
        <x:v>翔安区</x:v>
      </x:c>
      <x:c r="E581" s="22" t="str">
        <x:v>建设用地</x:v>
      </x:c>
      <x:c r="F581" s="22" t="str">
        <x:v>交通运输用地</x:v>
      </x:c>
      <x:c r="G581" s="32" t="str">
        <x:v>1005</x:v>
      </x:c>
      <x:c r="H581" s="32" t="str">
        <x:v>1005</x:v>
      </x:c>
      <x:c r="I581" s="22" t="str">
        <x:v>交通服务场站用地</x:v>
      </x:c>
      <x:c r="J581" s="22" t="str">
        <x:v>交通门户</x:v>
      </x:c>
      <x:c r="K581" s="32" t="str">
        <x:v>203</x:v>
      </x:c>
      <x:c r="L581" s="22" t="str">
        <x:v>村庄范围</x:v>
      </x:c>
      <x:c r="M581" s="33" t="n">
        <x:v>427836.3299999997</x:v>
      </x:c>
      <x:c r="N581" s="33" t="n">
        <x:v>42.78363299999997</x:v>
      </x:c>
      <x:c r="O581" s="22" t="str">
        <x:v>公顷</x:v>
      </x:c>
      <x:c r="P581" s="22" t="str">
        <x:v>未提供（单期横截面）</x:v>
      </x:c>
      <x:c r="Q581" s="23" t="n">
        <x:v>1889</x:v>
      </x:c>
    </x:row>
    <x:row r="582">
      <x:c r="A582" s="30" t="n">
        <x:v>350200</x:v>
      </x:c>
      <x:c r="B582" s="22" t="str">
        <x:v>厦门市</x:v>
      </x:c>
      <x:c r="C582" s="31" t="n">
        <x:v>350213</x:v>
      </x:c>
      <x:c r="D582" s="22" t="str">
        <x:v>翔安区</x:v>
      </x:c>
      <x:c r="E582" s="22" t="str">
        <x:v>建设用地</x:v>
      </x:c>
      <x:c r="F582" s="22" t="str">
        <x:v>其他建设用地</x:v>
      </x:c>
      <x:c r="G582" s="32" t="str">
        <x:v>1201</x:v>
      </x:c>
      <x:c r="H582" s="32" t="str">
        <x:v>1201</x:v>
      </x:c>
      <x:c r="I582" s="22" t="str">
        <x:v>空闲地</x:v>
      </x:c>
      <x:c r="J582" s="22" t="str">
        <x:v>其他建设</x:v>
      </x:c>
      <x:c r="K582" s="32" t="str">
        <x:v>203</x:v>
      </x:c>
      <x:c r="L582" s="22" t="str">
        <x:v>村庄范围</x:v>
      </x:c>
      <x:c r="M582" s="33" t="n">
        <x:v>8102.19</x:v>
      </x:c>
      <x:c r="N582" s="33" t="n">
        <x:v>0.8102189999999999</x:v>
      </x:c>
      <x:c r="O582" s="22" t="str">
        <x:v>公顷</x:v>
      </x:c>
      <x:c r="P582" s="22" t="str">
        <x:v>未提供（单期横截面）</x:v>
      </x:c>
      <x:c r="Q582" s="23" t="n">
        <x:v>1890</x:v>
      </x:c>
    </x:row>
    <x:row r="583">
      <x:c r="A583" s="30" t="n">
        <x:v>350200</x:v>
      </x:c>
      <x:c r="B583" s="22" t="str">
        <x:v>厦门市</x:v>
      </x:c>
      <x:c r="C583" s="31" t="n">
        <x:v>350213</x:v>
      </x:c>
      <x:c r="D583" s="22" t="str">
        <x:v>翔安区</x:v>
      </x:c>
      <x:c r="E583" s="22" t="str">
        <x:v>建设用地</x:v>
      </x:c>
      <x:c r="F583" s="22" t="str">
        <x:v>工矿仓储用地</x:v>
      </x:c>
      <x:c r="G583" s="32" t="str">
        <x:v>601</x:v>
      </x:c>
      <x:c r="H583" s="32" t="str">
        <x:v>601</x:v>
      </x:c>
      <x:c r="I583" s="22" t="str">
        <x:v>工业用地</x:v>
      </x:c>
      <x:c r="J583" s="22" t="str">
        <x:v>产业功能</x:v>
      </x:c>
      <x:c r="K583" s="32" t="str">
        <x:v>203A</x:v>
      </x:c>
      <x:c r="L583" s="22" t="str">
        <x:v>村庄独立工业用地</x:v>
      </x:c>
      <x:c r="M583" s="33" t="n">
        <x:v>627191.1700000003</x:v>
      </x:c>
      <x:c r="N583" s="33" t="n">
        <x:v>62.719117000000026</x:v>
      </x:c>
      <x:c r="O583" s="22" t="str">
        <x:v>公顷</x:v>
      </x:c>
      <x:c r="P583" s="22" t="str">
        <x:v>未提供（单期横截面）</x:v>
      </x:c>
      <x:c r="Q583" s="23" t="n">
        <x:v>1891</x:v>
      </x:c>
    </x:row>
    <x:row r="584">
      <x:c r="A584" s="30" t="n">
        <x:v>350200</x:v>
      </x:c>
      <x:c r="B584" s="22" t="str">
        <x:v>厦门市</x:v>
      </x:c>
      <x:c r="C584" s="31" t="n">
        <x:v>350213</x:v>
      </x:c>
      <x:c r="D584" s="22" t="str">
        <x:v>翔安区</x:v>
      </x:c>
      <x:c r="E584" s="22" t="str">
        <x:v>建设用地</x:v>
      </x:c>
      <x:c r="F584" s="22" t="str">
        <x:v>工矿仓储用地</x:v>
      </x:c>
      <x:c r="G584" s="32" t="str">
        <x:v>602</x:v>
      </x:c>
      <x:c r="H584" s="32" t="str">
        <x:v>602</x:v>
      </x:c>
      <x:c r="I584" s="22" t="str">
        <x:v>采矿用地</x:v>
      </x:c>
      <x:c r="J584" s="22" t="str">
        <x:v>产业功能</x:v>
      </x:c>
      <x:c r="K584" s="32" t="str">
        <x:v>204</x:v>
      </x:c>
      <x:c r="L584" s="22" t="str">
        <x:v>盐田及采矿用地</x:v>
      </x:c>
      <x:c r="M584" s="33" t="n">
        <x:v>10832692.22</x:v>
      </x:c>
      <x:c r="N584" s="33" t="n">
        <x:v>1083.2692220000001</x:v>
      </x:c>
      <x:c r="O584" s="22" t="str">
        <x:v>公顷</x:v>
      </x:c>
      <x:c r="P584" s="22" t="str">
        <x:v>未提供（单期横截面）</x:v>
      </x:c>
      <x:c r="Q584" s="23" t="n">
        <x:v>1892</x:v>
      </x:c>
    </x:row>
    <x:row r="585">
      <x:c r="A585" s="30" t="n">
        <x:v>350200</x:v>
      </x:c>
      <x:c r="B585" s="22" t="str">
        <x:v>厦门市</x:v>
      </x:c>
      <x:c r="C585" s="31" t="n">
        <x:v>350213</x:v>
      </x:c>
      <x:c r="D585" s="22" t="str">
        <x:v>翔安区</x:v>
      </x:c>
      <x:c r="E585" s="22" t="str">
        <x:v>建设用地</x:v>
      </x:c>
      <x:c r="F585" s="22" t="str">
        <x:v>特殊用地</x:v>
      </x:c>
      <x:c r="G585" s="32" t="str">
        <x:v>9</x:v>
      </x:c>
      <x:c r="H585" s="32" t="str">
        <x:v>9</x:v>
      </x:c>
      <x:c r="I585" s="22" t="str">
        <x:v>特殊用地</x:v>
      </x:c>
      <x:c r="J585" s="22" t="str">
        <x:v>其他建设</x:v>
      </x:c>
      <x:c r="K585" s="32" t="str">
        <x:v>205</x:v>
      </x:c>
      <x:c r="L585" s="22" t="str">
        <x:v>特殊用地</x:v>
      </x:c>
      <x:c r="M585" s="33" t="n">
        <x:v>1169956.3099999996</x:v>
      </x:c>
      <x:c r="N585" s="33" t="n">
        <x:v>116.99563099999996</x:v>
      </x:c>
      <x:c r="O585" s="22" t="str">
        <x:v>公顷</x:v>
      </x:c>
      <x:c r="P585" s="22" t="str">
        <x:v>未提供（单期横截面）</x:v>
      </x:c>
      <x:c r="Q585" s="23" t="n">
        <x:v>1893</x:v>
      </x:c>
    </x:row>
    <x:row r="586">
      <x:c r="A586" s="30" t="n">
        <x:v>350200</x:v>
      </x:c>
      <x:c r="B586" s="22" t="str">
        <x:v>厦门市</x:v>
      </x:c>
      <x:c r="C586" s="31" t="n">
        <x:v>350213</x:v>
      </x:c>
      <x:c r="D586" s="22" t="str">
        <x:v>翔安区</x:v>
      </x:c>
      <x:c r="E586" s="22" t="str">
        <x:v>农用地</x:v>
      </x:c>
      <x:c r="F586" s="22" t="str">
        <x:v>耕地</x:v>
      </x:c>
      <x:c r="G586" s="32" t="str">
        <x:v>101</x:v>
      </x:c>
      <x:c r="H586" s="32" t="str">
        <x:v>101</x:v>
      </x:c>
      <x:c r="I586" s="22" t="str">
        <x:v>水田</x:v>
      </x:c>
      <x:c r="J586" s="22" t="str">
        <x:v>农业生态</x:v>
      </x:c>
      <x:c r="K586" s="32" t="str"/>
      <x:c r="L586" s="22" t="str">
        <x:v>不适用/未标注</x:v>
      </x:c>
      <x:c r="M586" s="33" t="n">
        <x:v>23673310.17999998</x:v>
      </x:c>
      <x:c r="N586" s="33" t="n">
        <x:v>2367.331017999998</x:v>
      </x:c>
      <x:c r="O586" s="22" t="str">
        <x:v>公顷</x:v>
      </x:c>
      <x:c r="P586" s="22" t="str">
        <x:v>未提供（单期横截面）</x:v>
      </x:c>
      <x:c r="Q586" s="23" t="n">
        <x:v>1894</x:v>
      </x:c>
    </x:row>
    <x:row r="587">
      <x:c r="A587" s="30" t="n">
        <x:v>350200</x:v>
      </x:c>
      <x:c r="B587" s="22" t="str">
        <x:v>厦门市</x:v>
      </x:c>
      <x:c r="C587" s="31" t="n">
        <x:v>350213</x:v>
      </x:c>
      <x:c r="D587" s="22" t="str">
        <x:v>翔安区</x:v>
      </x:c>
      <x:c r="E587" s="22" t="str">
        <x:v>农用地</x:v>
      </x:c>
      <x:c r="F587" s="22" t="str">
        <x:v>耕地</x:v>
      </x:c>
      <x:c r="G587" s="32" t="str">
        <x:v>102</x:v>
      </x:c>
      <x:c r="H587" s="32" t="str">
        <x:v>102</x:v>
      </x:c>
      <x:c r="I587" s="22" t="str">
        <x:v>水浇地</x:v>
      </x:c>
      <x:c r="J587" s="22" t="str">
        <x:v>农业生态</x:v>
      </x:c>
      <x:c r="K587" s="32" t="str"/>
      <x:c r="L587" s="22" t="str">
        <x:v>不适用/未标注</x:v>
      </x:c>
      <x:c r="M587" s="33" t="n">
        <x:v>45619668.839999974</x:v>
      </x:c>
      <x:c r="N587" s="33" t="n">
        <x:v>4561.966883999998</x:v>
      </x:c>
      <x:c r="O587" s="22" t="str">
        <x:v>公顷</x:v>
      </x:c>
      <x:c r="P587" s="22" t="str">
        <x:v>未提供（单期横截面）</x:v>
      </x:c>
      <x:c r="Q587" s="23" t="n">
        <x:v>1895</x:v>
      </x:c>
    </x:row>
    <x:row r="588">
      <x:c r="A588" s="30" t="n">
        <x:v>350200</x:v>
      </x:c>
      <x:c r="B588" s="22" t="str">
        <x:v>厦门市</x:v>
      </x:c>
      <x:c r="C588" s="31" t="n">
        <x:v>350213</x:v>
      </x:c>
      <x:c r="D588" s="22" t="str">
        <x:v>翔安区</x:v>
      </x:c>
      <x:c r="E588" s="22" t="str">
        <x:v>农用地</x:v>
      </x:c>
      <x:c r="F588" s="22" t="str">
        <x:v>耕地</x:v>
      </x:c>
      <x:c r="G588" s="32" t="str">
        <x:v>103</x:v>
      </x:c>
      <x:c r="H588" s="32" t="str">
        <x:v>103</x:v>
      </x:c>
      <x:c r="I588" s="22" t="str">
        <x:v>旱地</x:v>
      </x:c>
      <x:c r="J588" s="22" t="str">
        <x:v>农业生态</x:v>
      </x:c>
      <x:c r="K588" s="32" t="str"/>
      <x:c r="L588" s="22" t="str">
        <x:v>不适用/未标注</x:v>
      </x:c>
      <x:c r="M588" s="33" t="n">
        <x:v>7175166.419999996</x:v>
      </x:c>
      <x:c r="N588" s="33" t="n">
        <x:v>717.5166419999996</x:v>
      </x:c>
      <x:c r="O588" s="22" t="str">
        <x:v>公顷</x:v>
      </x:c>
      <x:c r="P588" s="22" t="str">
        <x:v>未提供（单期横截面）</x:v>
      </x:c>
      <x:c r="Q588" s="23" t="n">
        <x:v>1896</x:v>
      </x:c>
    </x:row>
    <x:row r="589">
      <x:c r="A589" s="30" t="n">
        <x:v>350200</x:v>
      </x:c>
      <x:c r="B589" s="22" t="str">
        <x:v>厦门市</x:v>
      </x:c>
      <x:c r="C589" s="31" t="n">
        <x:v>350213</x:v>
      </x:c>
      <x:c r="D589" s="22" t="str">
        <x:v>翔安区</x:v>
      </x:c>
      <x:c r="E589" s="22" t="str">
        <x:v>农用地</x:v>
      </x:c>
      <x:c r="F589" s="22" t="str">
        <x:v>园地</x:v>
      </x:c>
      <x:c r="G589" s="32" t="str">
        <x:v>201</x:v>
      </x:c>
      <x:c r="H589" s="32" t="str">
        <x:v>201</x:v>
      </x:c>
      <x:c r="I589" s="22" t="str">
        <x:v>果园</x:v>
      </x:c>
      <x:c r="J589" s="22" t="str">
        <x:v>农业生态</x:v>
      </x:c>
      <x:c r="K589" s="32" t="str"/>
      <x:c r="L589" s="22" t="str">
        <x:v>不适用/未标注</x:v>
      </x:c>
      <x:c r="M589" s="33" t="n">
        <x:v>23766032.389999934</x:v>
      </x:c>
      <x:c r="N589" s="33" t="n">
        <x:v>2376.603238999993</x:v>
      </x:c>
      <x:c r="O589" s="22" t="str">
        <x:v>公顷</x:v>
      </x:c>
      <x:c r="P589" s="22" t="str">
        <x:v>未提供（单期横截面）</x:v>
      </x:c>
      <x:c r="Q589" s="23" t="n">
        <x:v>1897</x:v>
      </x:c>
    </x:row>
    <x:row r="590">
      <x:c r="A590" s="30" t="n">
        <x:v>350200</x:v>
      </x:c>
      <x:c r="B590" s="22" t="str">
        <x:v>厦门市</x:v>
      </x:c>
      <x:c r="C590" s="31" t="n">
        <x:v>350213</x:v>
      </x:c>
      <x:c r="D590" s="22" t="str">
        <x:v>翔安区</x:v>
      </x:c>
      <x:c r="E590" s="22" t="str">
        <x:v>农用地</x:v>
      </x:c>
      <x:c r="F590" s="22" t="str">
        <x:v>园地</x:v>
      </x:c>
      <x:c r="G590" s="32" t="str">
        <x:v>0201K</x:v>
      </x:c>
      <x:c r="H590" s="32" t="str">
        <x:v>201</x:v>
      </x:c>
      <x:c r="I590" s="22" t="str">
        <x:v>可调整果园</x:v>
      </x:c>
      <x:c r="J590" s="22" t="str">
        <x:v>农业生态</x:v>
      </x:c>
      <x:c r="K590" s="32" t="str"/>
      <x:c r="L590" s="22" t="str">
        <x:v>不适用/未标注</x:v>
      </x:c>
      <x:c r="M590" s="33" t="n">
        <x:v>52159.41</x:v>
      </x:c>
      <x:c r="N590" s="33" t="n">
        <x:v>5.215941</x:v>
      </x:c>
      <x:c r="O590" s="22" t="str">
        <x:v>公顷</x:v>
      </x:c>
      <x:c r="P590" s="22" t="str">
        <x:v>未提供（单期横截面）</x:v>
      </x:c>
      <x:c r="Q590" s="23" t="n">
        <x:v>1898</x:v>
      </x:c>
    </x:row>
    <x:row r="591">
      <x:c r="A591" s="30" t="n">
        <x:v>350200</x:v>
      </x:c>
      <x:c r="B591" s="22" t="str">
        <x:v>厦门市</x:v>
      </x:c>
      <x:c r="C591" s="31" t="n">
        <x:v>350213</x:v>
      </x:c>
      <x:c r="D591" s="22" t="str">
        <x:v>翔安区</x:v>
      </x:c>
      <x:c r="E591" s="22" t="str">
        <x:v>农用地</x:v>
      </x:c>
      <x:c r="F591" s="22" t="str">
        <x:v>园地</x:v>
      </x:c>
      <x:c r="G591" s="32" t="str">
        <x:v>202</x:v>
      </x:c>
      <x:c r="H591" s="32" t="str">
        <x:v>202</x:v>
      </x:c>
      <x:c r="I591" s="22" t="str">
        <x:v>茶园</x:v>
      </x:c>
      <x:c r="J591" s="22" t="str">
        <x:v>农业生态</x:v>
      </x:c>
      <x:c r="K591" s="32" t="str"/>
      <x:c r="L591" s="22" t="str">
        <x:v>不适用/未标注</x:v>
      </x:c>
      <x:c r="M591" s="33" t="n">
        <x:v>202836.63</x:v>
      </x:c>
      <x:c r="N591" s="33" t="n">
        <x:v>20.283663</x:v>
      </x:c>
      <x:c r="O591" s="22" t="str">
        <x:v>公顷</x:v>
      </x:c>
      <x:c r="P591" s="22" t="str">
        <x:v>未提供（单期横截面）</x:v>
      </x:c>
      <x:c r="Q591" s="23" t="n">
        <x:v>1899</x:v>
      </x:c>
    </x:row>
    <x:row r="592">
      <x:c r="A592" s="30" t="n">
        <x:v>350200</x:v>
      </x:c>
      <x:c r="B592" s="22" t="str">
        <x:v>厦门市</x:v>
      </x:c>
      <x:c r="C592" s="31" t="n">
        <x:v>350213</x:v>
      </x:c>
      <x:c r="D592" s="22" t="str">
        <x:v>翔安区</x:v>
      </x:c>
      <x:c r="E592" s="22" t="str">
        <x:v>农用地</x:v>
      </x:c>
      <x:c r="F592" s="22" t="str">
        <x:v>园地</x:v>
      </x:c>
      <x:c r="G592" s="32" t="str">
        <x:v>204</x:v>
      </x:c>
      <x:c r="H592" s="32" t="str">
        <x:v>204</x:v>
      </x:c>
      <x:c r="I592" s="22" t="str">
        <x:v>其他园地</x:v>
      </x:c>
      <x:c r="J592" s="22" t="str">
        <x:v>农业生态</x:v>
      </x:c>
      <x:c r="K592" s="32" t="str"/>
      <x:c r="L592" s="22" t="str">
        <x:v>不适用/未标注</x:v>
      </x:c>
      <x:c r="M592" s="33" t="n">
        <x:v>412002.1099999999</x:v>
      </x:c>
      <x:c r="N592" s="33" t="n">
        <x:v>41.200210999999996</x:v>
      </x:c>
      <x:c r="O592" s="22" t="str">
        <x:v>公顷</x:v>
      </x:c>
      <x:c r="P592" s="22" t="str">
        <x:v>未提供（单期横截面）</x:v>
      </x:c>
      <x:c r="Q592" s="23" t="n">
        <x:v>1900</x:v>
      </x:c>
    </x:row>
    <x:row r="593">
      <x:c r="A593" s="30" t="n">
        <x:v>350200</x:v>
      </x:c>
      <x:c r="B593" s="22" t="str">
        <x:v>厦门市</x:v>
      </x:c>
      <x:c r="C593" s="31" t="n">
        <x:v>350213</x:v>
      </x:c>
      <x:c r="D593" s="22" t="str">
        <x:v>翔安区</x:v>
      </x:c>
      <x:c r="E593" s="22" t="str">
        <x:v>农用地</x:v>
      </x:c>
      <x:c r="F593" s="22" t="str">
        <x:v>林地</x:v>
      </x:c>
      <x:c r="G593" s="32" t="str">
        <x:v>301</x:v>
      </x:c>
      <x:c r="H593" s="32" t="str">
        <x:v>301</x:v>
      </x:c>
      <x:c r="I593" s="22" t="str">
        <x:v>乔木林地</x:v>
      </x:c>
      <x:c r="J593" s="22" t="str">
        <x:v>农业生态</x:v>
      </x:c>
      <x:c r="K593" s="32" t="str"/>
      <x:c r="L593" s="22" t="str">
        <x:v>不适用/未标注</x:v>
      </x:c>
      <x:c r="M593" s="33" t="n">
        <x:v>84030395.39999996</x:v>
      </x:c>
      <x:c r="N593" s="33" t="n">
        <x:v>8403.039539999996</x:v>
      </x:c>
      <x:c r="O593" s="22" t="str">
        <x:v>公顷</x:v>
      </x:c>
      <x:c r="P593" s="22" t="str">
        <x:v>未提供（单期横截面）</x:v>
      </x:c>
      <x:c r="Q593" s="23" t="n">
        <x:v>1901</x:v>
      </x:c>
    </x:row>
    <x:row r="594">
      <x:c r="A594" s="30" t="n">
        <x:v>350200</x:v>
      </x:c>
      <x:c r="B594" s="22" t="str">
        <x:v>厦门市</x:v>
      </x:c>
      <x:c r="C594" s="31" t="n">
        <x:v>350213</x:v>
      </x:c>
      <x:c r="D594" s="22" t="str">
        <x:v>翔安区</x:v>
      </x:c>
      <x:c r="E594" s="22" t="str">
        <x:v>农用地</x:v>
      </x:c>
      <x:c r="F594" s="22" t="str">
        <x:v>林地</x:v>
      </x:c>
      <x:c r="G594" s="32" t="str">
        <x:v>302</x:v>
      </x:c>
      <x:c r="H594" s="32" t="str">
        <x:v>302</x:v>
      </x:c>
      <x:c r="I594" s="22" t="str">
        <x:v>竹林地</x:v>
      </x:c>
      <x:c r="J594" s="22" t="str">
        <x:v>农业生态</x:v>
      </x:c>
      <x:c r="K594" s="32" t="str"/>
      <x:c r="L594" s="22" t="str">
        <x:v>不适用/未标注</x:v>
      </x:c>
      <x:c r="M594" s="33" t="n">
        <x:v>79403.49</x:v>
      </x:c>
      <x:c r="N594" s="33" t="n">
        <x:v>7.940349</x:v>
      </x:c>
      <x:c r="O594" s="22" t="str">
        <x:v>公顷</x:v>
      </x:c>
      <x:c r="P594" s="22" t="str">
        <x:v>未提供（单期横截面）</x:v>
      </x:c>
      <x:c r="Q594" s="23" t="n">
        <x:v>1902</x:v>
      </x:c>
    </x:row>
    <x:row r="595">
      <x:c r="A595" s="30" t="n">
        <x:v>350200</x:v>
      </x:c>
      <x:c r="B595" s="22" t="str">
        <x:v>厦门市</x:v>
      </x:c>
      <x:c r="C595" s="31" t="n">
        <x:v>350213</x:v>
      </x:c>
      <x:c r="D595" s="22" t="str">
        <x:v>翔安区</x:v>
      </x:c>
      <x:c r="E595" s="22" t="str">
        <x:v>农用地</x:v>
      </x:c>
      <x:c r="F595" s="22" t="str">
        <x:v>林地</x:v>
      </x:c>
      <x:c r="G595" s="32" t="str">
        <x:v>303</x:v>
      </x:c>
      <x:c r="H595" s="32" t="str">
        <x:v>303</x:v>
      </x:c>
      <x:c r="I595" s="22" t="str">
        <x:v>红树林地</x:v>
      </x:c>
      <x:c r="J595" s="22" t="str">
        <x:v>农业生态</x:v>
      </x:c>
      <x:c r="K595" s="32" t="str"/>
      <x:c r="L595" s="22" t="str">
        <x:v>不适用/未标注</x:v>
      </x:c>
      <x:c r="M595" s="33" t="n">
        <x:v>463242.8499999999</x:v>
      </x:c>
      <x:c r="N595" s="33" t="n">
        <x:v>46.32428499999999</x:v>
      </x:c>
      <x:c r="O595" s="22" t="str">
        <x:v>公顷</x:v>
      </x:c>
      <x:c r="P595" s="22" t="str">
        <x:v>未提供（单期横截面）</x:v>
      </x:c>
      <x:c r="Q595" s="23" t="n">
        <x:v>1903</x:v>
      </x:c>
    </x:row>
    <x:row r="596">
      <x:c r="A596" s="30" t="n">
        <x:v>350200</x:v>
      </x:c>
      <x:c r="B596" s="22" t="str">
        <x:v>厦门市</x:v>
      </x:c>
      <x:c r="C596" s="31" t="n">
        <x:v>350213</x:v>
      </x:c>
      <x:c r="D596" s="22" t="str">
        <x:v>翔安区</x:v>
      </x:c>
      <x:c r="E596" s="22" t="str">
        <x:v>农用地</x:v>
      </x:c>
      <x:c r="F596" s="22" t="str">
        <x:v>林地</x:v>
      </x:c>
      <x:c r="G596" s="32" t="str">
        <x:v>305</x:v>
      </x:c>
      <x:c r="H596" s="32" t="str">
        <x:v>305</x:v>
      </x:c>
      <x:c r="I596" s="22" t="str">
        <x:v>灌木林地</x:v>
      </x:c>
      <x:c r="J596" s="22" t="str">
        <x:v>农业生态</x:v>
      </x:c>
      <x:c r="K596" s="32" t="str"/>
      <x:c r="L596" s="22" t="str">
        <x:v>不适用/未标注</x:v>
      </x:c>
      <x:c r="M596" s="33" t="n">
        <x:v>3214398.330000005</x:v>
      </x:c>
      <x:c r="N596" s="33" t="n">
        <x:v>321.43983300000053</x:v>
      </x:c>
      <x:c r="O596" s="22" t="str">
        <x:v>公顷</x:v>
      </x:c>
      <x:c r="P596" s="22" t="str">
        <x:v>未提供（单期横截面）</x:v>
      </x:c>
      <x:c r="Q596" s="23" t="n">
        <x:v>1904</x:v>
      </x:c>
    </x:row>
    <x:row r="597">
      <x:c r="A597" s="30" t="n">
        <x:v>350200</x:v>
      </x:c>
      <x:c r="B597" s="22" t="str">
        <x:v>厦门市</x:v>
      </x:c>
      <x:c r="C597" s="31" t="n">
        <x:v>350213</x:v>
      </x:c>
      <x:c r="D597" s="22" t="str">
        <x:v>翔安区</x:v>
      </x:c>
      <x:c r="E597" s="22" t="str">
        <x:v>农用地</x:v>
      </x:c>
      <x:c r="F597" s="22" t="str">
        <x:v>林地</x:v>
      </x:c>
      <x:c r="G597" s="32" t="str">
        <x:v>307</x:v>
      </x:c>
      <x:c r="H597" s="32" t="str">
        <x:v>307</x:v>
      </x:c>
      <x:c r="I597" s="22" t="str">
        <x:v>其他林地</x:v>
      </x:c>
      <x:c r="J597" s="22" t="str">
        <x:v>农业生态</x:v>
      </x:c>
      <x:c r="K597" s="32" t="str"/>
      <x:c r="L597" s="22" t="str">
        <x:v>不适用/未标注</x:v>
      </x:c>
      <x:c r="M597" s="33" t="n">
        <x:v>7106795.050000009</x:v>
      </x:c>
      <x:c r="N597" s="33" t="n">
        <x:v>710.6795050000009</x:v>
      </x:c>
      <x:c r="O597" s="22" t="str">
        <x:v>公顷</x:v>
      </x:c>
      <x:c r="P597" s="22" t="str">
        <x:v>未提供（单期横截面）</x:v>
      </x:c>
      <x:c r="Q597" s="23" t="n">
        <x:v>1905</x:v>
      </x:c>
    </x:row>
    <x:row r="598">
      <x:c r="A598" s="30" t="n">
        <x:v>350200</x:v>
      </x:c>
      <x:c r="B598" s="22" t="str">
        <x:v>厦门市</x:v>
      </x:c>
      <x:c r="C598" s="31" t="n">
        <x:v>350213</x:v>
      </x:c>
      <x:c r="D598" s="22" t="str">
        <x:v>翔安区</x:v>
      </x:c>
      <x:c r="E598" s="22" t="str">
        <x:v>农用地</x:v>
      </x:c>
      <x:c r="F598" s="22" t="str">
        <x:v>其他农用地</x:v>
      </x:c>
      <x:c r="G598" s="32" t="str">
        <x:v>1006</x:v>
      </x:c>
      <x:c r="H598" s="32" t="str">
        <x:v>1006</x:v>
      </x:c>
      <x:c r="I598" s="22" t="str">
        <x:v>农村道路</x:v>
      </x:c>
      <x:c r="J598" s="22" t="str">
        <x:v>农业生态</x:v>
      </x:c>
      <x:c r="K598" s="32" t="str"/>
      <x:c r="L598" s="22" t="str">
        <x:v>不适用/未标注</x:v>
      </x:c>
      <x:c r="M598" s="33" t="n">
        <x:v>3979513.4999999995</x:v>
      </x:c>
      <x:c r="N598" s="33" t="n">
        <x:v>397.95134999999993</x:v>
      </x:c>
      <x:c r="O598" s="22" t="str">
        <x:v>公顷</x:v>
      </x:c>
      <x:c r="P598" s="22" t="str">
        <x:v>未提供（单期横截面）</x:v>
      </x:c>
      <x:c r="Q598" s="23" t="n">
        <x:v>1906</x:v>
      </x:c>
    </x:row>
    <x:row r="599">
      <x:c r="A599" s="30" t="n">
        <x:v>350200</x:v>
      </x:c>
      <x:c r="B599" s="22" t="str">
        <x:v>厦门市</x:v>
      </x:c>
      <x:c r="C599" s="31" t="n">
        <x:v>350213</x:v>
      </x:c>
      <x:c r="D599" s="22" t="str">
        <x:v>翔安区</x:v>
      </x:c>
      <x:c r="E599" s="22" t="str">
        <x:v>农用地</x:v>
      </x:c>
      <x:c r="F599" s="22" t="str">
        <x:v>水域及水利设施</x:v>
      </x:c>
      <x:c r="G599" s="32" t="str">
        <x:v>1103</x:v>
      </x:c>
      <x:c r="H599" s="32" t="str">
        <x:v>1103</x:v>
      </x:c>
      <x:c r="I599" s="22" t="str">
        <x:v>水库水面</x:v>
      </x:c>
      <x:c r="J599" s="22" t="str">
        <x:v>农业生态</x:v>
      </x:c>
      <x:c r="K599" s="32" t="str"/>
      <x:c r="L599" s="22" t="str">
        <x:v>不适用/未标注</x:v>
      </x:c>
      <x:c r="M599" s="33" t="n">
        <x:v>2412504.43</x:v>
      </x:c>
      <x:c r="N599" s="33" t="n">
        <x:v>241.25044300000002</x:v>
      </x:c>
      <x:c r="O599" s="22" t="str">
        <x:v>公顷</x:v>
      </x:c>
      <x:c r="P599" s="22" t="str">
        <x:v>未提供（单期横截面）</x:v>
      </x:c>
      <x:c r="Q599" s="23" t="n">
        <x:v>1907</x:v>
      </x:c>
    </x:row>
    <x:row r="600">
      <x:c r="A600" s="30" t="n">
        <x:v>350200</x:v>
      </x:c>
      <x:c r="B600" s="22" t="str">
        <x:v>厦门市</x:v>
      </x:c>
      <x:c r="C600" s="31" t="n">
        <x:v>350213</x:v>
      </x:c>
      <x:c r="D600" s="22" t="str">
        <x:v>翔安区</x:v>
      </x:c>
      <x:c r="E600" s="22" t="str">
        <x:v>农用地</x:v>
      </x:c>
      <x:c r="F600" s="22" t="str">
        <x:v>水域及水利设施</x:v>
      </x:c>
      <x:c r="G600" s="32" t="str">
        <x:v>1104</x:v>
      </x:c>
      <x:c r="H600" s="32" t="str">
        <x:v>1104</x:v>
      </x:c>
      <x:c r="I600" s="22" t="str">
        <x:v>坑塘水面</x:v>
      </x:c>
      <x:c r="J600" s="22" t="str">
        <x:v>农业生态</x:v>
      </x:c>
      <x:c r="K600" s="32" t="str"/>
      <x:c r="L600" s="22" t="str">
        <x:v>不适用/未标注</x:v>
      </x:c>
      <x:c r="M600" s="33" t="n">
        <x:v>4705322.539999988</x:v>
      </x:c>
      <x:c r="N600" s="33" t="n">
        <x:v>470.5322539999988</x:v>
      </x:c>
      <x:c r="O600" s="22" t="str">
        <x:v>公顷</x:v>
      </x:c>
      <x:c r="P600" s="22" t="str">
        <x:v>未提供（单期横截面）</x:v>
      </x:c>
      <x:c r="Q600" s="23" t="n">
        <x:v>1908</x:v>
      </x:c>
    </x:row>
    <x:row r="601">
      <x:c r="A601" s="30" t="n">
        <x:v>350200</x:v>
      </x:c>
      <x:c r="B601" s="22" t="str">
        <x:v>厦门市</x:v>
      </x:c>
      <x:c r="C601" s="31" t="n">
        <x:v>350213</x:v>
      </x:c>
      <x:c r="D601" s="22" t="str">
        <x:v>翔安区</x:v>
      </x:c>
      <x:c r="E601" s="22" t="str">
        <x:v>农用地</x:v>
      </x:c>
      <x:c r="F601" s="22" t="str">
        <x:v>水域及水利设施</x:v>
      </x:c>
      <x:c r="G601" s="32" t="str">
        <x:v>1104A</x:v>
      </x:c>
      <x:c r="H601" s="32" t="str">
        <x:v>1104</x:v>
      </x:c>
      <x:c r="I601" s="22" t="str">
        <x:v>养殖坑塘</x:v>
      </x:c>
      <x:c r="J601" s="22" t="str">
        <x:v>农业生态</x:v>
      </x:c>
      <x:c r="K601" s="32" t="str"/>
      <x:c r="L601" s="22" t="str">
        <x:v>不适用/未标注</x:v>
      </x:c>
      <x:c r="M601" s="33" t="n">
        <x:v>12987852.290000007</x:v>
      </x:c>
      <x:c r="N601" s="33" t="n">
        <x:v>1298.7852290000008</x:v>
      </x:c>
      <x:c r="O601" s="22" t="str">
        <x:v>公顷</x:v>
      </x:c>
      <x:c r="P601" s="22" t="str">
        <x:v>未提供（单期横截面）</x:v>
      </x:c>
      <x:c r="Q601" s="23" t="n">
        <x:v>1909</x:v>
      </x:c>
    </x:row>
    <x:row r="602">
      <x:c r="A602" s="30" t="n">
        <x:v>350200</x:v>
      </x:c>
      <x:c r="B602" s="22" t="str">
        <x:v>厦门市</x:v>
      </x:c>
      <x:c r="C602" s="31" t="n">
        <x:v>350213</x:v>
      </x:c>
      <x:c r="D602" s="22" t="str">
        <x:v>翔安区</x:v>
      </x:c>
      <x:c r="E602" s="22" t="str">
        <x:v>农用地</x:v>
      </x:c>
      <x:c r="F602" s="22" t="str">
        <x:v>水域及水利设施</x:v>
      </x:c>
      <x:c r="G602" s="32" t="str">
        <x:v>1107</x:v>
      </x:c>
      <x:c r="H602" s="32" t="str">
        <x:v>1107</x:v>
      </x:c>
      <x:c r="I602" s="22" t="str">
        <x:v>沟渠</x:v>
      </x:c>
      <x:c r="J602" s="22" t="str">
        <x:v>农业生态</x:v>
      </x:c>
      <x:c r="K602" s="32" t="str"/>
      <x:c r="L602" s="22" t="str">
        <x:v>不适用/未标注</x:v>
      </x:c>
      <x:c r="M602" s="33" t="n">
        <x:v>2191682.929999998</x:v>
      </x:c>
      <x:c r="N602" s="33" t="n">
        <x:v>219.16829299999978</x:v>
      </x:c>
      <x:c r="O602" s="22" t="str">
        <x:v>公顷</x:v>
      </x:c>
      <x:c r="P602" s="22" t="str">
        <x:v>未提供（单期横截面）</x:v>
      </x:c>
      <x:c r="Q602" s="23" t="n">
        <x:v>1910</x:v>
      </x:c>
    </x:row>
    <x:row r="603">
      <x:c r="A603" s="30" t="n">
        <x:v>350200</x:v>
      </x:c>
      <x:c r="B603" s="22" t="str">
        <x:v>厦门市</x:v>
      </x:c>
      <x:c r="C603" s="31" t="n">
        <x:v>350213</x:v>
      </x:c>
      <x:c r="D603" s="22" t="str">
        <x:v>翔安区</x:v>
      </x:c>
      <x:c r="E603" s="22" t="str">
        <x:v>农用地</x:v>
      </x:c>
      <x:c r="F603" s="22" t="str">
        <x:v>水域及水利设施</x:v>
      </x:c>
      <x:c r="G603" s="32" t="str">
        <x:v>1107A</x:v>
      </x:c>
      <x:c r="H603" s="32" t="str">
        <x:v>1107</x:v>
      </x:c>
      <x:c r="I603" s="22" t="str">
        <x:v>干渠</x:v>
      </x:c>
      <x:c r="J603" s="22" t="str">
        <x:v>农业生态</x:v>
      </x:c>
      <x:c r="K603" s="32" t="str"/>
      <x:c r="L603" s="22" t="str">
        <x:v>不适用/未标注</x:v>
      </x:c>
      <x:c r="M603" s="33" t="n">
        <x:v>154624.08</x:v>
      </x:c>
      <x:c r="N603" s="33" t="n">
        <x:v>15.462407999999998</x:v>
      </x:c>
      <x:c r="O603" s="22" t="str">
        <x:v>公顷</x:v>
      </x:c>
      <x:c r="P603" s="22" t="str">
        <x:v>未提供（单期横截面）</x:v>
      </x:c>
      <x:c r="Q603" s="23" t="n">
        <x:v>1911</x:v>
      </x:c>
    </x:row>
    <x:row r="604">
      <x:c r="A604" s="30" t="n">
        <x:v>350200</x:v>
      </x:c>
      <x:c r="B604" s="22" t="str">
        <x:v>厦门市</x:v>
      </x:c>
      <x:c r="C604" s="31" t="n">
        <x:v>350213</x:v>
      </x:c>
      <x:c r="D604" s="22" t="str">
        <x:v>翔安区</x:v>
      </x:c>
      <x:c r="E604" s="22" t="str">
        <x:v>农用地</x:v>
      </x:c>
      <x:c r="F604" s="22" t="str">
        <x:v>其他农用地</x:v>
      </x:c>
      <x:c r="G604" s="32" t="str">
        <x:v>1202</x:v>
      </x:c>
      <x:c r="H604" s="32" t="str">
        <x:v>1202</x:v>
      </x:c>
      <x:c r="I604" s="22" t="str">
        <x:v>设施农用地</x:v>
      </x:c>
      <x:c r="J604" s="22" t="str">
        <x:v>农业生态</x:v>
      </x:c>
      <x:c r="K604" s="32" t="str"/>
      <x:c r="L604" s="22" t="str">
        <x:v>不适用/未标注</x:v>
      </x:c>
      <x:c r="M604" s="33" t="n">
        <x:v>3145344.4499999965</x:v>
      </x:c>
      <x:c r="N604" s="33" t="n">
        <x:v>314.53444499999966</x:v>
      </x:c>
      <x:c r="O604" s="22" t="str">
        <x:v>公顷</x:v>
      </x:c>
      <x:c r="P604" s="22" t="str">
        <x:v>未提供（单期横截面）</x:v>
      </x:c>
      <x:c r="Q604" s="23" t="n">
        <x:v>1912</x:v>
      </x:c>
    </x:row>
    <x:row r="605">
      <x:c r="A605" s="30" t="n">
        <x:v>350200</x:v>
      </x:c>
      <x:c r="B605" s="22" t="str">
        <x:v>厦门市</x:v>
      </x:c>
      <x:c r="C605" s="31" t="n">
        <x:v>350213</x:v>
      </x:c>
      <x:c r="D605" s="22" t="str">
        <x:v>翔安区</x:v>
      </x:c>
      <x:c r="E605" s="22" t="str">
        <x:v>农用地</x:v>
      </x:c>
      <x:c r="F605" s="22" t="str">
        <x:v>耕地</x:v>
      </x:c>
      <x:c r="G605" s="32" t="str">
        <x:v>101</x:v>
      </x:c>
      <x:c r="H605" s="32" t="str">
        <x:v>101</x:v>
      </x:c>
      <x:c r="I605" s="22" t="str">
        <x:v>水田</x:v>
      </x:c>
      <x:c r="J605" s="22" t="str">
        <x:v>农业生态</x:v>
      </x:c>
      <x:c r="K605" s="32" t="str">
        <x:v>201</x:v>
      </x:c>
      <x:c r="L605" s="22" t="str">
        <x:v>城市范围</x:v>
      </x:c>
      <x:c r="M605" s="33" t="n">
        <x:v>67705.24000000002</x:v>
      </x:c>
      <x:c r="N605" s="33" t="n">
        <x:v>6.770524000000002</x:v>
      </x:c>
      <x:c r="O605" s="22" t="str">
        <x:v>公顷</x:v>
      </x:c>
      <x:c r="P605" s="22" t="str">
        <x:v>未提供（单期横截面）</x:v>
      </x:c>
      <x:c r="Q605" s="23" t="n">
        <x:v>1913</x:v>
      </x:c>
    </x:row>
    <x:row r="606">
      <x:c r="A606" s="30" t="n">
        <x:v>350200</x:v>
      </x:c>
      <x:c r="B606" s="22" t="str">
        <x:v>厦门市</x:v>
      </x:c>
      <x:c r="C606" s="31" t="n">
        <x:v>350213</x:v>
      </x:c>
      <x:c r="D606" s="22" t="str">
        <x:v>翔安区</x:v>
      </x:c>
      <x:c r="E606" s="22" t="str">
        <x:v>农用地</x:v>
      </x:c>
      <x:c r="F606" s="22" t="str">
        <x:v>耕地</x:v>
      </x:c>
      <x:c r="G606" s="32" t="str">
        <x:v>102</x:v>
      </x:c>
      <x:c r="H606" s="32" t="str">
        <x:v>102</x:v>
      </x:c>
      <x:c r="I606" s="22" t="str">
        <x:v>水浇地</x:v>
      </x:c>
      <x:c r="J606" s="22" t="str">
        <x:v>农业生态</x:v>
      </x:c>
      <x:c r="K606" s="32" t="str">
        <x:v>201</x:v>
      </x:c>
      <x:c r="L606" s="22" t="str">
        <x:v>城市范围</x:v>
      </x:c>
      <x:c r="M606" s="33" t="n">
        <x:v>227665.94999999992</x:v>
      </x:c>
      <x:c r="N606" s="33" t="n">
        <x:v>22.76659499999999</x:v>
      </x:c>
      <x:c r="O606" s="22" t="str">
        <x:v>公顷</x:v>
      </x:c>
      <x:c r="P606" s="22" t="str">
        <x:v>未提供（单期横截面）</x:v>
      </x:c>
      <x:c r="Q606" s="23" t="n">
        <x:v>1914</x:v>
      </x:c>
    </x:row>
    <x:row r="607">
      <x:c r="A607" s="30" t="n">
        <x:v>350200</x:v>
      </x:c>
      <x:c r="B607" s="22" t="str">
        <x:v>厦门市</x:v>
      </x:c>
      <x:c r="C607" s="31" t="n">
        <x:v>350213</x:v>
      </x:c>
      <x:c r="D607" s="22" t="str">
        <x:v>翔安区</x:v>
      </x:c>
      <x:c r="E607" s="22" t="str">
        <x:v>农用地</x:v>
      </x:c>
      <x:c r="F607" s="22" t="str">
        <x:v>耕地</x:v>
      </x:c>
      <x:c r="G607" s="32" t="str">
        <x:v>103</x:v>
      </x:c>
      <x:c r="H607" s="32" t="str">
        <x:v>103</x:v>
      </x:c>
      <x:c r="I607" s="22" t="str">
        <x:v>旱地</x:v>
      </x:c>
      <x:c r="J607" s="22" t="str">
        <x:v>农业生态</x:v>
      </x:c>
      <x:c r="K607" s="32" t="str">
        <x:v>201</x:v>
      </x:c>
      <x:c r="L607" s="22" t="str">
        <x:v>城市范围</x:v>
      </x:c>
      <x:c r="M607" s="33" t="n">
        <x:v>74011.54999999999</x:v>
      </x:c>
      <x:c r="N607" s="33" t="n">
        <x:v>7.401154999999999</x:v>
      </x:c>
      <x:c r="O607" s="22" t="str">
        <x:v>公顷</x:v>
      </x:c>
      <x:c r="P607" s="22" t="str">
        <x:v>未提供（单期横截面）</x:v>
      </x:c>
      <x:c r="Q607" s="23" t="n">
        <x:v>1915</x:v>
      </x:c>
    </x:row>
    <x:row r="608">
      <x:c r="A608" s="30" t="n">
        <x:v>350200</x:v>
      </x:c>
      <x:c r="B608" s="22" t="str">
        <x:v>厦门市</x:v>
      </x:c>
      <x:c r="C608" s="31" t="n">
        <x:v>350213</x:v>
      </x:c>
      <x:c r="D608" s="22" t="str">
        <x:v>翔安区</x:v>
      </x:c>
      <x:c r="E608" s="22" t="str">
        <x:v>农用地</x:v>
      </x:c>
      <x:c r="F608" s="22" t="str">
        <x:v>园地</x:v>
      </x:c>
      <x:c r="G608" s="32" t="str">
        <x:v>201</x:v>
      </x:c>
      <x:c r="H608" s="32" t="str">
        <x:v>201</x:v>
      </x:c>
      <x:c r="I608" s="22" t="str">
        <x:v>果园</x:v>
      </x:c>
      <x:c r="J608" s="22" t="str">
        <x:v>农业生态</x:v>
      </x:c>
      <x:c r="K608" s="32" t="str">
        <x:v>201</x:v>
      </x:c>
      <x:c r="L608" s="22" t="str">
        <x:v>城市范围</x:v>
      </x:c>
      <x:c r="M608" s="33" t="n">
        <x:v>142752.86</x:v>
      </x:c>
      <x:c r="N608" s="33" t="n">
        <x:v>14.275286</x:v>
      </x:c>
      <x:c r="O608" s="22" t="str">
        <x:v>公顷</x:v>
      </x:c>
      <x:c r="P608" s="22" t="str">
        <x:v>未提供（单期横截面）</x:v>
      </x:c>
      <x:c r="Q608" s="23" t="n">
        <x:v>1916</x:v>
      </x:c>
    </x:row>
    <x:row r="609">
      <x:c r="A609" s="30" t="n">
        <x:v>350200</x:v>
      </x:c>
      <x:c r="B609" s="22" t="str">
        <x:v>厦门市</x:v>
      </x:c>
      <x:c r="C609" s="31" t="n">
        <x:v>350213</x:v>
      </x:c>
      <x:c r="D609" s="22" t="str">
        <x:v>翔安区</x:v>
      </x:c>
      <x:c r="E609" s="22" t="str">
        <x:v>农用地</x:v>
      </x:c>
      <x:c r="F609" s="22" t="str">
        <x:v>园地</x:v>
      </x:c>
      <x:c r="G609" s="32" t="str">
        <x:v>204</x:v>
      </x:c>
      <x:c r="H609" s="32" t="str">
        <x:v>204</x:v>
      </x:c>
      <x:c r="I609" s="22" t="str">
        <x:v>其他园地</x:v>
      </x:c>
      <x:c r="J609" s="22" t="str">
        <x:v>农业生态</x:v>
      </x:c>
      <x:c r="K609" s="32" t="str">
        <x:v>201</x:v>
      </x:c>
      <x:c r="L609" s="22" t="str">
        <x:v>城市范围</x:v>
      </x:c>
      <x:c r="M609" s="33" t="n">
        <x:v>11031.3</x:v>
      </x:c>
      <x:c r="N609" s="33" t="n">
        <x:v>1.10313</x:v>
      </x:c>
      <x:c r="O609" s="22" t="str">
        <x:v>公顷</x:v>
      </x:c>
      <x:c r="P609" s="22" t="str">
        <x:v>未提供（单期横截面）</x:v>
      </x:c>
      <x:c r="Q609" s="23" t="n">
        <x:v>1917</x:v>
      </x:c>
    </x:row>
    <x:row r="610">
      <x:c r="A610" s="30" t="n">
        <x:v>350200</x:v>
      </x:c>
      <x:c r="B610" s="22" t="str">
        <x:v>厦门市</x:v>
      </x:c>
      <x:c r="C610" s="31" t="n">
        <x:v>350213</x:v>
      </x:c>
      <x:c r="D610" s="22" t="str">
        <x:v>翔安区</x:v>
      </x:c>
      <x:c r="E610" s="22" t="str">
        <x:v>农用地</x:v>
      </x:c>
      <x:c r="F610" s="22" t="str">
        <x:v>林地</x:v>
      </x:c>
      <x:c r="G610" s="32" t="str">
        <x:v>301</x:v>
      </x:c>
      <x:c r="H610" s="32" t="str">
        <x:v>301</x:v>
      </x:c>
      <x:c r="I610" s="22" t="str">
        <x:v>乔木林地</x:v>
      </x:c>
      <x:c r="J610" s="22" t="str">
        <x:v>农业生态</x:v>
      </x:c>
      <x:c r="K610" s="32" t="str">
        <x:v>201</x:v>
      </x:c>
      <x:c r="L610" s="22" t="str">
        <x:v>城市范围</x:v>
      </x:c>
      <x:c r="M610" s="33" t="n">
        <x:v>237540.23</x:v>
      </x:c>
      <x:c r="N610" s="33" t="n">
        <x:v>23.754023</x:v>
      </x:c>
      <x:c r="O610" s="22" t="str">
        <x:v>公顷</x:v>
      </x:c>
      <x:c r="P610" s="22" t="str">
        <x:v>未提供（单期横截面）</x:v>
      </x:c>
      <x:c r="Q610" s="23" t="n">
        <x:v>1918</x:v>
      </x:c>
    </x:row>
    <x:row r="611">
      <x:c r="A611" s="30" t="n">
        <x:v>350200</x:v>
      </x:c>
      <x:c r="B611" s="22" t="str">
        <x:v>厦门市</x:v>
      </x:c>
      <x:c r="C611" s="31" t="n">
        <x:v>350213</x:v>
      </x:c>
      <x:c r="D611" s="22" t="str">
        <x:v>翔安区</x:v>
      </x:c>
      <x:c r="E611" s="22" t="str">
        <x:v>农用地</x:v>
      </x:c>
      <x:c r="F611" s="22" t="str">
        <x:v>林地</x:v>
      </x:c>
      <x:c r="G611" s="32" t="str">
        <x:v>305</x:v>
      </x:c>
      <x:c r="H611" s="32" t="str">
        <x:v>305</x:v>
      </x:c>
      <x:c r="I611" s="22" t="str">
        <x:v>灌木林地</x:v>
      </x:c>
      <x:c r="J611" s="22" t="str">
        <x:v>农业生态</x:v>
      </x:c>
      <x:c r="K611" s="32" t="str">
        <x:v>201</x:v>
      </x:c>
      <x:c r="L611" s="22" t="str">
        <x:v>城市范围</x:v>
      </x:c>
      <x:c r="M611" s="33" t="n">
        <x:v>83842.82</x:v>
      </x:c>
      <x:c r="N611" s="33" t="n">
        <x:v>8.384282</x:v>
      </x:c>
      <x:c r="O611" s="22" t="str">
        <x:v>公顷</x:v>
      </x:c>
      <x:c r="P611" s="22" t="str">
        <x:v>未提供（单期横截面）</x:v>
      </x:c>
      <x:c r="Q611" s="23" t="n">
        <x:v>1919</x:v>
      </x:c>
    </x:row>
    <x:row r="612">
      <x:c r="A612" s="30" t="n">
        <x:v>350200</x:v>
      </x:c>
      <x:c r="B612" s="22" t="str">
        <x:v>厦门市</x:v>
      </x:c>
      <x:c r="C612" s="31" t="n">
        <x:v>350213</x:v>
      </x:c>
      <x:c r="D612" s="22" t="str">
        <x:v>翔安区</x:v>
      </x:c>
      <x:c r="E612" s="22" t="str">
        <x:v>农用地</x:v>
      </x:c>
      <x:c r="F612" s="22" t="str">
        <x:v>林地</x:v>
      </x:c>
      <x:c r="G612" s="32" t="str">
        <x:v>307</x:v>
      </x:c>
      <x:c r="H612" s="32" t="str">
        <x:v>307</x:v>
      </x:c>
      <x:c r="I612" s="22" t="str">
        <x:v>其他林地</x:v>
      </x:c>
      <x:c r="J612" s="22" t="str">
        <x:v>农业生态</x:v>
      </x:c>
      <x:c r="K612" s="32" t="str">
        <x:v>201</x:v>
      </x:c>
      <x:c r="L612" s="22" t="str">
        <x:v>城市范围</x:v>
      </x:c>
      <x:c r="M612" s="33" t="n">
        <x:v>52725.94</x:v>
      </x:c>
      <x:c r="N612" s="33" t="n">
        <x:v>5.272594000000001</x:v>
      </x:c>
      <x:c r="O612" s="22" t="str">
        <x:v>公顷</x:v>
      </x:c>
      <x:c r="P612" s="22" t="str">
        <x:v>未提供（单期横截面）</x:v>
      </x:c>
      <x:c r="Q612" s="23" t="n">
        <x:v>1920</x:v>
      </x:c>
    </x:row>
    <x:row r="613">
      <x:c r="A613" s="30" t="n">
        <x:v>350200</x:v>
      </x:c>
      <x:c r="B613" s="22" t="str">
        <x:v>厦门市</x:v>
      </x:c>
      <x:c r="C613" s="31" t="n">
        <x:v>350213</x:v>
      </x:c>
      <x:c r="D613" s="22" t="str">
        <x:v>翔安区</x:v>
      </x:c>
      <x:c r="E613" s="22" t="str">
        <x:v>农用地</x:v>
      </x:c>
      <x:c r="F613" s="22" t="str">
        <x:v>其他农用地</x:v>
      </x:c>
      <x:c r="G613" s="32" t="str">
        <x:v>1006</x:v>
      </x:c>
      <x:c r="H613" s="32" t="str">
        <x:v>1006</x:v>
      </x:c>
      <x:c r="I613" s="22" t="str">
        <x:v>农村道路</x:v>
      </x:c>
      <x:c r="J613" s="22" t="str">
        <x:v>农业生态</x:v>
      </x:c>
      <x:c r="K613" s="32" t="str">
        <x:v>201</x:v>
      </x:c>
      <x:c r="L613" s="22" t="str">
        <x:v>城市范围</x:v>
      </x:c>
      <x:c r="M613" s="33" t="n">
        <x:v>2978.6099999999997</x:v>
      </x:c>
      <x:c r="N613" s="33" t="n">
        <x:v>0.297861</x:v>
      </x:c>
      <x:c r="O613" s="22" t="str">
        <x:v>公顷</x:v>
      </x:c>
      <x:c r="P613" s="22" t="str">
        <x:v>未提供（单期横截面）</x:v>
      </x:c>
      <x:c r="Q613" s="23" t="n">
        <x:v>1921</x:v>
      </x:c>
    </x:row>
    <x:row r="614">
      <x:c r="A614" s="30" t="n">
        <x:v>350200</x:v>
      </x:c>
      <x:c r="B614" s="22" t="str">
        <x:v>厦门市</x:v>
      </x:c>
      <x:c r="C614" s="31" t="n">
        <x:v>350213</x:v>
      </x:c>
      <x:c r="D614" s="22" t="str">
        <x:v>翔安区</x:v>
      </x:c>
      <x:c r="E614" s="22" t="str">
        <x:v>农用地</x:v>
      </x:c>
      <x:c r="F614" s="22" t="str">
        <x:v>水域及水利设施</x:v>
      </x:c>
      <x:c r="G614" s="32" t="str">
        <x:v>1104</x:v>
      </x:c>
      <x:c r="H614" s="32" t="str">
        <x:v>1104</x:v>
      </x:c>
      <x:c r="I614" s="22" t="str">
        <x:v>坑塘水面</x:v>
      </x:c>
      <x:c r="J614" s="22" t="str">
        <x:v>农业生态</x:v>
      </x:c>
      <x:c r="K614" s="32" t="str">
        <x:v>201</x:v>
      </x:c>
      <x:c r="L614" s="22" t="str">
        <x:v>城市范围</x:v>
      </x:c>
      <x:c r="M614" s="33" t="n">
        <x:v>51197.64000000001</x:v>
      </x:c>
      <x:c r="N614" s="33" t="n">
        <x:v>5.119764000000001</x:v>
      </x:c>
      <x:c r="O614" s="22" t="str">
        <x:v>公顷</x:v>
      </x:c>
      <x:c r="P614" s="22" t="str">
        <x:v>未提供（单期横截面）</x:v>
      </x:c>
      <x:c r="Q614" s="23" t="n">
        <x:v>1922</x:v>
      </x:c>
    </x:row>
    <x:row r="615">
      <x:c r="A615" s="30" t="n">
        <x:v>350200</x:v>
      </x:c>
      <x:c r="B615" s="22" t="str">
        <x:v>厦门市</x:v>
      </x:c>
      <x:c r="C615" s="31" t="n">
        <x:v>350213</x:v>
      </x:c>
      <x:c r="D615" s="22" t="str">
        <x:v>翔安区</x:v>
      </x:c>
      <x:c r="E615" s="22" t="str">
        <x:v>农用地</x:v>
      </x:c>
      <x:c r="F615" s="22" t="str">
        <x:v>水域及水利设施</x:v>
      </x:c>
      <x:c r="G615" s="32" t="str">
        <x:v>1107</x:v>
      </x:c>
      <x:c r="H615" s="32" t="str">
        <x:v>1107</x:v>
      </x:c>
      <x:c r="I615" s="22" t="str">
        <x:v>沟渠</x:v>
      </x:c>
      <x:c r="J615" s="22" t="str">
        <x:v>农业生态</x:v>
      </x:c>
      <x:c r="K615" s="32" t="str">
        <x:v>201</x:v>
      </x:c>
      <x:c r="L615" s="22" t="str">
        <x:v>城市范围</x:v>
      </x:c>
      <x:c r="M615" s="33" t="n">
        <x:v>793.1099999999999</x:v>
      </x:c>
      <x:c r="N615" s="33" t="n">
        <x:v>0.07931099999999999</x:v>
      </x:c>
      <x:c r="O615" s="22" t="str">
        <x:v>公顷</x:v>
      </x:c>
      <x:c r="P615" s="22" t="str">
        <x:v>未提供（单期横截面）</x:v>
      </x:c>
      <x:c r="Q615" s="23" t="n">
        <x:v>1923</x:v>
      </x:c>
    </x:row>
    <x:row r="616">
      <x:c r="A616" s="30" t="n">
        <x:v>350200</x:v>
      </x:c>
      <x:c r="B616" s="22" t="str">
        <x:v>厦门市</x:v>
      </x:c>
      <x:c r="C616" s="31" t="n">
        <x:v>350213</x:v>
      </x:c>
      <x:c r="D616" s="22" t="str">
        <x:v>翔安区</x:v>
      </x:c>
      <x:c r="E616" s="22" t="str">
        <x:v>农用地</x:v>
      </x:c>
      <x:c r="F616" s="22" t="str">
        <x:v>其他农用地</x:v>
      </x:c>
      <x:c r="G616" s="32" t="str">
        <x:v>1202</x:v>
      </x:c>
      <x:c r="H616" s="32" t="str">
        <x:v>1202</x:v>
      </x:c>
      <x:c r="I616" s="22" t="str">
        <x:v>设施农用地</x:v>
      </x:c>
      <x:c r="J616" s="22" t="str">
        <x:v>农业生态</x:v>
      </x:c>
      <x:c r="K616" s="32" t="str">
        <x:v>201</x:v>
      </x:c>
      <x:c r="L616" s="22" t="str">
        <x:v>城市范围</x:v>
      </x:c>
      <x:c r="M616" s="33" t="n">
        <x:v>14343.589999999998</x:v>
      </x:c>
      <x:c r="N616" s="33" t="n">
        <x:v>1.434359</x:v>
      </x:c>
      <x:c r="O616" s="22" t="str">
        <x:v>公顷</x:v>
      </x:c>
      <x:c r="P616" s="22" t="str">
        <x:v>未提供（单期横截面）</x:v>
      </x:c>
      <x:c r="Q616" s="23" t="n">
        <x:v>1924</x:v>
      </x:c>
    </x:row>
    <x:row r="617">
      <x:c r="A617" s="30" t="n">
        <x:v>350200</x:v>
      </x:c>
      <x:c r="B617" s="22" t="str">
        <x:v>厦门市</x:v>
      </x:c>
      <x:c r="C617" s="31" t="n">
        <x:v>350213</x:v>
      </x:c>
      <x:c r="D617" s="22" t="str">
        <x:v>翔安区</x:v>
      </x:c>
      <x:c r="E617" s="22" t="str">
        <x:v>农用地</x:v>
      </x:c>
      <x:c r="F617" s="22" t="str">
        <x:v>耕地</x:v>
      </x:c>
      <x:c r="G617" s="32" t="str">
        <x:v>101</x:v>
      </x:c>
      <x:c r="H617" s="32" t="str">
        <x:v>101</x:v>
      </x:c>
      <x:c r="I617" s="22" t="str">
        <x:v>水田</x:v>
      </x:c>
      <x:c r="J617" s="22" t="str">
        <x:v>农业生态</x:v>
      </x:c>
      <x:c r="K617" s="32" t="str">
        <x:v>202</x:v>
      </x:c>
      <x:c r="L617" s="22" t="str">
        <x:v>建制镇范围</x:v>
      </x:c>
      <x:c r="M617" s="33" t="n">
        <x:v>8265.699999999999</x:v>
      </x:c>
      <x:c r="N617" s="33" t="n">
        <x:v>0.8265699999999999</x:v>
      </x:c>
      <x:c r="O617" s="22" t="str">
        <x:v>公顷</x:v>
      </x:c>
      <x:c r="P617" s="22" t="str">
        <x:v>未提供（单期横截面）</x:v>
      </x:c>
      <x:c r="Q617" s="23" t="n">
        <x:v>1925</x:v>
      </x:c>
    </x:row>
    <x:row r="618">
      <x:c r="A618" s="30" t="n">
        <x:v>350200</x:v>
      </x:c>
      <x:c r="B618" s="22" t="str">
        <x:v>厦门市</x:v>
      </x:c>
      <x:c r="C618" s="31" t="n">
        <x:v>350213</x:v>
      </x:c>
      <x:c r="D618" s="22" t="str">
        <x:v>翔安区</x:v>
      </x:c>
      <x:c r="E618" s="22" t="str">
        <x:v>农用地</x:v>
      </x:c>
      <x:c r="F618" s="22" t="str">
        <x:v>耕地</x:v>
      </x:c>
      <x:c r="G618" s="32" t="str">
        <x:v>102</x:v>
      </x:c>
      <x:c r="H618" s="32" t="str">
        <x:v>102</x:v>
      </x:c>
      <x:c r="I618" s="22" t="str">
        <x:v>水浇地</x:v>
      </x:c>
      <x:c r="J618" s="22" t="str">
        <x:v>农业生态</x:v>
      </x:c>
      <x:c r="K618" s="32" t="str">
        <x:v>202</x:v>
      </x:c>
      <x:c r="L618" s="22" t="str">
        <x:v>建制镇范围</x:v>
      </x:c>
      <x:c r="M618" s="33" t="n">
        <x:v>12789.66</x:v>
      </x:c>
      <x:c r="N618" s="33" t="n">
        <x:v>1.278966</x:v>
      </x:c>
      <x:c r="O618" s="22" t="str">
        <x:v>公顷</x:v>
      </x:c>
      <x:c r="P618" s="22" t="str">
        <x:v>未提供（单期横截面）</x:v>
      </x:c>
      <x:c r="Q618" s="23" t="n">
        <x:v>1926</x:v>
      </x:c>
    </x:row>
    <x:row r="619">
      <x:c r="A619" s="30" t="n">
        <x:v>350200</x:v>
      </x:c>
      <x:c r="B619" s="22" t="str">
        <x:v>厦门市</x:v>
      </x:c>
      <x:c r="C619" s="31" t="n">
        <x:v>350213</x:v>
      </x:c>
      <x:c r="D619" s="22" t="str">
        <x:v>翔安区</x:v>
      </x:c>
      <x:c r="E619" s="22" t="str">
        <x:v>农用地</x:v>
      </x:c>
      <x:c r="F619" s="22" t="str">
        <x:v>耕地</x:v>
      </x:c>
      <x:c r="G619" s="32" t="str">
        <x:v>103</x:v>
      </x:c>
      <x:c r="H619" s="32" t="str">
        <x:v>103</x:v>
      </x:c>
      <x:c r="I619" s="22" t="str">
        <x:v>旱地</x:v>
      </x:c>
      <x:c r="J619" s="22" t="str">
        <x:v>农业生态</x:v>
      </x:c>
      <x:c r="K619" s="32" t="str">
        <x:v>202</x:v>
      </x:c>
      <x:c r="L619" s="22" t="str">
        <x:v>建制镇范围</x:v>
      </x:c>
      <x:c r="M619" s="33" t="n">
        <x:v>46613.789999999986</x:v>
      </x:c>
      <x:c r="N619" s="33" t="n">
        <x:v>4.661378999999998</x:v>
      </x:c>
      <x:c r="O619" s="22" t="str">
        <x:v>公顷</x:v>
      </x:c>
      <x:c r="P619" s="22" t="str">
        <x:v>未提供（单期横截面）</x:v>
      </x:c>
      <x:c r="Q619" s="23" t="n">
        <x:v>1927</x:v>
      </x:c>
    </x:row>
    <x:row r="620">
      <x:c r="A620" s="30" t="n">
        <x:v>350200</x:v>
      </x:c>
      <x:c r="B620" s="22" t="str">
        <x:v>厦门市</x:v>
      </x:c>
      <x:c r="C620" s="31" t="n">
        <x:v>350213</x:v>
      </x:c>
      <x:c r="D620" s="22" t="str">
        <x:v>翔安区</x:v>
      </x:c>
      <x:c r="E620" s="22" t="str">
        <x:v>农用地</x:v>
      </x:c>
      <x:c r="F620" s="22" t="str">
        <x:v>园地</x:v>
      </x:c>
      <x:c r="G620" s="32" t="str">
        <x:v>201</x:v>
      </x:c>
      <x:c r="H620" s="32" t="str">
        <x:v>201</x:v>
      </x:c>
      <x:c r="I620" s="22" t="str">
        <x:v>果园</x:v>
      </x:c>
      <x:c r="J620" s="22" t="str">
        <x:v>农业生态</x:v>
      </x:c>
      <x:c r="K620" s="32" t="str">
        <x:v>202</x:v>
      </x:c>
      <x:c r="L620" s="22" t="str">
        <x:v>建制镇范围</x:v>
      </x:c>
      <x:c r="M620" s="33" t="n">
        <x:v>56759.740000000005</x:v>
      </x:c>
      <x:c r="N620" s="33" t="n">
        <x:v>5.675974000000001</x:v>
      </x:c>
      <x:c r="O620" s="22" t="str">
        <x:v>公顷</x:v>
      </x:c>
      <x:c r="P620" s="22" t="str">
        <x:v>未提供（单期横截面）</x:v>
      </x:c>
      <x:c r="Q620" s="23" t="n">
        <x:v>1928</x:v>
      </x:c>
    </x:row>
    <x:row r="621">
      <x:c r="A621" s="30" t="n">
        <x:v>350200</x:v>
      </x:c>
      <x:c r="B621" s="22" t="str">
        <x:v>厦门市</x:v>
      </x:c>
      <x:c r="C621" s="31" t="n">
        <x:v>350213</x:v>
      </x:c>
      <x:c r="D621" s="22" t="str">
        <x:v>翔安区</x:v>
      </x:c>
      <x:c r="E621" s="22" t="str">
        <x:v>农用地</x:v>
      </x:c>
      <x:c r="F621" s="22" t="str">
        <x:v>林地</x:v>
      </x:c>
      <x:c r="G621" s="32" t="str">
        <x:v>301</x:v>
      </x:c>
      <x:c r="H621" s="32" t="str">
        <x:v>301</x:v>
      </x:c>
      <x:c r="I621" s="22" t="str">
        <x:v>乔木林地</x:v>
      </x:c>
      <x:c r="J621" s="22" t="str">
        <x:v>农业生态</x:v>
      </x:c>
      <x:c r="K621" s="32" t="str">
        <x:v>202</x:v>
      </x:c>
      <x:c r="L621" s="22" t="str">
        <x:v>建制镇范围</x:v>
      </x:c>
      <x:c r="M621" s="33" t="n">
        <x:v>39999.21000000001</x:v>
      </x:c>
      <x:c r="N621" s="33" t="n">
        <x:v>3.9999210000000005</x:v>
      </x:c>
      <x:c r="O621" s="22" t="str">
        <x:v>公顷</x:v>
      </x:c>
      <x:c r="P621" s="22" t="str">
        <x:v>未提供（单期横截面）</x:v>
      </x:c>
      <x:c r="Q621" s="23" t="n">
        <x:v>1929</x:v>
      </x:c>
    </x:row>
    <x:row r="622">
      <x:c r="A622" s="30" t="n">
        <x:v>350200</x:v>
      </x:c>
      <x:c r="B622" s="22" t="str">
        <x:v>厦门市</x:v>
      </x:c>
      <x:c r="C622" s="31" t="n">
        <x:v>350213</x:v>
      </x:c>
      <x:c r="D622" s="22" t="str">
        <x:v>翔安区</x:v>
      </x:c>
      <x:c r="E622" s="22" t="str">
        <x:v>农用地</x:v>
      </x:c>
      <x:c r="F622" s="22" t="str">
        <x:v>林地</x:v>
      </x:c>
      <x:c r="G622" s="32" t="str">
        <x:v>305</x:v>
      </x:c>
      <x:c r="H622" s="32" t="str">
        <x:v>305</x:v>
      </x:c>
      <x:c r="I622" s="22" t="str">
        <x:v>灌木林地</x:v>
      </x:c>
      <x:c r="J622" s="22" t="str">
        <x:v>农业生态</x:v>
      </x:c>
      <x:c r="K622" s="32" t="str">
        <x:v>202</x:v>
      </x:c>
      <x:c r="L622" s="22" t="str">
        <x:v>建制镇范围</x:v>
      </x:c>
      <x:c r="M622" s="33" t="n">
        <x:v>6658.74</x:v>
      </x:c>
      <x:c r="N622" s="33" t="n">
        <x:v>0.665874</x:v>
      </x:c>
      <x:c r="O622" s="22" t="str">
        <x:v>公顷</x:v>
      </x:c>
      <x:c r="P622" s="22" t="str">
        <x:v>未提供（单期横截面）</x:v>
      </x:c>
      <x:c r="Q622" s="23" t="n">
        <x:v>1930</x:v>
      </x:c>
    </x:row>
    <x:row r="623">
      <x:c r="A623" s="30" t="n">
        <x:v>350200</x:v>
      </x:c>
      <x:c r="B623" s="22" t="str">
        <x:v>厦门市</x:v>
      </x:c>
      <x:c r="C623" s="31" t="n">
        <x:v>350213</x:v>
      </x:c>
      <x:c r="D623" s="22" t="str">
        <x:v>翔安区</x:v>
      </x:c>
      <x:c r="E623" s="22" t="str">
        <x:v>农用地</x:v>
      </x:c>
      <x:c r="F623" s="22" t="str">
        <x:v>林地</x:v>
      </x:c>
      <x:c r="G623" s="32" t="str">
        <x:v>307</x:v>
      </x:c>
      <x:c r="H623" s="32" t="str">
        <x:v>307</x:v>
      </x:c>
      <x:c r="I623" s="22" t="str">
        <x:v>其他林地</x:v>
      </x:c>
      <x:c r="J623" s="22" t="str">
        <x:v>农业生态</x:v>
      </x:c>
      <x:c r="K623" s="32" t="str">
        <x:v>202</x:v>
      </x:c>
      <x:c r="L623" s="22" t="str">
        <x:v>建制镇范围</x:v>
      </x:c>
      <x:c r="M623" s="33" t="n">
        <x:v>837.41</x:v>
      </x:c>
      <x:c r="N623" s="33" t="n">
        <x:v>0.083741</x:v>
      </x:c>
      <x:c r="O623" s="22" t="str">
        <x:v>公顷</x:v>
      </x:c>
      <x:c r="P623" s="22" t="str">
        <x:v>未提供（单期横截面）</x:v>
      </x:c>
      <x:c r="Q623" s="23" t="n">
        <x:v>1931</x:v>
      </x:c>
    </x:row>
    <x:row r="624">
      <x:c r="A624" s="30" t="n">
        <x:v>350200</x:v>
      </x:c>
      <x:c r="B624" s="22" t="str">
        <x:v>厦门市</x:v>
      </x:c>
      <x:c r="C624" s="31" t="n">
        <x:v>350213</x:v>
      </x:c>
      <x:c r="D624" s="22" t="str">
        <x:v>翔安区</x:v>
      </x:c>
      <x:c r="E624" s="22" t="str">
        <x:v>农用地</x:v>
      </x:c>
      <x:c r="F624" s="22" t="str">
        <x:v>其他农用地</x:v>
      </x:c>
      <x:c r="G624" s="32" t="str">
        <x:v>1006</x:v>
      </x:c>
      <x:c r="H624" s="32" t="str">
        <x:v>1006</x:v>
      </x:c>
      <x:c r="I624" s="22" t="str">
        <x:v>农村道路</x:v>
      </x:c>
      <x:c r="J624" s="22" t="str">
        <x:v>农业生态</x:v>
      </x:c>
      <x:c r="K624" s="32" t="str">
        <x:v>202</x:v>
      </x:c>
      <x:c r="L624" s="22" t="str">
        <x:v>建制镇范围</x:v>
      </x:c>
      <x:c r="M624" s="33" t="n">
        <x:v>589.38</x:v>
      </x:c>
      <x:c r="N624" s="33" t="n">
        <x:v>0.058938</x:v>
      </x:c>
      <x:c r="O624" s="22" t="str">
        <x:v>公顷</x:v>
      </x:c>
      <x:c r="P624" s="22" t="str">
        <x:v>未提供（单期横截面）</x:v>
      </x:c>
      <x:c r="Q624" s="23" t="n">
        <x:v>1932</x:v>
      </x:c>
    </x:row>
    <x:row r="625">
      <x:c r="A625" s="30" t="n">
        <x:v>350200</x:v>
      </x:c>
      <x:c r="B625" s="22" t="str">
        <x:v>厦门市</x:v>
      </x:c>
      <x:c r="C625" s="31" t="n">
        <x:v>350213</x:v>
      </x:c>
      <x:c r="D625" s="22" t="str">
        <x:v>翔安区</x:v>
      </x:c>
      <x:c r="E625" s="22" t="str">
        <x:v>农用地</x:v>
      </x:c>
      <x:c r="F625" s="22" t="str">
        <x:v>水域及水利设施</x:v>
      </x:c>
      <x:c r="G625" s="32" t="str">
        <x:v>1104</x:v>
      </x:c>
      <x:c r="H625" s="32" t="str">
        <x:v>1104</x:v>
      </x:c>
      <x:c r="I625" s="22" t="str">
        <x:v>坑塘水面</x:v>
      </x:c>
      <x:c r="J625" s="22" t="str">
        <x:v>农业生态</x:v>
      </x:c>
      <x:c r="K625" s="32" t="str">
        <x:v>202</x:v>
      </x:c>
      <x:c r="L625" s="22" t="str">
        <x:v>建制镇范围</x:v>
      </x:c>
      <x:c r="M625" s="33" t="n">
        <x:v>17297.050000000003</x:v>
      </x:c>
      <x:c r="N625" s="33" t="n">
        <x:v>1.7297050000000003</x:v>
      </x:c>
      <x:c r="O625" s="22" t="str">
        <x:v>公顷</x:v>
      </x:c>
      <x:c r="P625" s="22" t="str">
        <x:v>未提供（单期横截面）</x:v>
      </x:c>
      <x:c r="Q625" s="23" t="n">
        <x:v>1933</x:v>
      </x:c>
    </x:row>
    <x:row r="626">
      <x:c r="A626" s="30" t="n">
        <x:v>350200</x:v>
      </x:c>
      <x:c r="B626" s="22" t="str">
        <x:v>厦门市</x:v>
      </x:c>
      <x:c r="C626" s="31" t="n">
        <x:v>350213</x:v>
      </x:c>
      <x:c r="D626" s="22" t="str">
        <x:v>翔安区</x:v>
      </x:c>
      <x:c r="E626" s="22" t="str">
        <x:v>农用地</x:v>
      </x:c>
      <x:c r="F626" s="22" t="str">
        <x:v>水域及水利设施</x:v>
      </x:c>
      <x:c r="G626" s="32" t="str">
        <x:v>1107</x:v>
      </x:c>
      <x:c r="H626" s="32" t="str">
        <x:v>1107</x:v>
      </x:c>
      <x:c r="I626" s="22" t="str">
        <x:v>沟渠</x:v>
      </x:c>
      <x:c r="J626" s="22" t="str">
        <x:v>农业生态</x:v>
      </x:c>
      <x:c r="K626" s="32" t="str">
        <x:v>202</x:v>
      </x:c>
      <x:c r="L626" s="22" t="str">
        <x:v>建制镇范围</x:v>
      </x:c>
      <x:c r="M626" s="33" t="n">
        <x:v>2275.67</x:v>
      </x:c>
      <x:c r="N626" s="33" t="n">
        <x:v>0.22756700000000002</x:v>
      </x:c>
      <x:c r="O626" s="22" t="str">
        <x:v>公顷</x:v>
      </x:c>
      <x:c r="P626" s="22" t="str">
        <x:v>未提供（单期横截面）</x:v>
      </x:c>
      <x:c r="Q626" s="23" t="n">
        <x:v>1934</x:v>
      </x:c>
    </x:row>
    <x:row r="627">
      <x:c r="A627" s="30" t="n">
        <x:v>350200</x:v>
      </x:c>
      <x:c r="B627" s="22" t="str">
        <x:v>厦门市</x:v>
      </x:c>
      <x:c r="C627" s="31" t="n">
        <x:v>350213</x:v>
      </x:c>
      <x:c r="D627" s="22" t="str">
        <x:v>翔安区</x:v>
      </x:c>
      <x:c r="E627" s="22" t="str">
        <x:v>农用地</x:v>
      </x:c>
      <x:c r="F627" s="22" t="str">
        <x:v>其他农用地</x:v>
      </x:c>
      <x:c r="G627" s="32" t="str">
        <x:v>1202</x:v>
      </x:c>
      <x:c r="H627" s="32" t="str">
        <x:v>1202</x:v>
      </x:c>
      <x:c r="I627" s="22" t="str">
        <x:v>设施农用地</x:v>
      </x:c>
      <x:c r="J627" s="22" t="str">
        <x:v>农业生态</x:v>
      </x:c>
      <x:c r="K627" s="32" t="str">
        <x:v>202</x:v>
      </x:c>
      <x:c r="L627" s="22" t="str">
        <x:v>建制镇范围</x:v>
      </x:c>
      <x:c r="M627" s="33" t="n">
        <x:v>875.29</x:v>
      </x:c>
      <x:c r="N627" s="33" t="n">
        <x:v>0.087529</x:v>
      </x:c>
      <x:c r="O627" s="22" t="str">
        <x:v>公顷</x:v>
      </x:c>
      <x:c r="P627" s="22" t="str">
        <x:v>未提供（单期横截面）</x:v>
      </x:c>
      <x:c r="Q627" s="23" t="n">
        <x:v>1935</x:v>
      </x:c>
    </x:row>
    <x:row r="628">
      <x:c r="A628" s="30" t="n">
        <x:v>350200</x:v>
      </x:c>
      <x:c r="B628" s="22" t="str">
        <x:v>厦门市</x:v>
      </x:c>
      <x:c r="C628" s="31" t="n">
        <x:v>350213</x:v>
      </x:c>
      <x:c r="D628" s="22" t="str">
        <x:v>翔安区</x:v>
      </x:c>
      <x:c r="E628" s="22" t="str">
        <x:v>农用地</x:v>
      </x:c>
      <x:c r="F628" s="22" t="str">
        <x:v>耕地</x:v>
      </x:c>
      <x:c r="G628" s="32" t="str">
        <x:v>101</x:v>
      </x:c>
      <x:c r="H628" s="32" t="str">
        <x:v>101</x:v>
      </x:c>
      <x:c r="I628" s="22" t="str">
        <x:v>水田</x:v>
      </x:c>
      <x:c r="J628" s="22" t="str">
        <x:v>农业生态</x:v>
      </x:c>
      <x:c r="K628" s="32" t="str">
        <x:v>203</x:v>
      </x:c>
      <x:c r="L628" s="22" t="str">
        <x:v>村庄范围</x:v>
      </x:c>
      <x:c r="M628" s="33" t="n">
        <x:v>48282.33000000001</x:v>
      </x:c>
      <x:c r="N628" s="33" t="n">
        <x:v>4.828233000000001</x:v>
      </x:c>
      <x:c r="O628" s="22" t="str">
        <x:v>公顷</x:v>
      </x:c>
      <x:c r="P628" s="22" t="str">
        <x:v>未提供（单期横截面）</x:v>
      </x:c>
      <x:c r="Q628" s="23" t="n">
        <x:v>1936</x:v>
      </x:c>
    </x:row>
    <x:row r="629">
      <x:c r="A629" s="30" t="n">
        <x:v>350200</x:v>
      </x:c>
      <x:c r="B629" s="22" t="str">
        <x:v>厦门市</x:v>
      </x:c>
      <x:c r="C629" s="31" t="n">
        <x:v>350213</x:v>
      </x:c>
      <x:c r="D629" s="22" t="str">
        <x:v>翔安区</x:v>
      </x:c>
      <x:c r="E629" s="22" t="str">
        <x:v>农用地</x:v>
      </x:c>
      <x:c r="F629" s="22" t="str">
        <x:v>耕地</x:v>
      </x:c>
      <x:c r="G629" s="32" t="str">
        <x:v>102</x:v>
      </x:c>
      <x:c r="H629" s="32" t="str">
        <x:v>102</x:v>
      </x:c>
      <x:c r="I629" s="22" t="str">
        <x:v>水浇地</x:v>
      </x:c>
      <x:c r="J629" s="22" t="str">
        <x:v>农业生态</x:v>
      </x:c>
      <x:c r="K629" s="32" t="str">
        <x:v>203</x:v>
      </x:c>
      <x:c r="L629" s="22" t="str">
        <x:v>村庄范围</x:v>
      </x:c>
      <x:c r="M629" s="33" t="n">
        <x:v>72524.94000000002</x:v>
      </x:c>
      <x:c r="N629" s="33" t="n">
        <x:v>7.252494000000001</x:v>
      </x:c>
      <x:c r="O629" s="22" t="str">
        <x:v>公顷</x:v>
      </x:c>
      <x:c r="P629" s="22" t="str">
        <x:v>未提供（单期横截面）</x:v>
      </x:c>
      <x:c r="Q629" s="23" t="n">
        <x:v>1937</x:v>
      </x:c>
    </x:row>
    <x:row r="630">
      <x:c r="A630" s="30" t="n">
        <x:v>350200</x:v>
      </x:c>
      <x:c r="B630" s="22" t="str">
        <x:v>厦门市</x:v>
      </x:c>
      <x:c r="C630" s="31" t="n">
        <x:v>350213</x:v>
      </x:c>
      <x:c r="D630" s="22" t="str">
        <x:v>翔安区</x:v>
      </x:c>
      <x:c r="E630" s="22" t="str">
        <x:v>农用地</x:v>
      </x:c>
      <x:c r="F630" s="22" t="str">
        <x:v>耕地</x:v>
      </x:c>
      <x:c r="G630" s="32" t="str">
        <x:v>103</x:v>
      </x:c>
      <x:c r="H630" s="32" t="str">
        <x:v>103</x:v>
      </x:c>
      <x:c r="I630" s="22" t="str">
        <x:v>旱地</x:v>
      </x:c>
      <x:c r="J630" s="22" t="str">
        <x:v>农业生态</x:v>
      </x:c>
      <x:c r="K630" s="32" t="str">
        <x:v>203</x:v>
      </x:c>
      <x:c r="L630" s="22" t="str">
        <x:v>村庄范围</x:v>
      </x:c>
      <x:c r="M630" s="33" t="n">
        <x:v>35889.44000000001</x:v>
      </x:c>
      <x:c r="N630" s="33" t="n">
        <x:v>3.588944000000001</x:v>
      </x:c>
      <x:c r="O630" s="22" t="str">
        <x:v>公顷</x:v>
      </x:c>
      <x:c r="P630" s="22" t="str">
        <x:v>未提供（单期横截面）</x:v>
      </x:c>
      <x:c r="Q630" s="23" t="n">
        <x:v>1938</x:v>
      </x:c>
    </x:row>
    <x:row r="631">
      <x:c r="A631" s="30" t="n">
        <x:v>350200</x:v>
      </x:c>
      <x:c r="B631" s="22" t="str">
        <x:v>厦门市</x:v>
      </x:c>
      <x:c r="C631" s="31" t="n">
        <x:v>350213</x:v>
      </x:c>
      <x:c r="D631" s="22" t="str">
        <x:v>翔安区</x:v>
      </x:c>
      <x:c r="E631" s="22" t="str">
        <x:v>农用地</x:v>
      </x:c>
      <x:c r="F631" s="22" t="str">
        <x:v>园地</x:v>
      </x:c>
      <x:c r="G631" s="32" t="str">
        <x:v>201</x:v>
      </x:c>
      <x:c r="H631" s="32" t="str">
        <x:v>201</x:v>
      </x:c>
      <x:c r="I631" s="22" t="str">
        <x:v>果园</x:v>
      </x:c>
      <x:c r="J631" s="22" t="str">
        <x:v>农业生态</x:v>
      </x:c>
      <x:c r="K631" s="32" t="str">
        <x:v>203</x:v>
      </x:c>
      <x:c r="L631" s="22" t="str">
        <x:v>村庄范围</x:v>
      </x:c>
      <x:c r="M631" s="33" t="n">
        <x:v>64155.79999999998</x:v>
      </x:c>
      <x:c r="N631" s="33" t="n">
        <x:v>6.4155799999999985</x:v>
      </x:c>
      <x:c r="O631" s="22" t="str">
        <x:v>公顷</x:v>
      </x:c>
      <x:c r="P631" s="22" t="str">
        <x:v>未提供（单期横截面）</x:v>
      </x:c>
      <x:c r="Q631" s="23" t="n">
        <x:v>1939</x:v>
      </x:c>
    </x:row>
    <x:row r="632">
      <x:c r="A632" s="30" t="n">
        <x:v>350200</x:v>
      </x:c>
      <x:c r="B632" s="22" t="str">
        <x:v>厦门市</x:v>
      </x:c>
      <x:c r="C632" s="31" t="n">
        <x:v>350213</x:v>
      </x:c>
      <x:c r="D632" s="22" t="str">
        <x:v>翔安区</x:v>
      </x:c>
      <x:c r="E632" s="22" t="str">
        <x:v>农用地</x:v>
      </x:c>
      <x:c r="F632" s="22" t="str">
        <x:v>园地</x:v>
      </x:c>
      <x:c r="G632" s="32" t="str">
        <x:v>204</x:v>
      </x:c>
      <x:c r="H632" s="32" t="str">
        <x:v>204</x:v>
      </x:c>
      <x:c r="I632" s="22" t="str">
        <x:v>其他园地</x:v>
      </x:c>
      <x:c r="J632" s="22" t="str">
        <x:v>农业生态</x:v>
      </x:c>
      <x:c r="K632" s="32" t="str">
        <x:v>203</x:v>
      </x:c>
      <x:c r="L632" s="22" t="str">
        <x:v>村庄范围</x:v>
      </x:c>
      <x:c r="M632" s="33" t="n">
        <x:v>227.62</x:v>
      </x:c>
      <x:c r="N632" s="33" t="n">
        <x:v>0.022762</x:v>
      </x:c>
      <x:c r="O632" s="22" t="str">
        <x:v>公顷</x:v>
      </x:c>
      <x:c r="P632" s="22" t="str">
        <x:v>未提供（单期横截面）</x:v>
      </x:c>
      <x:c r="Q632" s="23" t="n">
        <x:v>1940</x:v>
      </x:c>
    </x:row>
    <x:row r="633">
      <x:c r="A633" s="30" t="n">
        <x:v>350200</x:v>
      </x:c>
      <x:c r="B633" s="22" t="str">
        <x:v>厦门市</x:v>
      </x:c>
      <x:c r="C633" s="31" t="n">
        <x:v>350213</x:v>
      </x:c>
      <x:c r="D633" s="22" t="str">
        <x:v>翔安区</x:v>
      </x:c>
      <x:c r="E633" s="22" t="str">
        <x:v>农用地</x:v>
      </x:c>
      <x:c r="F633" s="22" t="str">
        <x:v>林地</x:v>
      </x:c>
      <x:c r="G633" s="32" t="str">
        <x:v>301</x:v>
      </x:c>
      <x:c r="H633" s="32" t="str">
        <x:v>301</x:v>
      </x:c>
      <x:c r="I633" s="22" t="str">
        <x:v>乔木林地</x:v>
      </x:c>
      <x:c r="J633" s="22" t="str">
        <x:v>农业生态</x:v>
      </x:c>
      <x:c r="K633" s="32" t="str">
        <x:v>203</x:v>
      </x:c>
      <x:c r="L633" s="22" t="str">
        <x:v>村庄范围</x:v>
      </x:c>
      <x:c r="M633" s="33" t="n">
        <x:v>79976.86999999998</x:v>
      </x:c>
      <x:c r="N633" s="33" t="n">
        <x:v>7.997686999999998</x:v>
      </x:c>
      <x:c r="O633" s="22" t="str">
        <x:v>公顷</x:v>
      </x:c>
      <x:c r="P633" s="22" t="str">
        <x:v>未提供（单期横截面）</x:v>
      </x:c>
      <x:c r="Q633" s="23" t="n">
        <x:v>1941</x:v>
      </x:c>
    </x:row>
    <x:row r="634">
      <x:c r="A634" s="30" t="n">
        <x:v>350200</x:v>
      </x:c>
      <x:c r="B634" s="22" t="str">
        <x:v>厦门市</x:v>
      </x:c>
      <x:c r="C634" s="31" t="n">
        <x:v>350213</x:v>
      </x:c>
      <x:c r="D634" s="22" t="str">
        <x:v>翔安区</x:v>
      </x:c>
      <x:c r="E634" s="22" t="str">
        <x:v>农用地</x:v>
      </x:c>
      <x:c r="F634" s="22" t="str">
        <x:v>林地</x:v>
      </x:c>
      <x:c r="G634" s="32" t="str">
        <x:v>305</x:v>
      </x:c>
      <x:c r="H634" s="32" t="str">
        <x:v>305</x:v>
      </x:c>
      <x:c r="I634" s="22" t="str">
        <x:v>灌木林地</x:v>
      </x:c>
      <x:c r="J634" s="22" t="str">
        <x:v>农业生态</x:v>
      </x:c>
      <x:c r="K634" s="32" t="str">
        <x:v>203</x:v>
      </x:c>
      <x:c r="L634" s="22" t="str">
        <x:v>村庄范围</x:v>
      </x:c>
      <x:c r="M634" s="33" t="n">
        <x:v>21546.89</x:v>
      </x:c>
      <x:c r="N634" s="33" t="n">
        <x:v>2.154689</x:v>
      </x:c>
      <x:c r="O634" s="22" t="str">
        <x:v>公顷</x:v>
      </x:c>
      <x:c r="P634" s="22" t="str">
        <x:v>未提供（单期横截面）</x:v>
      </x:c>
      <x:c r="Q634" s="23" t="n">
        <x:v>1942</x:v>
      </x:c>
    </x:row>
    <x:row r="635">
      <x:c r="A635" s="30" t="n">
        <x:v>350200</x:v>
      </x:c>
      <x:c r="B635" s="22" t="str">
        <x:v>厦门市</x:v>
      </x:c>
      <x:c r="C635" s="31" t="n">
        <x:v>350213</x:v>
      </x:c>
      <x:c r="D635" s="22" t="str">
        <x:v>翔安区</x:v>
      </x:c>
      <x:c r="E635" s="22" t="str">
        <x:v>农用地</x:v>
      </x:c>
      <x:c r="F635" s="22" t="str">
        <x:v>林地</x:v>
      </x:c>
      <x:c r="G635" s="32" t="str">
        <x:v>307</x:v>
      </x:c>
      <x:c r="H635" s="32" t="str">
        <x:v>307</x:v>
      </x:c>
      <x:c r="I635" s="22" t="str">
        <x:v>其他林地</x:v>
      </x:c>
      <x:c r="J635" s="22" t="str">
        <x:v>农业生态</x:v>
      </x:c>
      <x:c r="K635" s="32" t="str">
        <x:v>203</x:v>
      </x:c>
      <x:c r="L635" s="22" t="str">
        <x:v>村庄范围</x:v>
      </x:c>
      <x:c r="M635" s="33" t="n">
        <x:v>1817.62</x:v>
      </x:c>
      <x:c r="N635" s="33" t="n">
        <x:v>0.18176199999999998</x:v>
      </x:c>
      <x:c r="O635" s="22" t="str">
        <x:v>公顷</x:v>
      </x:c>
      <x:c r="P635" s="22" t="str">
        <x:v>未提供（单期横截面）</x:v>
      </x:c>
      <x:c r="Q635" s="23" t="n">
        <x:v>1943</x:v>
      </x:c>
    </x:row>
    <x:row r="636">
      <x:c r="A636" s="30" t="n">
        <x:v>350200</x:v>
      </x:c>
      <x:c r="B636" s="22" t="str">
        <x:v>厦门市</x:v>
      </x:c>
      <x:c r="C636" s="31" t="n">
        <x:v>350213</x:v>
      </x:c>
      <x:c r="D636" s="22" t="str">
        <x:v>翔安区</x:v>
      </x:c>
      <x:c r="E636" s="22" t="str">
        <x:v>农用地</x:v>
      </x:c>
      <x:c r="F636" s="22" t="str">
        <x:v>其他农用地</x:v>
      </x:c>
      <x:c r="G636" s="32" t="str">
        <x:v>1006</x:v>
      </x:c>
      <x:c r="H636" s="32" t="str">
        <x:v>1006</x:v>
      </x:c>
      <x:c r="I636" s="22" t="str">
        <x:v>农村道路</x:v>
      </x:c>
      <x:c r="J636" s="22" t="str">
        <x:v>农业生态</x:v>
      </x:c>
      <x:c r="K636" s="32" t="str">
        <x:v>203</x:v>
      </x:c>
      <x:c r="L636" s="22" t="str">
        <x:v>村庄范围</x:v>
      </x:c>
      <x:c r="M636" s="33" t="n">
        <x:v>585.92</x:v>
      </x:c>
      <x:c r="N636" s="33" t="n">
        <x:v>0.058592</x:v>
      </x:c>
      <x:c r="O636" s="22" t="str">
        <x:v>公顷</x:v>
      </x:c>
      <x:c r="P636" s="22" t="str">
        <x:v>未提供（单期横截面）</x:v>
      </x:c>
      <x:c r="Q636" s="23" t="n">
        <x:v>1944</x:v>
      </x:c>
    </x:row>
    <x:row r="637">
      <x:c r="A637" s="30" t="n">
        <x:v>350200</x:v>
      </x:c>
      <x:c r="B637" s="22" t="str">
        <x:v>厦门市</x:v>
      </x:c>
      <x:c r="C637" s="31" t="n">
        <x:v>350213</x:v>
      </x:c>
      <x:c r="D637" s="22" t="str">
        <x:v>翔安区</x:v>
      </x:c>
      <x:c r="E637" s="22" t="str">
        <x:v>农用地</x:v>
      </x:c>
      <x:c r="F637" s="22" t="str">
        <x:v>水域及水利设施</x:v>
      </x:c>
      <x:c r="G637" s="32" t="str">
        <x:v>1104</x:v>
      </x:c>
      <x:c r="H637" s="32" t="str">
        <x:v>1104</x:v>
      </x:c>
      <x:c r="I637" s="22" t="str">
        <x:v>坑塘水面</x:v>
      </x:c>
      <x:c r="J637" s="22" t="str">
        <x:v>农业生态</x:v>
      </x:c>
      <x:c r="K637" s="32" t="str">
        <x:v>203</x:v>
      </x:c>
      <x:c r="L637" s="22" t="str">
        <x:v>村庄范围</x:v>
      </x:c>
      <x:c r="M637" s="33" t="n">
        <x:v>68351.54</x:v>
      </x:c>
      <x:c r="N637" s="33" t="n">
        <x:v>6.835153999999999</x:v>
      </x:c>
      <x:c r="O637" s="22" t="str">
        <x:v>公顷</x:v>
      </x:c>
      <x:c r="P637" s="22" t="str">
        <x:v>未提供（单期横截面）</x:v>
      </x:c>
      <x:c r="Q637" s="23" t="n">
        <x:v>1945</x:v>
      </x:c>
    </x:row>
    <x:row r="638">
      <x:c r="A638" s="30" t="n">
        <x:v>350200</x:v>
      </x:c>
      <x:c r="B638" s="22" t="str">
        <x:v>厦门市</x:v>
      </x:c>
      <x:c r="C638" s="31" t="n">
        <x:v>350213</x:v>
      </x:c>
      <x:c r="D638" s="22" t="str">
        <x:v>翔安区</x:v>
      </x:c>
      <x:c r="E638" s="22" t="str">
        <x:v>农用地</x:v>
      </x:c>
      <x:c r="F638" s="22" t="str">
        <x:v>水域及水利设施</x:v>
      </x:c>
      <x:c r="G638" s="32" t="str">
        <x:v>1104A</x:v>
      </x:c>
      <x:c r="H638" s="32" t="str">
        <x:v>1104</x:v>
      </x:c>
      <x:c r="I638" s="22" t="str">
        <x:v>养殖坑塘</x:v>
      </x:c>
      <x:c r="J638" s="22" t="str">
        <x:v>农业生态</x:v>
      </x:c>
      <x:c r="K638" s="32" t="str">
        <x:v>203</x:v>
      </x:c>
      <x:c r="L638" s="22" t="str">
        <x:v>村庄范围</x:v>
      </x:c>
      <x:c r="M638" s="33" t="n">
        <x:v>6481.81</x:v>
      </x:c>
      <x:c r="N638" s="33" t="n">
        <x:v>0.648181</x:v>
      </x:c>
      <x:c r="O638" s="22" t="str">
        <x:v>公顷</x:v>
      </x:c>
      <x:c r="P638" s="22" t="str">
        <x:v>未提供（单期横截面）</x:v>
      </x:c>
      <x:c r="Q638" s="23" t="n">
        <x:v>1946</x:v>
      </x:c>
    </x:row>
    <x:row r="639">
      <x:c r="A639" s="30" t="n">
        <x:v>350200</x:v>
      </x:c>
      <x:c r="B639" s="22" t="str">
        <x:v>厦门市</x:v>
      </x:c>
      <x:c r="C639" s="31" t="n">
        <x:v>350213</x:v>
      </x:c>
      <x:c r="D639" s="22" t="str">
        <x:v>翔安区</x:v>
      </x:c>
      <x:c r="E639" s="22" t="str">
        <x:v>农用地</x:v>
      </x:c>
      <x:c r="F639" s="22" t="str">
        <x:v>水域及水利设施</x:v>
      </x:c>
      <x:c r="G639" s="32" t="str">
        <x:v>1107</x:v>
      </x:c>
      <x:c r="H639" s="32" t="str">
        <x:v>1107</x:v>
      </x:c>
      <x:c r="I639" s="22" t="str">
        <x:v>沟渠</x:v>
      </x:c>
      <x:c r="J639" s="22" t="str">
        <x:v>农业生态</x:v>
      </x:c>
      <x:c r="K639" s="32" t="str">
        <x:v>203</x:v>
      </x:c>
      <x:c r="L639" s="22" t="str">
        <x:v>村庄范围</x:v>
      </x:c>
      <x:c r="M639" s="33" t="n">
        <x:v>5622.02</x:v>
      </x:c>
      <x:c r="N639" s="33" t="n">
        <x:v>0.5622020000000001</x:v>
      </x:c>
      <x:c r="O639" s="22" t="str">
        <x:v>公顷</x:v>
      </x:c>
      <x:c r="P639" s="22" t="str">
        <x:v>未提供（单期横截面）</x:v>
      </x:c>
      <x:c r="Q639" s="23" t="n">
        <x:v>1947</x:v>
      </x:c>
    </x:row>
    <x:row r="640">
      <x:c r="A640" s="30" t="n">
        <x:v>350200</x:v>
      </x:c>
      <x:c r="B640" s="22" t="str">
        <x:v>厦门市</x:v>
      </x:c>
      <x:c r="C640" s="31" t="n">
        <x:v>350213</x:v>
      </x:c>
      <x:c r="D640" s="22" t="str">
        <x:v>翔安区</x:v>
      </x:c>
      <x:c r="E640" s="22" t="str">
        <x:v>农用地</x:v>
      </x:c>
      <x:c r="F640" s="22" t="str">
        <x:v>其他农用地</x:v>
      </x:c>
      <x:c r="G640" s="32" t="str">
        <x:v>1202</x:v>
      </x:c>
      <x:c r="H640" s="32" t="str">
        <x:v>1202</x:v>
      </x:c>
      <x:c r="I640" s="22" t="str">
        <x:v>设施农用地</x:v>
      </x:c>
      <x:c r="J640" s="22" t="str">
        <x:v>农业生态</x:v>
      </x:c>
      <x:c r="K640" s="32" t="str">
        <x:v>203</x:v>
      </x:c>
      <x:c r="L640" s="22" t="str">
        <x:v>村庄范围</x:v>
      </x:c>
      <x:c r="M640" s="33" t="n">
        <x:v>14147.289999999999</x:v>
      </x:c>
      <x:c r="N640" s="33" t="n">
        <x:v>1.414729</x:v>
      </x:c>
      <x:c r="O640" s="22" t="str">
        <x:v>公顷</x:v>
      </x:c>
      <x:c r="P640" s="22" t="str">
        <x:v>未提供（单期横截面）</x:v>
      </x:c>
      <x:c r="Q640" s="23" t="n">
        <x:v>1948</x:v>
      </x:c>
    </x:row>
    <x:row r="641">
      <x:c r="A641" s="30" t="n">
        <x:v>350200</x:v>
      </x:c>
      <x:c r="B641" s="22" t="str">
        <x:v>厦门市</x:v>
      </x:c>
      <x:c r="C641" s="31" t="n">
        <x:v>350213</x:v>
      </x:c>
      <x:c r="D641" s="22" t="str">
        <x:v>翔安区</x:v>
      </x:c>
      <x:c r="E641" s="22" t="str">
        <x:v>农用地</x:v>
      </x:c>
      <x:c r="F641" s="22" t="str">
        <x:v>林地</x:v>
      </x:c>
      <x:c r="G641" s="32" t="str">
        <x:v>301</x:v>
      </x:c>
      <x:c r="H641" s="32" t="str">
        <x:v>301</x:v>
      </x:c>
      <x:c r="I641" s="22" t="str">
        <x:v>乔木林地</x:v>
      </x:c>
      <x:c r="J641" s="22" t="str">
        <x:v>农业生态</x:v>
      </x:c>
      <x:c r="K641" s="32" t="str">
        <x:v>204</x:v>
      </x:c>
      <x:c r="L641" s="22" t="str">
        <x:v>盐田及采矿用地</x:v>
      </x:c>
      <x:c r="M641" s="33" t="n">
        <x:v>6324.16</x:v>
      </x:c>
      <x:c r="N641" s="33" t="n">
        <x:v>0.632416</x:v>
      </x:c>
      <x:c r="O641" s="22" t="str">
        <x:v>公顷</x:v>
      </x:c>
      <x:c r="P641" s="22" t="str">
        <x:v>未提供（单期横截面）</x:v>
      </x:c>
      <x:c r="Q641" s="23" t="n">
        <x:v>1949</x:v>
      </x:c>
    </x:row>
    <x:row r="642">
      <x:c r="A642" s="30" t="n">
        <x:v>350200</x:v>
      </x:c>
      <x:c r="B642" s="22" t="str">
        <x:v>厦门市</x:v>
      </x:c>
      <x:c r="C642" s="31" t="n">
        <x:v>350213</x:v>
      </x:c>
      <x:c r="D642" s="22" t="str">
        <x:v>翔安区</x:v>
      </x:c>
      <x:c r="E642" s="22" t="str">
        <x:v>农用地</x:v>
      </x:c>
      <x:c r="F642" s="22" t="str">
        <x:v>水域及水利设施</x:v>
      </x:c>
      <x:c r="G642" s="32" t="str">
        <x:v>1104</x:v>
      </x:c>
      <x:c r="H642" s="32" t="str">
        <x:v>1104</x:v>
      </x:c>
      <x:c r="I642" s="22" t="str">
        <x:v>坑塘水面</x:v>
      </x:c>
      <x:c r="J642" s="22" t="str">
        <x:v>农业生态</x:v>
      </x:c>
      <x:c r="K642" s="32" t="str">
        <x:v>204</x:v>
      </x:c>
      <x:c r="L642" s="22" t="str">
        <x:v>盐田及采矿用地</x:v>
      </x:c>
      <x:c r="M642" s="33" t="n">
        <x:v>29817.16</x:v>
      </x:c>
      <x:c r="N642" s="33" t="n">
        <x:v>2.981716</x:v>
      </x:c>
      <x:c r="O642" s="22" t="str">
        <x:v>公顷</x:v>
      </x:c>
      <x:c r="P642" s="22" t="str">
        <x:v>未提供（单期横截面）</x:v>
      </x:c>
      <x:c r="Q642" s="23" t="n">
        <x:v>1950</x:v>
      </x:c>
    </x:row>
    <x:row r="643">
      <x:c r="A643" s="30" t="n">
        <x:v>350200</x:v>
      </x:c>
      <x:c r="B643" s="22" t="str">
        <x:v>厦门市</x:v>
      </x:c>
      <x:c r="C643" s="31" t="n">
        <x:v>350213</x:v>
      </x:c>
      <x:c r="D643" s="22" t="str">
        <x:v>翔安区</x:v>
      </x:c>
      <x:c r="E643" s="22" t="str">
        <x:v>农用地</x:v>
      </x:c>
      <x:c r="F643" s="22" t="str">
        <x:v>林地</x:v>
      </x:c>
      <x:c r="G643" s="32" t="str">
        <x:v>301</x:v>
      </x:c>
      <x:c r="H643" s="32" t="str">
        <x:v>301</x:v>
      </x:c>
      <x:c r="I643" s="22" t="str">
        <x:v>乔木林地</x:v>
      </x:c>
      <x:c r="J643" s="22" t="str">
        <x:v>农业生态</x:v>
      </x:c>
      <x:c r="K643" s="32" t="str">
        <x:v>205</x:v>
      </x:c>
      <x:c r="L643" s="22" t="str">
        <x:v>特殊用地</x:v>
      </x:c>
      <x:c r="M643" s="33" t="n">
        <x:v>5199.48</x:v>
      </x:c>
      <x:c r="N643" s="33" t="n">
        <x:v>0.519948</x:v>
      </x:c>
      <x:c r="O643" s="22" t="str">
        <x:v>公顷</x:v>
      </x:c>
      <x:c r="P643" s="22" t="str">
        <x:v>未提供（单期横截面）</x:v>
      </x:c>
      <x:c r="Q643" s="23" t="n">
        <x:v>1951</x:v>
      </x:c>
    </x:row>
    <x:row r="644">
      <x:c r="A644" s="30" t="n">
        <x:v>350200</x:v>
      </x:c>
      <x:c r="B644" s="22" t="str">
        <x:v>厦门市</x:v>
      </x:c>
      <x:c r="C644" s="31" t="n">
        <x:v>350213</x:v>
      </x:c>
      <x:c r="D644" s="22" t="str">
        <x:v>翔安区</x:v>
      </x:c>
      <x:c r="E644" s="22" t="str">
        <x:v>未利用地</x:v>
      </x:c>
      <x:c r="F644" s="22" t="str">
        <x:v>草地</x:v>
      </x:c>
      <x:c r="G644" s="32" t="str">
        <x:v>404</x:v>
      </x:c>
      <x:c r="H644" s="32" t="str">
        <x:v>404</x:v>
      </x:c>
      <x:c r="I644" s="22" t="str">
        <x:v>其他草地</x:v>
      </x:c>
      <x:c r="J644" s="22" t="str">
        <x:v>农业生态</x:v>
      </x:c>
      <x:c r="K644" s="32" t="str"/>
      <x:c r="L644" s="22" t="str">
        <x:v>不适用/未标注</x:v>
      </x:c>
      <x:c r="M644" s="33" t="n">
        <x:v>5311543.190000004</x:v>
      </x:c>
      <x:c r="N644" s="33" t="n">
        <x:v>531.1543190000004</x:v>
      </x:c>
      <x:c r="O644" s="22" t="str">
        <x:v>公顷</x:v>
      </x:c>
      <x:c r="P644" s="22" t="str">
        <x:v>未提供（单期横截面）</x:v>
      </x:c>
      <x:c r="Q644" s="23" t="n">
        <x:v>1952</x:v>
      </x:c>
    </x:row>
    <x:row r="645">
      <x:c r="A645" s="30" t="n">
        <x:v>350200</x:v>
      </x:c>
      <x:c r="B645" s="22" t="str">
        <x:v>厦门市</x:v>
      </x:c>
      <x:c r="C645" s="31" t="n">
        <x:v>350213</x:v>
      </x:c>
      <x:c r="D645" s="22" t="str">
        <x:v>翔安区</x:v>
      </x:c>
      <x:c r="E645" s="22" t="str">
        <x:v>未利用地</x:v>
      </x:c>
      <x:c r="F645" s="22" t="str">
        <x:v>水域及水利设施</x:v>
      </x:c>
      <x:c r="G645" s="32" t="str">
        <x:v>1101</x:v>
      </x:c>
      <x:c r="H645" s="32" t="str">
        <x:v>1101</x:v>
      </x:c>
      <x:c r="I645" s="22" t="str">
        <x:v>河流水面</x:v>
      </x:c>
      <x:c r="J645" s="22" t="str">
        <x:v>农业生态</x:v>
      </x:c>
      <x:c r="K645" s="32" t="str"/>
      <x:c r="L645" s="22" t="str">
        <x:v>不适用/未标注</x:v>
      </x:c>
      <x:c r="M645" s="33" t="n">
        <x:v>2452833.599999998</x:v>
      </x:c>
      <x:c r="N645" s="33" t="n">
        <x:v>245.28335999999982</x:v>
      </x:c>
      <x:c r="O645" s="22" t="str">
        <x:v>公顷</x:v>
      </x:c>
      <x:c r="P645" s="22" t="str">
        <x:v>未提供（单期横截面）</x:v>
      </x:c>
      <x:c r="Q645" s="23" t="n">
        <x:v>1953</x:v>
      </x:c>
    </x:row>
    <x:row r="646">
      <x:c r="A646" s="30" t="n">
        <x:v>350200</x:v>
      </x:c>
      <x:c r="B646" s="22" t="str">
        <x:v>厦门市</x:v>
      </x:c>
      <x:c r="C646" s="31" t="n">
        <x:v>350213</x:v>
      </x:c>
      <x:c r="D646" s="22" t="str">
        <x:v>翔安区</x:v>
      </x:c>
      <x:c r="E646" s="22" t="str">
        <x:v>未利用地</x:v>
      </x:c>
      <x:c r="F646" s="22" t="str">
        <x:v>水域及水利设施</x:v>
      </x:c>
      <x:c r="G646" s="32" t="str">
        <x:v>1105</x:v>
      </x:c>
      <x:c r="H646" s="32" t="str">
        <x:v>1105</x:v>
      </x:c>
      <x:c r="I646" s="22" t="str">
        <x:v>沿海滩涂</x:v>
      </x:c>
      <x:c r="J646" s="22" t="str">
        <x:v>农业生态</x:v>
      </x:c>
      <x:c r="K646" s="32" t="str"/>
      <x:c r="L646" s="22" t="str">
        <x:v>不适用/未标注</x:v>
      </x:c>
      <x:c r="M646" s="33" t="n">
        <x:v>49907685.67999998</x:v>
      </x:c>
      <x:c r="N646" s="33" t="n">
        <x:v>4990.768567999998</x:v>
      </x:c>
      <x:c r="O646" s="22" t="str">
        <x:v>公顷</x:v>
      </x:c>
      <x:c r="P646" s="22" t="str">
        <x:v>未提供（单期横截面）</x:v>
      </x:c>
      <x:c r="Q646" s="23" t="n">
        <x:v>1954</x:v>
      </x:c>
    </x:row>
    <x:row r="647">
      <x:c r="A647" s="30" t="n">
        <x:v>350200</x:v>
      </x:c>
      <x:c r="B647" s="22" t="str">
        <x:v>厦门市</x:v>
      </x:c>
      <x:c r="C647" s="31" t="n">
        <x:v>350213</x:v>
      </x:c>
      <x:c r="D647" s="22" t="str">
        <x:v>翔安区</x:v>
      </x:c>
      <x:c r="E647" s="22" t="str">
        <x:v>未利用地</x:v>
      </x:c>
      <x:c r="F647" s="22" t="str">
        <x:v>水域及水利设施</x:v>
      </x:c>
      <x:c r="G647" s="32" t="str">
        <x:v>1106</x:v>
      </x:c>
      <x:c r="H647" s="32" t="str">
        <x:v>1106</x:v>
      </x:c>
      <x:c r="I647" s="22" t="str">
        <x:v>内陆滩涂</x:v>
      </x:c>
      <x:c r="J647" s="22" t="str">
        <x:v>农业生态</x:v>
      </x:c>
      <x:c r="K647" s="32" t="str"/>
      <x:c r="L647" s="22" t="str">
        <x:v>不适用/未标注</x:v>
      </x:c>
      <x:c r="M647" s="33" t="n">
        <x:v>247013.41000000003</x:v>
      </x:c>
      <x:c r="N647" s="33" t="n">
        <x:v>24.701341000000003</x:v>
      </x:c>
      <x:c r="O647" s="22" t="str">
        <x:v>公顷</x:v>
      </x:c>
      <x:c r="P647" s="22" t="str">
        <x:v>未提供（单期横截面）</x:v>
      </x:c>
      <x:c r="Q647" s="23" t="n">
        <x:v>1955</x:v>
      </x:c>
    </x:row>
    <x:row r="648">
      <x:c r="A648" s="30" t="n">
        <x:v>350200</x:v>
      </x:c>
      <x:c r="B648" s="22" t="str">
        <x:v>厦门市</x:v>
      </x:c>
      <x:c r="C648" s="31" t="n">
        <x:v>350213</x:v>
      </x:c>
      <x:c r="D648" s="22" t="str">
        <x:v>翔安区</x:v>
      </x:c>
      <x:c r="E648" s="22" t="str">
        <x:v>未利用地</x:v>
      </x:c>
      <x:c r="F648" s="22" t="str">
        <x:v>未利用地</x:v>
      </x:c>
      <x:c r="G648" s="32" t="str">
        <x:v>1206</x:v>
      </x:c>
      <x:c r="H648" s="32" t="str">
        <x:v>1206</x:v>
      </x:c>
      <x:c r="I648" s="22" t="str">
        <x:v>裸土地</x:v>
      </x:c>
      <x:c r="J648" s="22" t="str">
        <x:v>未利用地</x:v>
      </x:c>
      <x:c r="K648" s="32" t="str"/>
      <x:c r="L648" s="22" t="str">
        <x:v>不适用/未标注</x:v>
      </x:c>
      <x:c r="M648" s="33" t="n">
        <x:v>127373.69</x:v>
      </x:c>
      <x:c r="N648" s="33" t="n">
        <x:v>12.737369000000001</x:v>
      </x:c>
      <x:c r="O648" s="22" t="str">
        <x:v>公顷</x:v>
      </x:c>
      <x:c r="P648" s="22" t="str">
        <x:v>未提供（单期横截面）</x:v>
      </x:c>
      <x:c r="Q648" s="23" t="n">
        <x:v>1956</x:v>
      </x:c>
    </x:row>
    <x:row r="649">
      <x:c r="A649" s="30" t="n">
        <x:v>350200</x:v>
      </x:c>
      <x:c r="B649" s="22" t="str">
        <x:v>厦门市</x:v>
      </x:c>
      <x:c r="C649" s="31" t="n">
        <x:v>350213</x:v>
      </x:c>
      <x:c r="D649" s="22" t="str">
        <x:v>翔安区</x:v>
      </x:c>
      <x:c r="E649" s="22" t="str">
        <x:v>未利用地</x:v>
      </x:c>
      <x:c r="F649" s="22" t="str">
        <x:v>未利用地</x:v>
      </x:c>
      <x:c r="G649" s="32" t="str">
        <x:v>1207</x:v>
      </x:c>
      <x:c r="H649" s="32" t="str">
        <x:v>1207</x:v>
      </x:c>
      <x:c r="I649" s="22" t="str">
        <x:v>裸岩石砾地</x:v>
      </x:c>
      <x:c r="J649" s="22" t="str">
        <x:v>未利用地</x:v>
      </x:c>
      <x:c r="K649" s="32" t="str"/>
      <x:c r="L649" s="22" t="str">
        <x:v>不适用/未标注</x:v>
      </x:c>
      <x:c r="M649" s="33" t="n">
        <x:v>128328.45999999999</x:v>
      </x:c>
      <x:c r="N649" s="33" t="n">
        <x:v>12.832846</x:v>
      </x:c>
      <x:c r="O649" s="22" t="str">
        <x:v>公顷</x:v>
      </x:c>
      <x:c r="P649" s="22" t="str">
        <x:v>未提供（单期横截面）</x:v>
      </x:c>
      <x:c r="Q649" s="23" t="n">
        <x:v>1957</x:v>
      </x:c>
    </x:row>
    <x:row r="650">
      <x:c r="A650" s="30" t="n">
        <x:v>350200</x:v>
      </x:c>
      <x:c r="B650" s="22" t="str">
        <x:v>厦门市</x:v>
      </x:c>
      <x:c r="C650" s="31" t="n">
        <x:v>350213</x:v>
      </x:c>
      <x:c r="D650" s="22" t="str">
        <x:v>翔安区</x:v>
      </x:c>
      <x:c r="E650" s="22" t="str">
        <x:v>未利用地</x:v>
      </x:c>
      <x:c r="F650" s="22" t="str">
        <x:v>草地</x:v>
      </x:c>
      <x:c r="G650" s="32" t="str">
        <x:v>404</x:v>
      </x:c>
      <x:c r="H650" s="32" t="str">
        <x:v>404</x:v>
      </x:c>
      <x:c r="I650" s="22" t="str">
        <x:v>其他草地</x:v>
      </x:c>
      <x:c r="J650" s="22" t="str">
        <x:v>农业生态</x:v>
      </x:c>
      <x:c r="K650" s="32" t="str">
        <x:v>201</x:v>
      </x:c>
      <x:c r="L650" s="22" t="str">
        <x:v>城市范围</x:v>
      </x:c>
      <x:c r="M650" s="33" t="n">
        <x:v>142646.30999999997</x:v>
      </x:c>
      <x:c r="N650" s="33" t="n">
        <x:v>14.264630999999996</x:v>
      </x:c>
      <x:c r="O650" s="22" t="str">
        <x:v>公顷</x:v>
      </x:c>
      <x:c r="P650" s="22" t="str">
        <x:v>未提供（单期横截面）</x:v>
      </x:c>
      <x:c r="Q650" s="23" t="n">
        <x:v>1958</x:v>
      </x:c>
    </x:row>
    <x:row r="651">
      <x:c r="A651" s="30" t="n">
        <x:v>350200</x:v>
      </x:c>
      <x:c r="B651" s="22" t="str">
        <x:v>厦门市</x:v>
      </x:c>
      <x:c r="C651" s="31" t="n">
        <x:v>350213</x:v>
      </x:c>
      <x:c r="D651" s="22" t="str">
        <x:v>翔安区</x:v>
      </x:c>
      <x:c r="E651" s="22" t="str">
        <x:v>未利用地</x:v>
      </x:c>
      <x:c r="F651" s="22" t="str">
        <x:v>水域及水利设施</x:v>
      </x:c>
      <x:c r="G651" s="32" t="str">
        <x:v>1101</x:v>
      </x:c>
      <x:c r="H651" s="32" t="str">
        <x:v>1101</x:v>
      </x:c>
      <x:c r="I651" s="22" t="str">
        <x:v>河流水面</x:v>
      </x:c>
      <x:c r="J651" s="22" t="str">
        <x:v>农业生态</x:v>
      </x:c>
      <x:c r="K651" s="32" t="str">
        <x:v>201</x:v>
      </x:c>
      <x:c r="L651" s="22" t="str">
        <x:v>城市范围</x:v>
      </x:c>
      <x:c r="M651" s="33" t="n">
        <x:v>17533.93</x:v>
      </x:c>
      <x:c r="N651" s="33" t="n">
        <x:v>1.753393</x:v>
      </x:c>
      <x:c r="O651" s="22" t="str">
        <x:v>公顷</x:v>
      </x:c>
      <x:c r="P651" s="22" t="str">
        <x:v>未提供（单期横截面）</x:v>
      </x:c>
      <x:c r="Q651" s="23" t="n">
        <x:v>1959</x:v>
      </x:c>
    </x:row>
    <x:row r="652">
      <x:c r="A652" s="30" t="n">
        <x:v>350200</x:v>
      </x:c>
      <x:c r="B652" s="22" t="str">
        <x:v>厦门市</x:v>
      </x:c>
      <x:c r="C652" s="31" t="n">
        <x:v>350213</x:v>
      </x:c>
      <x:c r="D652" s="22" t="str">
        <x:v>翔安区</x:v>
      </x:c>
      <x:c r="E652" s="22" t="str">
        <x:v>未利用地</x:v>
      </x:c>
      <x:c r="F652" s="22" t="str">
        <x:v>草地</x:v>
      </x:c>
      <x:c r="G652" s="32" t="str">
        <x:v>404</x:v>
      </x:c>
      <x:c r="H652" s="32" t="str">
        <x:v>404</x:v>
      </x:c>
      <x:c r="I652" s="22" t="str">
        <x:v>其他草地</x:v>
      </x:c>
      <x:c r="J652" s="22" t="str">
        <x:v>农业生态</x:v>
      </x:c>
      <x:c r="K652" s="32" t="str">
        <x:v>202</x:v>
      </x:c>
      <x:c r="L652" s="22" t="str">
        <x:v>建制镇范围</x:v>
      </x:c>
      <x:c r="M652" s="33" t="n">
        <x:v>37297.29</x:v>
      </x:c>
      <x:c r="N652" s="33" t="n">
        <x:v>3.7297290000000003</x:v>
      </x:c>
      <x:c r="O652" s="22" t="str">
        <x:v>公顷</x:v>
      </x:c>
      <x:c r="P652" s="22" t="str">
        <x:v>未提供（单期横截面）</x:v>
      </x:c>
      <x:c r="Q652" s="23" t="n">
        <x:v>1960</x:v>
      </x:c>
    </x:row>
    <x:row r="653">
      <x:c r="A653" s="30" t="n">
        <x:v>350200</x:v>
      </x:c>
      <x:c r="B653" s="22" t="str">
        <x:v>厦门市</x:v>
      </x:c>
      <x:c r="C653" s="31" t="n">
        <x:v>350213</x:v>
      </x:c>
      <x:c r="D653" s="22" t="str">
        <x:v>翔安区</x:v>
      </x:c>
      <x:c r="E653" s="22" t="str">
        <x:v>未利用地</x:v>
      </x:c>
      <x:c r="F653" s="22" t="str">
        <x:v>草地</x:v>
      </x:c>
      <x:c r="G653" s="32" t="str">
        <x:v>404</x:v>
      </x:c>
      <x:c r="H653" s="32" t="str">
        <x:v>404</x:v>
      </x:c>
      <x:c r="I653" s="22" t="str">
        <x:v>其他草地</x:v>
      </x:c>
      <x:c r="J653" s="22" t="str">
        <x:v>农业生态</x:v>
      </x:c>
      <x:c r="K653" s="32" t="str">
        <x:v>203</x:v>
      </x:c>
      <x:c r="L653" s="22" t="str">
        <x:v>村庄范围</x:v>
      </x:c>
      <x:c r="M653" s="33" t="n">
        <x:v>20803.99</x:v>
      </x:c>
      <x:c r="N653" s="33" t="n">
        <x:v>2.0803990000000003</x:v>
      </x:c>
      <x:c r="O653" s="22" t="str">
        <x:v>公顷</x:v>
      </x:c>
      <x:c r="P653" s="22" t="str">
        <x:v>未提供（单期横截面）</x:v>
      </x:c>
      <x:c r="Q653" s="23" t="n">
        <x:v>1961</x:v>
      </x:c>
    </x:row>
    <x:row r="654">
      <x:c r="A654" s="30" t="n">
        <x:v>350200</x:v>
      </x:c>
      <x:c r="B654" s="22" t="str">
        <x:v>厦门市</x:v>
      </x:c>
      <x:c r="C654" s="31" t="n">
        <x:v>350213</x:v>
      </x:c>
      <x:c r="D654" s="22" t="str">
        <x:v>翔安区</x:v>
      </x:c>
      <x:c r="E654" s="22" t="str">
        <x:v>未利用地</x:v>
      </x:c>
      <x:c r="F654" s="22" t="str">
        <x:v>水域及水利设施</x:v>
      </x:c>
      <x:c r="G654" s="32" t="str">
        <x:v>1105</x:v>
      </x:c>
      <x:c r="H654" s="32" t="str">
        <x:v>1105</x:v>
      </x:c>
      <x:c r="I654" s="22" t="str">
        <x:v>沿海滩涂</x:v>
      </x:c>
      <x:c r="J654" s="22" t="str">
        <x:v>农业生态</x:v>
      </x:c>
      <x:c r="K654" s="32" t="str">
        <x:v>203</x:v>
      </x:c>
      <x:c r="L654" s="22" t="str">
        <x:v>村庄范围</x:v>
      </x:c>
      <x:c r="M654" s="33" t="n">
        <x:v>9403.07</x:v>
      </x:c>
      <x:c r="N654" s="33" t="n">
        <x:v>0.940307</x:v>
      </x:c>
      <x:c r="O654" s="22" t="str">
        <x:v>公顷</x:v>
      </x:c>
      <x:c r="P654" s="22" t="str">
        <x:v>未提供（单期横截面）</x:v>
      </x:c>
      <x:c r="Q654" s="23" t="n">
        <x:v>1962</x:v>
      </x:c>
    </x:row>
    <x:row r="655">
      <x:c r="A655" s="30" t="n">
        <x:v>350200</x:v>
      </x:c>
      <x:c r="B655" s="22" t="str">
        <x:v>厦门市</x:v>
      </x:c>
      <x:c r="C655" s="31" t="n">
        <x:v>350213</x:v>
      </x:c>
      <x:c r="D655" s="22" t="str">
        <x:v>翔安区</x:v>
      </x:c>
      <x:c r="E655" s="22" t="str">
        <x:v>未利用地</x:v>
      </x:c>
      <x:c r="F655" s="22" t="str">
        <x:v>草地</x:v>
      </x:c>
      <x:c r="G655" s="32" t="str">
        <x:v>404</x:v>
      </x:c>
      <x:c r="H655" s="32" t="str">
        <x:v>404</x:v>
      </x:c>
      <x:c r="I655" s="22" t="str">
        <x:v>其他草地</x:v>
      </x:c>
      <x:c r="J655" s="22" t="str">
        <x:v>农业生态</x:v>
      </x:c>
      <x:c r="K655" s="32" t="str">
        <x:v>204</x:v>
      </x:c>
      <x:c r="L655" s="22" t="str">
        <x:v>盐田及采矿用地</x:v>
      </x:c>
      <x:c r="M655" s="33" t="n">
        <x:v>2082.69</x:v>
      </x:c>
      <x:c r="N655" s="33" t="n">
        <x:v>0.208269</x:v>
      </x:c>
      <x:c r="O655" s="22" t="str">
        <x:v>公顷</x:v>
      </x:c>
      <x:c r="P655" s="22" t="str">
        <x:v>未提供（单期横截面）</x:v>
      </x:c>
      <x:c r="Q655" s="23" t="n">
        <x:v>1963</x:v>
      </x:c>
    </x:row>
    <x:row r="656">
      <x:c r="A656" s="30" t="n">
        <x:v>350200</x:v>
      </x:c>
      <x:c r="B656" s="22" t="str">
        <x:v>厦门市</x:v>
      </x:c>
      <x:c r="C656" s="31" t="n">
        <x:v>350213</x:v>
      </x:c>
      <x:c r="D656" s="22" t="str">
        <x:v>翔安区</x:v>
      </x:c>
      <x:c r="E656" s="22" t="str">
        <x:v>未利用地</x:v>
      </x:c>
      <x:c r="F656" s="22" t="str">
        <x:v>草地</x:v>
      </x:c>
      <x:c r="G656" s="32" t="str">
        <x:v>404</x:v>
      </x:c>
      <x:c r="H656" s="32" t="str">
        <x:v>404</x:v>
      </x:c>
      <x:c r="I656" s="22" t="str">
        <x:v>其他草地</x:v>
      </x:c>
      <x:c r="J656" s="22" t="str">
        <x:v>农业生态</x:v>
      </x:c>
      <x:c r="K656" s="32" t="str">
        <x:v>205</x:v>
      </x:c>
      <x:c r="L656" s="22" t="str">
        <x:v>特殊用地</x:v>
      </x:c>
      <x:c r="M656" s="33" t="n">
        <x:v>5446.98</x:v>
      </x:c>
      <x:c r="N656" s="33" t="n">
        <x:v>0.5446979999999999</x:v>
      </x:c>
      <x:c r="O656" s="22" t="str">
        <x:v>公顷</x:v>
      </x:c>
      <x:c r="P656" s="22" t="str">
        <x:v>未提供（单期横截面）</x:v>
      </x:c>
      <x:c r="Q656" s="23" t="n">
        <x:v>1964</x:v>
      </x:c>
    </x:row>
    <x:row r="657">
      <x:c r="A657" s="30" t="n">
        <x:v>350500</x:v>
      </x:c>
      <x:c r="B657" s="22" t="str">
        <x:v>泉州市</x:v>
      </x:c>
      <x:c r="C657" s="31" t="n">
        <x:v>350502</x:v>
      </x:c>
      <x:c r="D657" s="22" t="str">
        <x:v>鲤城区</x:v>
      </x:c>
      <x:c r="E657" s="22" t="str">
        <x:v>建设用地</x:v>
      </x:c>
      <x:c r="F657" s="22" t="str">
        <x:v>交通运输用地</x:v>
      </x:c>
      <x:c r="G657" s="32" t="str">
        <x:v>1003</x:v>
      </x:c>
      <x:c r="H657" s="32" t="str">
        <x:v>1003</x:v>
      </x:c>
      <x:c r="I657" s="22" t="str">
        <x:v>公路用地</x:v>
      </x:c>
      <x:c r="J657" s="22" t="str">
        <x:v>交通门户</x:v>
      </x:c>
      <x:c r="K657" s="32" t="str"/>
      <x:c r="L657" s="22" t="str">
        <x:v>不适用/未标注</x:v>
      </x:c>
      <x:c r="M657" s="33" t="n">
        <x:v>1360601.2600000002</x:v>
      </x:c>
      <x:c r="N657" s="33" t="n">
        <x:v>136.06012600000003</x:v>
      </x:c>
      <x:c r="O657" s="22" t="str">
        <x:v>公顷</x:v>
      </x:c>
      <x:c r="P657" s="22" t="str">
        <x:v>未提供（单期横截面）</x:v>
      </x:c>
      <x:c r="Q657" s="23" t="n">
        <x:v>3636</x:v>
      </x:c>
    </x:row>
    <x:row r="658">
      <x:c r="A658" s="30" t="n">
        <x:v>350500</x:v>
      </x:c>
      <x:c r="B658" s="22" t="str">
        <x:v>泉州市</x:v>
      </x:c>
      <x:c r="C658" s="31" t="n">
        <x:v>350502</x:v>
      </x:c>
      <x:c r="D658" s="22" t="str">
        <x:v>鲤城区</x:v>
      </x:c>
      <x:c r="E658" s="22" t="str">
        <x:v>建设用地</x:v>
      </x:c>
      <x:c r="F658" s="22" t="str">
        <x:v>水域及水利设施</x:v>
      </x:c>
      <x:c r="G658" s="32" t="str">
        <x:v>1109</x:v>
      </x:c>
      <x:c r="H658" s="32" t="str">
        <x:v>1109</x:v>
      </x:c>
      <x:c r="I658" s="22" t="str">
        <x:v>水工建筑用地</x:v>
      </x:c>
      <x:c r="J658" s="22" t="str">
        <x:v>其他建设</x:v>
      </x:c>
      <x:c r="K658" s="32" t="str"/>
      <x:c r="L658" s="22" t="str">
        <x:v>不适用/未标注</x:v>
      </x:c>
      <x:c r="M658" s="33" t="n">
        <x:v>131806.83999999997</x:v>
      </x:c>
      <x:c r="N658" s="33" t="n">
        <x:v>13.180683999999998</x:v>
      </x:c>
      <x:c r="O658" s="22" t="str">
        <x:v>公顷</x:v>
      </x:c>
      <x:c r="P658" s="22" t="str">
        <x:v>未提供（单期横截面）</x:v>
      </x:c>
      <x:c r="Q658" s="23" t="n">
        <x:v>3637</x:v>
      </x:c>
    </x:row>
    <x:row r="659">
      <x:c r="A659" s="30" t="n">
        <x:v>350500</x:v>
      </x:c>
      <x:c r="B659" s="22" t="str">
        <x:v>泉州市</x:v>
      </x:c>
      <x:c r="C659" s="31" t="n">
        <x:v>350502</x:v>
      </x:c>
      <x:c r="D659" s="22" t="str">
        <x:v>鲤城区</x:v>
      </x:c>
      <x:c r="E659" s="22" t="str">
        <x:v>建设用地</x:v>
      </x:c>
      <x:c r="F659" s="22" t="str">
        <x:v>工矿仓储用地</x:v>
      </x:c>
      <x:c r="G659" s="32" t="str">
        <x:v>508</x:v>
      </x:c>
      <x:c r="H659" s="32" t="str">
        <x:v>508</x:v>
      </x:c>
      <x:c r="I659" s="22" t="str">
        <x:v>物流仓储用地</x:v>
      </x:c>
      <x:c r="J659" s="22" t="str">
        <x:v>产业功能</x:v>
      </x:c>
      <x:c r="K659" s="32" t="str">
        <x:v>201</x:v>
      </x:c>
      <x:c r="L659" s="22" t="str">
        <x:v>城市范围</x:v>
      </x:c>
      <x:c r="M659" s="33" t="n">
        <x:v>119294.33000000002</x:v>
      </x:c>
      <x:c r="N659" s="33" t="n">
        <x:v>11.929433000000001</x:v>
      </x:c>
      <x:c r="O659" s="22" t="str">
        <x:v>公顷</x:v>
      </x:c>
      <x:c r="P659" s="22" t="str">
        <x:v>未提供（单期横截面）</x:v>
      </x:c>
      <x:c r="Q659" s="23" t="n">
        <x:v>3638</x:v>
      </x:c>
    </x:row>
    <x:row r="660">
      <x:c r="A660" s="30" t="n">
        <x:v>350500</x:v>
      </x:c>
      <x:c r="B660" s="22" t="str">
        <x:v>泉州市</x:v>
      </x:c>
      <x:c r="C660" s="31" t="n">
        <x:v>350502</x:v>
      </x:c>
      <x:c r="D660" s="22" t="str">
        <x:v>鲤城区</x:v>
      </x:c>
      <x:c r="E660" s="22" t="str">
        <x:v>建设用地</x:v>
      </x:c>
      <x:c r="F660" s="22" t="str">
        <x:v>商业服务业用地</x:v>
      </x:c>
      <x:c r="G660" s="32" t="str">
        <x:v>05H1</x:v>
      </x:c>
      <x:c r="H660" s="32" t="str">
        <x:v>05H1</x:v>
      </x:c>
      <x:c r="I660" s="22" t="str">
        <x:v>商业服务业设施用地</x:v>
      </x:c>
      <x:c r="J660" s="22" t="str">
        <x:v>商业服务</x:v>
      </x:c>
      <x:c r="K660" s="32" t="str">
        <x:v>201</x:v>
      </x:c>
      <x:c r="L660" s="22" t="str">
        <x:v>城市范围</x:v>
      </x:c>
      <x:c r="M660" s="33" t="n">
        <x:v>2651209.7900000005</x:v>
      </x:c>
      <x:c r="N660" s="33" t="n">
        <x:v>265.12097900000003</x:v>
      </x:c>
      <x:c r="O660" s="22" t="str">
        <x:v>公顷</x:v>
      </x:c>
      <x:c r="P660" s="22" t="str">
        <x:v>未提供（单期横截面）</x:v>
      </x:c>
      <x:c r="Q660" s="23" t="n">
        <x:v>3639</x:v>
      </x:c>
    </x:row>
    <x:row r="661">
      <x:c r="A661" s="30" t="n">
        <x:v>350500</x:v>
      </x:c>
      <x:c r="B661" s="22" t="str">
        <x:v>泉州市</x:v>
      </x:c>
      <x:c r="C661" s="31" t="n">
        <x:v>350502</x:v>
      </x:c>
      <x:c r="D661" s="22" t="str">
        <x:v>鲤城区</x:v>
      </x:c>
      <x:c r="E661" s="22" t="str">
        <x:v>建设用地</x:v>
      </x:c>
      <x:c r="F661" s="22" t="str">
        <x:v>工矿仓储用地</x:v>
      </x:c>
      <x:c r="G661" s="32" t="str">
        <x:v>601</x:v>
      </x:c>
      <x:c r="H661" s="32" t="str">
        <x:v>601</x:v>
      </x:c>
      <x:c r="I661" s="22" t="str">
        <x:v>工业用地</x:v>
      </x:c>
      <x:c r="J661" s="22" t="str">
        <x:v>产业功能</x:v>
      </x:c>
      <x:c r="K661" s="32" t="str">
        <x:v>201</x:v>
      </x:c>
      <x:c r="L661" s="22" t="str">
        <x:v>城市范围</x:v>
      </x:c>
      <x:c r="M661" s="33" t="n">
        <x:v>4433214.63</x:v>
      </x:c>
      <x:c r="N661" s="33" t="n">
        <x:v>443.321463</x:v>
      </x:c>
      <x:c r="O661" s="22" t="str">
        <x:v>公顷</x:v>
      </x:c>
      <x:c r="P661" s="22" t="str">
        <x:v>未提供（单期横截面）</x:v>
      </x:c>
      <x:c r="Q661" s="23" t="n">
        <x:v>3640</x:v>
      </x:c>
    </x:row>
    <x:row r="662">
      <x:c r="A662" s="30" t="n">
        <x:v>350500</x:v>
      </x:c>
      <x:c r="B662" s="22" t="str">
        <x:v>泉州市</x:v>
      </x:c>
      <x:c r="C662" s="31" t="n">
        <x:v>350502</x:v>
      </x:c>
      <x:c r="D662" s="22" t="str">
        <x:v>鲤城区</x:v>
      </x:c>
      <x:c r="E662" s="22" t="str">
        <x:v>建设用地</x:v>
      </x:c>
      <x:c r="F662" s="22" t="str">
        <x:v>居住用地</x:v>
      </x:c>
      <x:c r="G662" s="32" t="str">
        <x:v>701</x:v>
      </x:c>
      <x:c r="H662" s="32" t="str">
        <x:v>701</x:v>
      </x:c>
      <x:c r="I662" s="22" t="str">
        <x:v>城镇住宅用地</x:v>
      </x:c>
      <x:c r="J662" s="22" t="str">
        <x:v>居住功能</x:v>
      </x:c>
      <x:c r="K662" s="32" t="str">
        <x:v>201</x:v>
      </x:c>
      <x:c r="L662" s="22" t="str">
        <x:v>城市范围</x:v>
      </x:c>
      <x:c r="M662" s="33" t="n">
        <x:v>11671036.430000005</x:v>
      </x:c>
      <x:c r="N662" s="33" t="n">
        <x:v>1167.1036430000006</x:v>
      </x:c>
      <x:c r="O662" s="22" t="str">
        <x:v>公顷</x:v>
      </x:c>
      <x:c r="P662" s="22" t="str">
        <x:v>未提供（单期横截面）</x:v>
      </x:c>
      <x:c r="Q662" s="23" t="n">
        <x:v>3641</x:v>
      </x:c>
    </x:row>
    <x:row r="663">
      <x:c r="A663" s="30" t="n">
        <x:v>350500</x:v>
      </x:c>
      <x:c r="B663" s="22" t="str">
        <x:v>泉州市</x:v>
      </x:c>
      <x:c r="C663" s="31" t="n">
        <x:v>350502</x:v>
      </x:c>
      <x:c r="D663" s="22" t="str">
        <x:v>鲤城区</x:v>
      </x:c>
      <x:c r="E663" s="22" t="str">
        <x:v>建设用地</x:v>
      </x:c>
      <x:c r="F663" s="22" t="str">
        <x:v>公用设施用地</x:v>
      </x:c>
      <x:c r="G663" s="32" t="str">
        <x:v>809</x:v>
      </x:c>
      <x:c r="H663" s="32" t="str">
        <x:v>809</x:v>
      </x:c>
      <x:c r="I663" s="22" t="str">
        <x:v>公用设施用地</x:v>
      </x:c>
      <x:c r="J663" s="22" t="str">
        <x:v>其他建设</x:v>
      </x:c>
      <x:c r="K663" s="32" t="str">
        <x:v>201</x:v>
      </x:c>
      <x:c r="L663" s="22" t="str">
        <x:v>城市范围</x:v>
      </x:c>
      <x:c r="M663" s="33" t="n">
        <x:v>55637.97000000001</x:v>
      </x:c>
      <x:c r="N663" s="33" t="n">
        <x:v>5.563797000000001</x:v>
      </x:c>
      <x:c r="O663" s="22" t="str">
        <x:v>公顷</x:v>
      </x:c>
      <x:c r="P663" s="22" t="str">
        <x:v>未提供（单期横截面）</x:v>
      </x:c>
      <x:c r="Q663" s="23" t="n">
        <x:v>3642</x:v>
      </x:c>
    </x:row>
    <x:row r="664">
      <x:c r="A664" s="30" t="n">
        <x:v>350500</x:v>
      </x:c>
      <x:c r="B664" s="22" t="str">
        <x:v>泉州市</x:v>
      </x:c>
      <x:c r="C664" s="31" t="n">
        <x:v>350502</x:v>
      </x:c>
      <x:c r="D664" s="22" t="str">
        <x:v>鲤城区</x:v>
      </x:c>
      <x:c r="E664" s="22" t="str">
        <x:v>建设用地</x:v>
      </x:c>
      <x:c r="F664" s="22" t="str">
        <x:v>绿地与广场用地</x:v>
      </x:c>
      <x:c r="G664" s="32" t="str">
        <x:v>810</x:v>
      </x:c>
      <x:c r="H664" s="32" t="str">
        <x:v>810</x:v>
      </x:c>
      <x:c r="I664" s="22" t="str">
        <x:v>公园与绿地</x:v>
      </x:c>
      <x:c r="J664" s="22" t="str">
        <x:v>公共空间</x:v>
      </x:c>
      <x:c r="K664" s="32" t="str">
        <x:v>201</x:v>
      </x:c>
      <x:c r="L664" s="22" t="str">
        <x:v>城市范围</x:v>
      </x:c>
      <x:c r="M664" s="33" t="n">
        <x:v>1551283.9199999997</x:v>
      </x:c>
      <x:c r="N664" s="33" t="n">
        <x:v>155.12839199999996</x:v>
      </x:c>
      <x:c r="O664" s="22" t="str">
        <x:v>公顷</x:v>
      </x:c>
      <x:c r="P664" s="22" t="str">
        <x:v>未提供（单期横截面）</x:v>
      </x:c>
      <x:c r="Q664" s="23" t="n">
        <x:v>3643</x:v>
      </x:c>
    </x:row>
    <x:row r="665">
      <x:c r="A665" s="30" t="n">
        <x:v>350500</x:v>
      </x:c>
      <x:c r="B665" s="22" t="str">
        <x:v>泉州市</x:v>
      </x:c>
      <x:c r="C665" s="31" t="n">
        <x:v>350502</x:v>
      </x:c>
      <x:c r="D665" s="22" t="str">
        <x:v>鲤城区</x:v>
      </x:c>
      <x:c r="E665" s="22" t="str">
        <x:v>建设用地</x:v>
      </x:c>
      <x:c r="F665" s="22" t="str">
        <x:v>绿地与广场用地</x:v>
      </x:c>
      <x:c r="G665" s="32" t="str">
        <x:v>0810A</x:v>
      </x:c>
      <x:c r="H665" s="32" t="str">
        <x:v>0810</x:v>
      </x:c>
      <x:c r="I665" s="22" t="str">
        <x:v>广场用地</x:v>
      </x:c>
      <x:c r="J665" s="22" t="str">
        <x:v>公共空间</x:v>
      </x:c>
      <x:c r="K665" s="32" t="str">
        <x:v>201</x:v>
      </x:c>
      <x:c r="L665" s="22" t="str">
        <x:v>城市范围</x:v>
      </x:c>
      <x:c r="M665" s="33" t="n">
        <x:v>26798.96</x:v>
      </x:c>
      <x:c r="N665" s="33" t="n">
        <x:v>2.679896</x:v>
      </x:c>
      <x:c r="O665" s="22" t="str">
        <x:v>公顷</x:v>
      </x:c>
      <x:c r="P665" s="22" t="str">
        <x:v>未提供（单期横截面）</x:v>
      </x:c>
      <x:c r="Q665" s="23" t="n">
        <x:v>3644</x:v>
      </x:c>
    </x:row>
    <x:row r="666">
      <x:c r="A666" s="30" t="n">
        <x:v>350500</x:v>
      </x:c>
      <x:c r="B666" s="22" t="str">
        <x:v>泉州市</x:v>
      </x:c>
      <x:c r="C666" s="31" t="n">
        <x:v>350502</x:v>
      </x:c>
      <x:c r="D666" s="22" t="str">
        <x:v>鲤城区</x:v>
      </x:c>
      <x:c r="E666" s="22" t="str">
        <x:v>建设用地</x:v>
      </x:c>
      <x:c r="F666" s="22" t="str">
        <x:v>公共管理与公共服务用地</x:v>
      </x:c>
      <x:c r="G666" s="32" t="str">
        <x:v>08H1</x:v>
      </x:c>
      <x:c r="H666" s="32" t="str">
        <x:v>08H1</x:v>
      </x:c>
      <x:c r="I666" s="22" t="str">
        <x:v>机关团体新闻出版用地</x:v>
      </x:c>
      <x:c r="J666" s="22" t="str">
        <x:v>公共服务</x:v>
      </x:c>
      <x:c r="K666" s="32" t="str">
        <x:v>201</x:v>
      </x:c>
      <x:c r="L666" s="22" t="str">
        <x:v>城市范围</x:v>
      </x:c>
      <x:c r="M666" s="33" t="n">
        <x:v>247959.37999999998</x:v>
      </x:c>
      <x:c r="N666" s="33" t="n">
        <x:v>24.795937999999996</x:v>
      </x:c>
      <x:c r="O666" s="22" t="str">
        <x:v>公顷</x:v>
      </x:c>
      <x:c r="P666" s="22" t="str">
        <x:v>未提供（单期横截面）</x:v>
      </x:c>
      <x:c r="Q666" s="23" t="n">
        <x:v>3645</x:v>
      </x:c>
    </x:row>
    <x:row r="667">
      <x:c r="A667" s="30" t="n">
        <x:v>350500</x:v>
      </x:c>
      <x:c r="B667" s="22" t="str">
        <x:v>泉州市</x:v>
      </x:c>
      <x:c r="C667" s="31" t="n">
        <x:v>350502</x:v>
      </x:c>
      <x:c r="D667" s="22" t="str">
        <x:v>鲤城区</x:v>
      </x:c>
      <x:c r="E667" s="22" t="str">
        <x:v>建设用地</x:v>
      </x:c>
      <x:c r="F667" s="22" t="str">
        <x:v>公共管理与公共服务用地</x:v>
      </x:c>
      <x:c r="G667" s="32" t="str">
        <x:v>08H2</x:v>
      </x:c>
      <x:c r="H667" s="32" t="str">
        <x:v>08H2</x:v>
      </x:c>
      <x:c r="I667" s="22" t="str">
        <x:v>科教文卫用地</x:v>
      </x:c>
      <x:c r="J667" s="22" t="str">
        <x:v>公共服务</x:v>
      </x:c>
      <x:c r="K667" s="32" t="str">
        <x:v>201</x:v>
      </x:c>
      <x:c r="L667" s="22" t="str">
        <x:v>城市范围</x:v>
      </x:c>
      <x:c r="M667" s="33" t="n">
        <x:v>1518689.6099999994</x:v>
      </x:c>
      <x:c r="N667" s="33" t="n">
        <x:v>151.86896099999993</x:v>
      </x:c>
      <x:c r="O667" s="22" t="str">
        <x:v>公顷</x:v>
      </x:c>
      <x:c r="P667" s="22" t="str">
        <x:v>未提供（单期横截面）</x:v>
      </x:c>
      <x:c r="Q667" s="23" t="n">
        <x:v>3646</x:v>
      </x:c>
    </x:row>
    <x:row r="668">
      <x:c r="A668" s="30" t="n">
        <x:v>350500</x:v>
      </x:c>
      <x:c r="B668" s="22" t="str">
        <x:v>泉州市</x:v>
      </x:c>
      <x:c r="C668" s="31" t="n">
        <x:v>350502</x:v>
      </x:c>
      <x:c r="D668" s="22" t="str">
        <x:v>鲤城区</x:v>
      </x:c>
      <x:c r="E668" s="22" t="str">
        <x:v>建设用地</x:v>
      </x:c>
      <x:c r="F668" s="22" t="str">
        <x:v>特殊用地</x:v>
      </x:c>
      <x:c r="G668" s="32" t="str">
        <x:v>9</x:v>
      </x:c>
      <x:c r="H668" s="32" t="str">
        <x:v>9</x:v>
      </x:c>
      <x:c r="I668" s="22" t="str">
        <x:v>特殊用地</x:v>
      </x:c>
      <x:c r="J668" s="22" t="str">
        <x:v>其他建设</x:v>
      </x:c>
      <x:c r="K668" s="32" t="str">
        <x:v>201</x:v>
      </x:c>
      <x:c r="L668" s="22" t="str">
        <x:v>城市范围</x:v>
      </x:c>
      <x:c r="M668" s="33" t="n">
        <x:v>415835.6400000001</x:v>
      </x:c>
      <x:c r="N668" s="33" t="n">
        <x:v>41.58356400000001</x:v>
      </x:c>
      <x:c r="O668" s="22" t="str">
        <x:v>公顷</x:v>
      </x:c>
      <x:c r="P668" s="22" t="str">
        <x:v>未提供（单期横截面）</x:v>
      </x:c>
      <x:c r="Q668" s="23" t="n">
        <x:v>3647</x:v>
      </x:c>
    </x:row>
    <x:row r="669">
      <x:c r="A669" s="30" t="n">
        <x:v>350500</x:v>
      </x:c>
      <x:c r="B669" s="22" t="str">
        <x:v>泉州市</x:v>
      </x:c>
      <x:c r="C669" s="31" t="n">
        <x:v>350502</x:v>
      </x:c>
      <x:c r="D669" s="22" t="str">
        <x:v>鲤城区</x:v>
      </x:c>
      <x:c r="E669" s="22" t="str">
        <x:v>建设用地</x:v>
      </x:c>
      <x:c r="F669" s="22" t="str">
        <x:v>交通运输用地</x:v>
      </x:c>
      <x:c r="G669" s="32" t="str">
        <x:v>1003</x:v>
      </x:c>
      <x:c r="H669" s="32" t="str">
        <x:v>1003</x:v>
      </x:c>
      <x:c r="I669" s="22" t="str">
        <x:v>公路用地</x:v>
      </x:c>
      <x:c r="J669" s="22" t="str">
        <x:v>交通门户</x:v>
      </x:c>
      <x:c r="K669" s="32" t="str">
        <x:v>201</x:v>
      </x:c>
      <x:c r="L669" s="22" t="str">
        <x:v>城市范围</x:v>
      </x:c>
      <x:c r="M669" s="33" t="n">
        <x:v>669.7</x:v>
      </x:c>
      <x:c r="N669" s="33" t="n">
        <x:v>0.06697</x:v>
      </x:c>
      <x:c r="O669" s="22" t="str">
        <x:v>公顷</x:v>
      </x:c>
      <x:c r="P669" s="22" t="str">
        <x:v>未提供（单期横截面）</x:v>
      </x:c>
      <x:c r="Q669" s="23" t="n">
        <x:v>3648</x:v>
      </x:c>
    </x:row>
    <x:row r="670">
      <x:c r="A670" s="30" t="n">
        <x:v>350500</x:v>
      </x:c>
      <x:c r="B670" s="22" t="str">
        <x:v>泉州市</x:v>
      </x:c>
      <x:c r="C670" s="31" t="n">
        <x:v>350502</x:v>
      </x:c>
      <x:c r="D670" s="22" t="str">
        <x:v>鲤城区</x:v>
      </x:c>
      <x:c r="E670" s="22" t="str">
        <x:v>建设用地</x:v>
      </x:c>
      <x:c r="F670" s="22" t="str">
        <x:v>交通运输用地</x:v>
      </x:c>
      <x:c r="G670" s="32" t="str">
        <x:v>1004</x:v>
      </x:c>
      <x:c r="H670" s="32" t="str">
        <x:v>1004</x:v>
      </x:c>
      <x:c r="I670" s="22" t="str">
        <x:v>城镇村道路用地</x:v>
      </x:c>
      <x:c r="J670" s="22" t="str">
        <x:v>交通门户</x:v>
      </x:c>
      <x:c r="K670" s="32" t="str">
        <x:v>201</x:v>
      </x:c>
      <x:c r="L670" s="22" t="str">
        <x:v>城市范围</x:v>
      </x:c>
      <x:c r="M670" s="33" t="n">
        <x:v>3186926.5399999986</x:v>
      </x:c>
      <x:c r="N670" s="33" t="n">
        <x:v>318.6926539999999</x:v>
      </x:c>
      <x:c r="O670" s="22" t="str">
        <x:v>公顷</x:v>
      </x:c>
      <x:c r="P670" s="22" t="str">
        <x:v>未提供（单期横截面）</x:v>
      </x:c>
      <x:c r="Q670" s="23" t="n">
        <x:v>3649</x:v>
      </x:c>
    </x:row>
    <x:row r="671">
      <x:c r="A671" s="30" t="n">
        <x:v>350500</x:v>
      </x:c>
      <x:c r="B671" s="22" t="str">
        <x:v>泉州市</x:v>
      </x:c>
      <x:c r="C671" s="31" t="n">
        <x:v>350502</x:v>
      </x:c>
      <x:c r="D671" s="22" t="str">
        <x:v>鲤城区</x:v>
      </x:c>
      <x:c r="E671" s="22" t="str">
        <x:v>建设用地</x:v>
      </x:c>
      <x:c r="F671" s="22" t="str">
        <x:v>交通运输用地</x:v>
      </x:c>
      <x:c r="G671" s="32" t="str">
        <x:v>1005</x:v>
      </x:c>
      <x:c r="H671" s="32" t="str">
        <x:v>1005</x:v>
      </x:c>
      <x:c r="I671" s="22" t="str">
        <x:v>交通服务场站用地</x:v>
      </x:c>
      <x:c r="J671" s="22" t="str">
        <x:v>交通门户</x:v>
      </x:c>
      <x:c r="K671" s="32" t="str">
        <x:v>201</x:v>
      </x:c>
      <x:c r="L671" s="22" t="str">
        <x:v>城市范围</x:v>
      </x:c>
      <x:c r="M671" s="33" t="n">
        <x:v>501256.0800000001</x:v>
      </x:c>
      <x:c r="N671" s="33" t="n">
        <x:v>50.12560800000001</x:v>
      </x:c>
      <x:c r="O671" s="22" t="str">
        <x:v>公顷</x:v>
      </x:c>
      <x:c r="P671" s="22" t="str">
        <x:v>未提供（单期横截面）</x:v>
      </x:c>
      <x:c r="Q671" s="23" t="n">
        <x:v>3650</x:v>
      </x:c>
    </x:row>
    <x:row r="672">
      <x:c r="A672" s="30" t="n">
        <x:v>350500</x:v>
      </x:c>
      <x:c r="B672" s="22" t="str">
        <x:v>泉州市</x:v>
      </x:c>
      <x:c r="C672" s="31" t="n">
        <x:v>350502</x:v>
      </x:c>
      <x:c r="D672" s="22" t="str">
        <x:v>鲤城区</x:v>
      </x:c>
      <x:c r="E672" s="22" t="str">
        <x:v>建设用地</x:v>
      </x:c>
      <x:c r="F672" s="22" t="str">
        <x:v>水域及水利设施</x:v>
      </x:c>
      <x:c r="G672" s="32" t="str">
        <x:v>1109</x:v>
      </x:c>
      <x:c r="H672" s="32" t="str">
        <x:v>1109</x:v>
      </x:c>
      <x:c r="I672" s="22" t="str">
        <x:v>水工建筑用地</x:v>
      </x:c>
      <x:c r="J672" s="22" t="str">
        <x:v>其他建设</x:v>
      </x:c>
      <x:c r="K672" s="32" t="str">
        <x:v>201</x:v>
      </x:c>
      <x:c r="L672" s="22" t="str">
        <x:v>城市范围</x:v>
      </x:c>
      <x:c r="M672" s="33" t="n">
        <x:v>75631.53</x:v>
      </x:c>
      <x:c r="N672" s="33" t="n">
        <x:v>7.563153</x:v>
      </x:c>
      <x:c r="O672" s="22" t="str">
        <x:v>公顷</x:v>
      </x:c>
      <x:c r="P672" s="22" t="str">
        <x:v>未提供（单期横截面）</x:v>
      </x:c>
      <x:c r="Q672" s="23" t="n">
        <x:v>3651</x:v>
      </x:c>
    </x:row>
    <x:row r="673">
      <x:c r="A673" s="30" t="n">
        <x:v>350500</x:v>
      </x:c>
      <x:c r="B673" s="22" t="str">
        <x:v>泉州市</x:v>
      </x:c>
      <x:c r="C673" s="31" t="n">
        <x:v>350502</x:v>
      </x:c>
      <x:c r="D673" s="22" t="str">
        <x:v>鲤城区</x:v>
      </x:c>
      <x:c r="E673" s="22" t="str">
        <x:v>建设用地</x:v>
      </x:c>
      <x:c r="F673" s="22" t="str">
        <x:v>其他建设用地</x:v>
      </x:c>
      <x:c r="G673" s="32" t="str">
        <x:v>1201</x:v>
      </x:c>
      <x:c r="H673" s="32" t="str">
        <x:v>1201</x:v>
      </x:c>
      <x:c r="I673" s="22" t="str">
        <x:v>空闲地</x:v>
      </x:c>
      <x:c r="J673" s="22" t="str">
        <x:v>其他建设</x:v>
      </x:c>
      <x:c r="K673" s="32" t="str">
        <x:v>201</x:v>
      </x:c>
      <x:c r="L673" s="22" t="str">
        <x:v>城市范围</x:v>
      </x:c>
      <x:c r="M673" s="33" t="n">
        <x:v>140444.96000000002</x:v>
      </x:c>
      <x:c r="N673" s="33" t="n">
        <x:v>14.044496000000002</x:v>
      </x:c>
      <x:c r="O673" s="22" t="str">
        <x:v>公顷</x:v>
      </x:c>
      <x:c r="P673" s="22" t="str">
        <x:v>未提供（单期横截面）</x:v>
      </x:c>
      <x:c r="Q673" s="23" t="n">
        <x:v>3652</x:v>
      </x:c>
    </x:row>
    <x:row r="674">
      <x:c r="A674" s="30" t="n">
        <x:v>350500</x:v>
      </x:c>
      <x:c r="B674" s="22" t="str">
        <x:v>泉州市</x:v>
      </x:c>
      <x:c r="C674" s="31" t="n">
        <x:v>350502</x:v>
      </x:c>
      <x:c r="D674" s="22" t="str">
        <x:v>鲤城区</x:v>
      </x:c>
      <x:c r="E674" s="22" t="str">
        <x:v>建设用地</x:v>
      </x:c>
      <x:c r="F674" s="22" t="str">
        <x:v>工矿仓储用地</x:v>
      </x:c>
      <x:c r="G674" s="32" t="str">
        <x:v>508</x:v>
      </x:c>
      <x:c r="H674" s="32" t="str">
        <x:v>508</x:v>
      </x:c>
      <x:c r="I674" s="22" t="str">
        <x:v>物流仓储用地</x:v>
      </x:c>
      <x:c r="J674" s="22" t="str">
        <x:v>产业功能</x:v>
      </x:c>
      <x:c r="K674" s="32" t="str">
        <x:v>202</x:v>
      </x:c>
      <x:c r="L674" s="22" t="str">
        <x:v>建制镇范围</x:v>
      </x:c>
      <x:c r="M674" s="33" t="n">
        <x:v>814.8900000000001</x:v>
      </x:c>
      <x:c r="N674" s="33" t="n">
        <x:v>0.081489</x:v>
      </x:c>
      <x:c r="O674" s="22" t="str">
        <x:v>公顷</x:v>
      </x:c>
      <x:c r="P674" s="22" t="str">
        <x:v>未提供（单期横截面）</x:v>
      </x:c>
      <x:c r="Q674" s="23" t="n">
        <x:v>3653</x:v>
      </x:c>
    </x:row>
    <x:row r="675">
      <x:c r="A675" s="30" t="n">
        <x:v>350500</x:v>
      </x:c>
      <x:c r="B675" s="22" t="str">
        <x:v>泉州市</x:v>
      </x:c>
      <x:c r="C675" s="31" t="n">
        <x:v>350502</x:v>
      </x:c>
      <x:c r="D675" s="22" t="str">
        <x:v>鲤城区</x:v>
      </x:c>
      <x:c r="E675" s="22" t="str">
        <x:v>建设用地</x:v>
      </x:c>
      <x:c r="F675" s="22" t="str">
        <x:v>商业服务业用地</x:v>
      </x:c>
      <x:c r="G675" s="32" t="str">
        <x:v>05H1</x:v>
      </x:c>
      <x:c r="H675" s="32" t="str">
        <x:v>05H1</x:v>
      </x:c>
      <x:c r="I675" s="22" t="str">
        <x:v>商业服务业设施用地</x:v>
      </x:c>
      <x:c r="J675" s="22" t="str">
        <x:v>商业服务</x:v>
      </x:c>
      <x:c r="K675" s="32" t="str">
        <x:v>202</x:v>
      </x:c>
      <x:c r="L675" s="22" t="str">
        <x:v>建制镇范围</x:v>
      </x:c>
      <x:c r="M675" s="33" t="n">
        <x:v>117622.95</x:v>
      </x:c>
      <x:c r="N675" s="33" t="n">
        <x:v>11.762295</x:v>
      </x:c>
      <x:c r="O675" s="22" t="str">
        <x:v>公顷</x:v>
      </x:c>
      <x:c r="P675" s="22" t="str">
        <x:v>未提供（单期横截面）</x:v>
      </x:c>
      <x:c r="Q675" s="23" t="n">
        <x:v>3654</x:v>
      </x:c>
    </x:row>
    <x:row r="676">
      <x:c r="A676" s="30" t="n">
        <x:v>350500</x:v>
      </x:c>
      <x:c r="B676" s="22" t="str">
        <x:v>泉州市</x:v>
      </x:c>
      <x:c r="C676" s="31" t="n">
        <x:v>350502</x:v>
      </x:c>
      <x:c r="D676" s="22" t="str">
        <x:v>鲤城区</x:v>
      </x:c>
      <x:c r="E676" s="22" t="str">
        <x:v>建设用地</x:v>
      </x:c>
      <x:c r="F676" s="22" t="str">
        <x:v>工矿仓储用地</x:v>
      </x:c>
      <x:c r="G676" s="32" t="str">
        <x:v>601</x:v>
      </x:c>
      <x:c r="H676" s="32" t="str">
        <x:v>601</x:v>
      </x:c>
      <x:c r="I676" s="22" t="str">
        <x:v>工业用地</x:v>
      </x:c>
      <x:c r="J676" s="22" t="str">
        <x:v>产业功能</x:v>
      </x:c>
      <x:c r="K676" s="32" t="str">
        <x:v>202</x:v>
      </x:c>
      <x:c r="L676" s="22" t="str">
        <x:v>建制镇范围</x:v>
      </x:c>
      <x:c r="M676" s="33" t="n">
        <x:v>408002.73</x:v>
      </x:c>
      <x:c r="N676" s="33" t="n">
        <x:v>40.800273</x:v>
      </x:c>
      <x:c r="O676" s="22" t="str">
        <x:v>公顷</x:v>
      </x:c>
      <x:c r="P676" s="22" t="str">
        <x:v>未提供（单期横截面）</x:v>
      </x:c>
      <x:c r="Q676" s="23" t="n">
        <x:v>3655</x:v>
      </x:c>
    </x:row>
    <x:row r="677">
      <x:c r="A677" s="30" t="n">
        <x:v>350500</x:v>
      </x:c>
      <x:c r="B677" s="22" t="str">
        <x:v>泉州市</x:v>
      </x:c>
      <x:c r="C677" s="31" t="n">
        <x:v>350502</x:v>
      </x:c>
      <x:c r="D677" s="22" t="str">
        <x:v>鲤城区</x:v>
      </x:c>
      <x:c r="E677" s="22" t="str">
        <x:v>建设用地</x:v>
      </x:c>
      <x:c r="F677" s="22" t="str">
        <x:v>居住用地</x:v>
      </x:c>
      <x:c r="G677" s="32" t="str">
        <x:v>701</x:v>
      </x:c>
      <x:c r="H677" s="32" t="str">
        <x:v>701</x:v>
      </x:c>
      <x:c r="I677" s="22" t="str">
        <x:v>城镇住宅用地</x:v>
      </x:c>
      <x:c r="J677" s="22" t="str">
        <x:v>居住功能</x:v>
      </x:c>
      <x:c r="K677" s="32" t="str">
        <x:v>202</x:v>
      </x:c>
      <x:c r="L677" s="22" t="str">
        <x:v>建制镇范围</x:v>
      </x:c>
      <x:c r="M677" s="33" t="n">
        <x:v>977456.5700000002</x:v>
      </x:c>
      <x:c r="N677" s="33" t="n">
        <x:v>97.74565700000002</x:v>
      </x:c>
      <x:c r="O677" s="22" t="str">
        <x:v>公顷</x:v>
      </x:c>
      <x:c r="P677" s="22" t="str">
        <x:v>未提供（单期横截面）</x:v>
      </x:c>
      <x:c r="Q677" s="23" t="n">
        <x:v>3656</x:v>
      </x:c>
    </x:row>
    <x:row r="678">
      <x:c r="A678" s="30" t="n">
        <x:v>350500</x:v>
      </x:c>
      <x:c r="B678" s="22" t="str">
        <x:v>泉州市</x:v>
      </x:c>
      <x:c r="C678" s="31" t="n">
        <x:v>350502</x:v>
      </x:c>
      <x:c r="D678" s="22" t="str">
        <x:v>鲤城区</x:v>
      </x:c>
      <x:c r="E678" s="22" t="str">
        <x:v>建设用地</x:v>
      </x:c>
      <x:c r="F678" s="22" t="str">
        <x:v>公用设施用地</x:v>
      </x:c>
      <x:c r="G678" s="32" t="str">
        <x:v>809</x:v>
      </x:c>
      <x:c r="H678" s="32" t="str">
        <x:v>809</x:v>
      </x:c>
      <x:c r="I678" s="22" t="str">
        <x:v>公用设施用地</x:v>
      </x:c>
      <x:c r="J678" s="22" t="str">
        <x:v>其他建设</x:v>
      </x:c>
      <x:c r="K678" s="32" t="str">
        <x:v>202</x:v>
      </x:c>
      <x:c r="L678" s="22" t="str">
        <x:v>建制镇范围</x:v>
      </x:c>
      <x:c r="M678" s="33" t="n">
        <x:v>2337.54</x:v>
      </x:c>
      <x:c r="N678" s="33" t="n">
        <x:v>0.233754</x:v>
      </x:c>
      <x:c r="O678" s="22" t="str">
        <x:v>公顷</x:v>
      </x:c>
      <x:c r="P678" s="22" t="str">
        <x:v>未提供（单期横截面）</x:v>
      </x:c>
      <x:c r="Q678" s="23" t="n">
        <x:v>3657</x:v>
      </x:c>
    </x:row>
    <x:row r="679">
      <x:c r="A679" s="30" t="n">
        <x:v>350500</x:v>
      </x:c>
      <x:c r="B679" s="22" t="str">
        <x:v>泉州市</x:v>
      </x:c>
      <x:c r="C679" s="31" t="n">
        <x:v>350502</x:v>
      </x:c>
      <x:c r="D679" s="22" t="str">
        <x:v>鲤城区</x:v>
      </x:c>
      <x:c r="E679" s="22" t="str">
        <x:v>建设用地</x:v>
      </x:c>
      <x:c r="F679" s="22" t="str">
        <x:v>绿地与广场用地</x:v>
      </x:c>
      <x:c r="G679" s="32" t="str">
        <x:v>0810A</x:v>
      </x:c>
      <x:c r="H679" s="32" t="str">
        <x:v>0810</x:v>
      </x:c>
      <x:c r="I679" s="22" t="str">
        <x:v>广场用地</x:v>
      </x:c>
      <x:c r="J679" s="22" t="str">
        <x:v>公共空间</x:v>
      </x:c>
      <x:c r="K679" s="32" t="str">
        <x:v>202</x:v>
      </x:c>
      <x:c r="L679" s="22" t="str">
        <x:v>建制镇范围</x:v>
      </x:c>
      <x:c r="M679" s="33" t="n">
        <x:v>2302.38</x:v>
      </x:c>
      <x:c r="N679" s="33" t="n">
        <x:v>0.230238</x:v>
      </x:c>
      <x:c r="O679" s="22" t="str">
        <x:v>公顷</x:v>
      </x:c>
      <x:c r="P679" s="22" t="str">
        <x:v>未提供（单期横截面）</x:v>
      </x:c>
      <x:c r="Q679" s="23" t="n">
        <x:v>3658</x:v>
      </x:c>
    </x:row>
    <x:row r="680">
      <x:c r="A680" s="30" t="n">
        <x:v>350500</x:v>
      </x:c>
      <x:c r="B680" s="22" t="str">
        <x:v>泉州市</x:v>
      </x:c>
      <x:c r="C680" s="31" t="n">
        <x:v>350502</x:v>
      </x:c>
      <x:c r="D680" s="22" t="str">
        <x:v>鲤城区</x:v>
      </x:c>
      <x:c r="E680" s="22" t="str">
        <x:v>建设用地</x:v>
      </x:c>
      <x:c r="F680" s="22" t="str">
        <x:v>公共管理与公共服务用地</x:v>
      </x:c>
      <x:c r="G680" s="32" t="str">
        <x:v>08H1</x:v>
      </x:c>
      <x:c r="H680" s="32" t="str">
        <x:v>08H1</x:v>
      </x:c>
      <x:c r="I680" s="22" t="str">
        <x:v>机关团体新闻出版用地</x:v>
      </x:c>
      <x:c r="J680" s="22" t="str">
        <x:v>公共服务</x:v>
      </x:c>
      <x:c r="K680" s="32" t="str">
        <x:v>202</x:v>
      </x:c>
      <x:c r="L680" s="22" t="str">
        <x:v>建制镇范围</x:v>
      </x:c>
      <x:c r="M680" s="33" t="n">
        <x:v>41101.17</x:v>
      </x:c>
      <x:c r="N680" s="33" t="n">
        <x:v>4.110117</x:v>
      </x:c>
      <x:c r="O680" s="22" t="str">
        <x:v>公顷</x:v>
      </x:c>
      <x:c r="P680" s="22" t="str">
        <x:v>未提供（单期横截面）</x:v>
      </x:c>
      <x:c r="Q680" s="23" t="n">
        <x:v>3659</x:v>
      </x:c>
    </x:row>
    <x:row r="681">
      <x:c r="A681" s="30" t="n">
        <x:v>350500</x:v>
      </x:c>
      <x:c r="B681" s="22" t="str">
        <x:v>泉州市</x:v>
      </x:c>
      <x:c r="C681" s="31" t="n">
        <x:v>350502</x:v>
      </x:c>
      <x:c r="D681" s="22" t="str">
        <x:v>鲤城区</x:v>
      </x:c>
      <x:c r="E681" s="22" t="str">
        <x:v>建设用地</x:v>
      </x:c>
      <x:c r="F681" s="22" t="str">
        <x:v>公共管理与公共服务用地</x:v>
      </x:c>
      <x:c r="G681" s="32" t="str">
        <x:v>08H2</x:v>
      </x:c>
      <x:c r="H681" s="32" t="str">
        <x:v>08H2</x:v>
      </x:c>
      <x:c r="I681" s="22" t="str">
        <x:v>科教文卫用地</x:v>
      </x:c>
      <x:c r="J681" s="22" t="str">
        <x:v>公共服务</x:v>
      </x:c>
      <x:c r="K681" s="32" t="str">
        <x:v>202</x:v>
      </x:c>
      <x:c r="L681" s="22" t="str">
        <x:v>建制镇范围</x:v>
      </x:c>
      <x:c r="M681" s="33" t="n">
        <x:v>95793.72</x:v>
      </x:c>
      <x:c r="N681" s="33" t="n">
        <x:v>9.579372</x:v>
      </x:c>
      <x:c r="O681" s="22" t="str">
        <x:v>公顷</x:v>
      </x:c>
      <x:c r="P681" s="22" t="str">
        <x:v>未提供（单期横截面）</x:v>
      </x:c>
      <x:c r="Q681" s="23" t="n">
        <x:v>3660</x:v>
      </x:c>
    </x:row>
    <x:row r="682">
      <x:c r="A682" s="30" t="n">
        <x:v>350500</x:v>
      </x:c>
      <x:c r="B682" s="22" t="str">
        <x:v>泉州市</x:v>
      </x:c>
      <x:c r="C682" s="31" t="n">
        <x:v>350502</x:v>
      </x:c>
      <x:c r="D682" s="22" t="str">
        <x:v>鲤城区</x:v>
      </x:c>
      <x:c r="E682" s="22" t="str">
        <x:v>建设用地</x:v>
      </x:c>
      <x:c r="F682" s="22" t="str">
        <x:v>特殊用地</x:v>
      </x:c>
      <x:c r="G682" s="32" t="str">
        <x:v>9</x:v>
      </x:c>
      <x:c r="H682" s="32" t="str">
        <x:v>9</x:v>
      </x:c>
      <x:c r="I682" s="22" t="str">
        <x:v>特殊用地</x:v>
      </x:c>
      <x:c r="J682" s="22" t="str">
        <x:v>其他建设</x:v>
      </x:c>
      <x:c r="K682" s="32" t="str">
        <x:v>202</x:v>
      </x:c>
      <x:c r="L682" s="22" t="str">
        <x:v>建制镇范围</x:v>
      </x:c>
      <x:c r="M682" s="33" t="n">
        <x:v>2915.2000000000003</x:v>
      </x:c>
      <x:c r="N682" s="33" t="n">
        <x:v>0.29152</x:v>
      </x:c>
      <x:c r="O682" s="22" t="str">
        <x:v>公顷</x:v>
      </x:c>
      <x:c r="P682" s="22" t="str">
        <x:v>未提供（单期横截面）</x:v>
      </x:c>
      <x:c r="Q682" s="23" t="n">
        <x:v>3661</x:v>
      </x:c>
    </x:row>
    <x:row r="683">
      <x:c r="A683" s="30" t="n">
        <x:v>350500</x:v>
      </x:c>
      <x:c r="B683" s="22" t="str">
        <x:v>泉州市</x:v>
      </x:c>
      <x:c r="C683" s="31" t="n">
        <x:v>350502</x:v>
      </x:c>
      <x:c r="D683" s="22" t="str">
        <x:v>鲤城区</x:v>
      </x:c>
      <x:c r="E683" s="22" t="str">
        <x:v>建设用地</x:v>
      </x:c>
      <x:c r="F683" s="22" t="str">
        <x:v>交通运输用地</x:v>
      </x:c>
      <x:c r="G683" s="32" t="str">
        <x:v>1004</x:v>
      </x:c>
      <x:c r="H683" s="32" t="str">
        <x:v>1004</x:v>
      </x:c>
      <x:c r="I683" s="22" t="str">
        <x:v>城镇村道路用地</x:v>
      </x:c>
      <x:c r="J683" s="22" t="str">
        <x:v>交通门户</x:v>
      </x:c>
      <x:c r="K683" s="32" t="str">
        <x:v>202</x:v>
      </x:c>
      <x:c r="L683" s="22" t="str">
        <x:v>建制镇范围</x:v>
      </x:c>
      <x:c r="M683" s="33" t="n">
        <x:v>116255.58000000002</x:v>
      </x:c>
      <x:c r="N683" s="33" t="n">
        <x:v>11.625558000000002</x:v>
      </x:c>
      <x:c r="O683" s="22" t="str">
        <x:v>公顷</x:v>
      </x:c>
      <x:c r="P683" s="22" t="str">
        <x:v>未提供（单期横截面）</x:v>
      </x:c>
      <x:c r="Q683" s="23" t="n">
        <x:v>3662</x:v>
      </x:c>
    </x:row>
    <x:row r="684">
      <x:c r="A684" s="30" t="n">
        <x:v>350500</x:v>
      </x:c>
      <x:c r="B684" s="22" t="str">
        <x:v>泉州市</x:v>
      </x:c>
      <x:c r="C684" s="31" t="n">
        <x:v>350502</x:v>
      </x:c>
      <x:c r="D684" s="22" t="str">
        <x:v>鲤城区</x:v>
      </x:c>
      <x:c r="E684" s="22" t="str">
        <x:v>建设用地</x:v>
      </x:c>
      <x:c r="F684" s="22" t="str">
        <x:v>交通运输用地</x:v>
      </x:c>
      <x:c r="G684" s="32" t="str">
        <x:v>1005</x:v>
      </x:c>
      <x:c r="H684" s="32" t="str">
        <x:v>1005</x:v>
      </x:c>
      <x:c r="I684" s="22" t="str">
        <x:v>交通服务场站用地</x:v>
      </x:c>
      <x:c r="J684" s="22" t="str">
        <x:v>交通门户</x:v>
      </x:c>
      <x:c r="K684" s="32" t="str">
        <x:v>202</x:v>
      </x:c>
      <x:c r="L684" s="22" t="str">
        <x:v>建制镇范围</x:v>
      </x:c>
      <x:c r="M684" s="33" t="n">
        <x:v>26858.2</x:v>
      </x:c>
      <x:c r="N684" s="33" t="n">
        <x:v>2.68582</x:v>
      </x:c>
      <x:c r="O684" s="22" t="str">
        <x:v>公顷</x:v>
      </x:c>
      <x:c r="P684" s="22" t="str">
        <x:v>未提供（单期横截面）</x:v>
      </x:c>
      <x:c r="Q684" s="23" t="n">
        <x:v>3663</x:v>
      </x:c>
    </x:row>
    <x:row r="685">
      <x:c r="A685" s="30" t="n">
        <x:v>350500</x:v>
      </x:c>
      <x:c r="B685" s="22" t="str">
        <x:v>泉州市</x:v>
      </x:c>
      <x:c r="C685" s="31" t="n">
        <x:v>350502</x:v>
      </x:c>
      <x:c r="D685" s="22" t="str">
        <x:v>鲤城区</x:v>
      </x:c>
      <x:c r="E685" s="22" t="str">
        <x:v>建设用地</x:v>
      </x:c>
      <x:c r="F685" s="22" t="str">
        <x:v>其他建设用地</x:v>
      </x:c>
      <x:c r="G685" s="32" t="str">
        <x:v>1201</x:v>
      </x:c>
      <x:c r="H685" s="32" t="str">
        <x:v>1201</x:v>
      </x:c>
      <x:c r="I685" s="22" t="str">
        <x:v>空闲地</x:v>
      </x:c>
      <x:c r="J685" s="22" t="str">
        <x:v>其他建设</x:v>
      </x:c>
      <x:c r="K685" s="32" t="str">
        <x:v>202</x:v>
      </x:c>
      <x:c r="L685" s="22" t="str">
        <x:v>建制镇范围</x:v>
      </x:c>
      <x:c r="M685" s="33" t="n">
        <x:v>4017.67</x:v>
      </x:c>
      <x:c r="N685" s="33" t="n">
        <x:v>0.401767</x:v>
      </x:c>
      <x:c r="O685" s="22" t="str">
        <x:v>公顷</x:v>
      </x:c>
      <x:c r="P685" s="22" t="str">
        <x:v>未提供（单期横截面）</x:v>
      </x:c>
      <x:c r="Q685" s="23" t="n">
        <x:v>3664</x:v>
      </x:c>
    </x:row>
    <x:row r="686">
      <x:c r="A686" s="30" t="n">
        <x:v>350500</x:v>
      </x:c>
      <x:c r="B686" s="22" t="str">
        <x:v>泉州市</x:v>
      </x:c>
      <x:c r="C686" s="31" t="n">
        <x:v>350502</x:v>
      </x:c>
      <x:c r="D686" s="22" t="str">
        <x:v>鲤城区</x:v>
      </x:c>
      <x:c r="E686" s="22" t="str">
        <x:v>建设用地</x:v>
      </x:c>
      <x:c r="F686" s="22" t="str">
        <x:v>工矿仓储用地</x:v>
      </x:c>
      <x:c r="G686" s="32" t="str">
        <x:v>508</x:v>
      </x:c>
      <x:c r="H686" s="32" t="str">
        <x:v>508</x:v>
      </x:c>
      <x:c r="I686" s="22" t="str">
        <x:v>物流仓储用地</x:v>
      </x:c>
      <x:c r="J686" s="22" t="str">
        <x:v>产业功能</x:v>
      </x:c>
      <x:c r="K686" s="32" t="str">
        <x:v>203</x:v>
      </x:c>
      <x:c r="L686" s="22" t="str">
        <x:v>村庄范围</x:v>
      </x:c>
      <x:c r="M686" s="33" t="n">
        <x:v>8329.33</x:v>
      </x:c>
      <x:c r="N686" s="33" t="n">
        <x:v>0.832933</x:v>
      </x:c>
      <x:c r="O686" s="22" t="str">
        <x:v>公顷</x:v>
      </x:c>
      <x:c r="P686" s="22" t="str">
        <x:v>未提供（单期横截面）</x:v>
      </x:c>
      <x:c r="Q686" s="23" t="n">
        <x:v>3665</x:v>
      </x:c>
    </x:row>
    <x:row r="687">
      <x:c r="A687" s="30" t="n">
        <x:v>350500</x:v>
      </x:c>
      <x:c r="B687" s="22" t="str">
        <x:v>泉州市</x:v>
      </x:c>
      <x:c r="C687" s="31" t="n">
        <x:v>350502</x:v>
      </x:c>
      <x:c r="D687" s="22" t="str">
        <x:v>鲤城区</x:v>
      </x:c>
      <x:c r="E687" s="22" t="str">
        <x:v>建设用地</x:v>
      </x:c>
      <x:c r="F687" s="22" t="str">
        <x:v>商业服务业用地</x:v>
      </x:c>
      <x:c r="G687" s="32" t="str">
        <x:v>05H1</x:v>
      </x:c>
      <x:c r="H687" s="32" t="str">
        <x:v>05H1</x:v>
      </x:c>
      <x:c r="I687" s="22" t="str">
        <x:v>商业服务业设施用地</x:v>
      </x:c>
      <x:c r="J687" s="22" t="str">
        <x:v>商业服务</x:v>
      </x:c>
      <x:c r="K687" s="32" t="str">
        <x:v>203</x:v>
      </x:c>
      <x:c r="L687" s="22" t="str">
        <x:v>村庄范围</x:v>
      </x:c>
      <x:c r="M687" s="33" t="n">
        <x:v>67267.54999999999</x:v>
      </x:c>
      <x:c r="N687" s="33" t="n">
        <x:v>6.726754999999999</x:v>
      </x:c>
      <x:c r="O687" s="22" t="str">
        <x:v>公顷</x:v>
      </x:c>
      <x:c r="P687" s="22" t="str">
        <x:v>未提供（单期横截面）</x:v>
      </x:c>
      <x:c r="Q687" s="23" t="n">
        <x:v>3666</x:v>
      </x:c>
    </x:row>
    <x:row r="688">
      <x:c r="A688" s="30" t="n">
        <x:v>350500</x:v>
      </x:c>
      <x:c r="B688" s="22" t="str">
        <x:v>泉州市</x:v>
      </x:c>
      <x:c r="C688" s="31" t="n">
        <x:v>350502</x:v>
      </x:c>
      <x:c r="D688" s="22" t="str">
        <x:v>鲤城区</x:v>
      </x:c>
      <x:c r="E688" s="22" t="str">
        <x:v>建设用地</x:v>
      </x:c>
      <x:c r="F688" s="22" t="str">
        <x:v>工矿仓储用地</x:v>
      </x:c>
      <x:c r="G688" s="32" t="str">
        <x:v>601</x:v>
      </x:c>
      <x:c r="H688" s="32" t="str">
        <x:v>601</x:v>
      </x:c>
      <x:c r="I688" s="22" t="str">
        <x:v>工业用地</x:v>
      </x:c>
      <x:c r="J688" s="22" t="str">
        <x:v>产业功能</x:v>
      </x:c>
      <x:c r="K688" s="32" t="str">
        <x:v>203</x:v>
      </x:c>
      <x:c r="L688" s="22" t="str">
        <x:v>村庄范围</x:v>
      </x:c>
      <x:c r="M688" s="33" t="n">
        <x:v>378000.26</x:v>
      </x:c>
      <x:c r="N688" s="33" t="n">
        <x:v>37.800026</x:v>
      </x:c>
      <x:c r="O688" s="22" t="str">
        <x:v>公顷</x:v>
      </x:c>
      <x:c r="P688" s="22" t="str">
        <x:v>未提供（单期横截面）</x:v>
      </x:c>
      <x:c r="Q688" s="23" t="n">
        <x:v>3667</x:v>
      </x:c>
    </x:row>
    <x:row r="689">
      <x:c r="A689" s="30" t="n">
        <x:v>350500</x:v>
      </x:c>
      <x:c r="B689" s="22" t="str">
        <x:v>泉州市</x:v>
      </x:c>
      <x:c r="C689" s="31" t="n">
        <x:v>350502</x:v>
      </x:c>
      <x:c r="D689" s="22" t="str">
        <x:v>鲤城区</x:v>
      </x:c>
      <x:c r="E689" s="22" t="str">
        <x:v>建设用地</x:v>
      </x:c>
      <x:c r="F689" s="22" t="str">
        <x:v>居住用地</x:v>
      </x:c>
      <x:c r="G689" s="32" t="str">
        <x:v>701</x:v>
      </x:c>
      <x:c r="H689" s="32" t="str">
        <x:v>701</x:v>
      </x:c>
      <x:c r="I689" s="22" t="str">
        <x:v>城镇住宅用地</x:v>
      </x:c>
      <x:c r="J689" s="22" t="str">
        <x:v>居住功能</x:v>
      </x:c>
      <x:c r="K689" s="32" t="str">
        <x:v>203</x:v>
      </x:c>
      <x:c r="L689" s="22" t="str">
        <x:v>村庄范围</x:v>
      </x:c>
      <x:c r="M689" s="33" t="n">
        <x:v>1963506.0800000003</x:v>
      </x:c>
      <x:c r="N689" s="33" t="n">
        <x:v>196.35060800000002</x:v>
      </x:c>
      <x:c r="O689" s="22" t="str">
        <x:v>公顷</x:v>
      </x:c>
      <x:c r="P689" s="22" t="str">
        <x:v>未提供（单期横截面）</x:v>
      </x:c>
      <x:c r="Q689" s="23" t="n">
        <x:v>3668</x:v>
      </x:c>
    </x:row>
    <x:row r="690">
      <x:c r="A690" s="30" t="n">
        <x:v>350500</x:v>
      </x:c>
      <x:c r="B690" s="22" t="str">
        <x:v>泉州市</x:v>
      </x:c>
      <x:c r="C690" s="31" t="n">
        <x:v>350502</x:v>
      </x:c>
      <x:c r="D690" s="22" t="str">
        <x:v>鲤城区</x:v>
      </x:c>
      <x:c r="E690" s="22" t="str">
        <x:v>建设用地</x:v>
      </x:c>
      <x:c r="F690" s="22" t="str">
        <x:v>居住用地</x:v>
      </x:c>
      <x:c r="G690" s="32" t="str">
        <x:v>702</x:v>
      </x:c>
      <x:c r="H690" s="32" t="str">
        <x:v>702</x:v>
      </x:c>
      <x:c r="I690" s="22" t="str">
        <x:v>农村宅基地</x:v>
      </x:c>
      <x:c r="J690" s="22" t="str">
        <x:v>居住功能</x:v>
      </x:c>
      <x:c r="K690" s="32" t="str">
        <x:v>203</x:v>
      </x:c>
      <x:c r="L690" s="22" t="str">
        <x:v>村庄范围</x:v>
      </x:c>
      <x:c r="M690" s="33" t="n">
        <x:v>75869.3</x:v>
      </x:c>
      <x:c r="N690" s="33" t="n">
        <x:v>7.586930000000001</x:v>
      </x:c>
      <x:c r="O690" s="22" t="str">
        <x:v>公顷</x:v>
      </x:c>
      <x:c r="P690" s="22" t="str">
        <x:v>未提供（单期横截面）</x:v>
      </x:c>
      <x:c r="Q690" s="23" t="n">
        <x:v>3669</x:v>
      </x:c>
    </x:row>
    <x:row r="691">
      <x:c r="A691" s="30" t="n">
        <x:v>350500</x:v>
      </x:c>
      <x:c r="B691" s="22" t="str">
        <x:v>泉州市</x:v>
      </x:c>
      <x:c r="C691" s="31" t="n">
        <x:v>350502</x:v>
      </x:c>
      <x:c r="D691" s="22" t="str">
        <x:v>鲤城区</x:v>
      </x:c>
      <x:c r="E691" s="22" t="str">
        <x:v>建设用地</x:v>
      </x:c>
      <x:c r="F691" s="22" t="str">
        <x:v>公用设施用地</x:v>
      </x:c>
      <x:c r="G691" s="32" t="str">
        <x:v>809</x:v>
      </x:c>
      <x:c r="H691" s="32" t="str">
        <x:v>809</x:v>
      </x:c>
      <x:c r="I691" s="22" t="str">
        <x:v>公用设施用地</x:v>
      </x:c>
      <x:c r="J691" s="22" t="str">
        <x:v>其他建设</x:v>
      </x:c>
      <x:c r="K691" s="32" t="str">
        <x:v>203</x:v>
      </x:c>
      <x:c r="L691" s="22" t="str">
        <x:v>村庄范围</x:v>
      </x:c>
      <x:c r="M691" s="33" t="n">
        <x:v>103934.17999999996</x:v>
      </x:c>
      <x:c r="N691" s="33" t="n">
        <x:v>10.393417999999997</x:v>
      </x:c>
      <x:c r="O691" s="22" t="str">
        <x:v>公顷</x:v>
      </x:c>
      <x:c r="P691" s="22" t="str">
        <x:v>未提供（单期横截面）</x:v>
      </x:c>
      <x:c r="Q691" s="23" t="n">
        <x:v>3670</x:v>
      </x:c>
    </x:row>
    <x:row r="692">
      <x:c r="A692" s="30" t="n">
        <x:v>350500</x:v>
      </x:c>
      <x:c r="B692" s="22" t="str">
        <x:v>泉州市</x:v>
      </x:c>
      <x:c r="C692" s="31" t="n">
        <x:v>350502</x:v>
      </x:c>
      <x:c r="D692" s="22" t="str">
        <x:v>鲤城区</x:v>
      </x:c>
      <x:c r="E692" s="22" t="str">
        <x:v>建设用地</x:v>
      </x:c>
      <x:c r="F692" s="22" t="str">
        <x:v>绿地与广场用地</x:v>
      </x:c>
      <x:c r="G692" s="32" t="str">
        <x:v>0810A</x:v>
      </x:c>
      <x:c r="H692" s="32" t="str">
        <x:v>0810</x:v>
      </x:c>
      <x:c r="I692" s="22" t="str">
        <x:v>广场用地</x:v>
      </x:c>
      <x:c r="J692" s="22" t="str">
        <x:v>公共空间</x:v>
      </x:c>
      <x:c r="K692" s="32" t="str">
        <x:v>203</x:v>
      </x:c>
      <x:c r="L692" s="22" t="str">
        <x:v>村庄范围</x:v>
      </x:c>
      <x:c r="M692" s="33" t="n">
        <x:v>1580.43</x:v>
      </x:c>
      <x:c r="N692" s="33" t="n">
        <x:v>0.15804300000000002</x:v>
      </x:c>
      <x:c r="O692" s="22" t="str">
        <x:v>公顷</x:v>
      </x:c>
      <x:c r="P692" s="22" t="str">
        <x:v>未提供（单期横截面）</x:v>
      </x:c>
      <x:c r="Q692" s="23" t="n">
        <x:v>3671</x:v>
      </x:c>
    </x:row>
    <x:row r="693">
      <x:c r="A693" s="30" t="n">
        <x:v>350500</x:v>
      </x:c>
      <x:c r="B693" s="22" t="str">
        <x:v>泉州市</x:v>
      </x:c>
      <x:c r="C693" s="31" t="n">
        <x:v>350502</x:v>
      </x:c>
      <x:c r="D693" s="22" t="str">
        <x:v>鲤城区</x:v>
      </x:c>
      <x:c r="E693" s="22" t="str">
        <x:v>建设用地</x:v>
      </x:c>
      <x:c r="F693" s="22" t="str">
        <x:v>公共管理与公共服务用地</x:v>
      </x:c>
      <x:c r="G693" s="32" t="str">
        <x:v>08H1</x:v>
      </x:c>
      <x:c r="H693" s="32" t="str">
        <x:v>08H1</x:v>
      </x:c>
      <x:c r="I693" s="22" t="str">
        <x:v>机关团体新闻出版用地</x:v>
      </x:c>
      <x:c r="J693" s="22" t="str">
        <x:v>公共服务</x:v>
      </x:c>
      <x:c r="K693" s="32" t="str">
        <x:v>203</x:v>
      </x:c>
      <x:c r="L693" s="22" t="str">
        <x:v>村庄范围</x:v>
      </x:c>
      <x:c r="M693" s="33" t="n">
        <x:v>5747.4</x:v>
      </x:c>
      <x:c r="N693" s="33" t="n">
        <x:v>0.5747399999999999</x:v>
      </x:c>
      <x:c r="O693" s="22" t="str">
        <x:v>公顷</x:v>
      </x:c>
      <x:c r="P693" s="22" t="str">
        <x:v>未提供（单期横截面）</x:v>
      </x:c>
      <x:c r="Q693" s="23" t="n">
        <x:v>3672</x:v>
      </x:c>
    </x:row>
    <x:row r="694">
      <x:c r="A694" s="30" t="n">
        <x:v>350500</x:v>
      </x:c>
      <x:c r="B694" s="22" t="str">
        <x:v>泉州市</x:v>
      </x:c>
      <x:c r="C694" s="31" t="n">
        <x:v>350502</x:v>
      </x:c>
      <x:c r="D694" s="22" t="str">
        <x:v>鲤城区</x:v>
      </x:c>
      <x:c r="E694" s="22" t="str">
        <x:v>建设用地</x:v>
      </x:c>
      <x:c r="F694" s="22" t="str">
        <x:v>公共管理与公共服务用地</x:v>
      </x:c>
      <x:c r="G694" s="32" t="str">
        <x:v>08H2</x:v>
      </x:c>
      <x:c r="H694" s="32" t="str">
        <x:v>08H2</x:v>
      </x:c>
      <x:c r="I694" s="22" t="str">
        <x:v>科教文卫用地</x:v>
      </x:c>
      <x:c r="J694" s="22" t="str">
        <x:v>公共服务</x:v>
      </x:c>
      <x:c r="K694" s="32" t="str">
        <x:v>203</x:v>
      </x:c>
      <x:c r="L694" s="22" t="str">
        <x:v>村庄范围</x:v>
      </x:c>
      <x:c r="M694" s="33" t="n">
        <x:v>42522.880000000005</x:v>
      </x:c>
      <x:c r="N694" s="33" t="n">
        <x:v>4.252288</x:v>
      </x:c>
      <x:c r="O694" s="22" t="str">
        <x:v>公顷</x:v>
      </x:c>
      <x:c r="P694" s="22" t="str">
        <x:v>未提供（单期横截面）</x:v>
      </x:c>
      <x:c r="Q694" s="23" t="n">
        <x:v>3673</x:v>
      </x:c>
    </x:row>
    <x:row r="695">
      <x:c r="A695" s="30" t="n">
        <x:v>350500</x:v>
      </x:c>
      <x:c r="B695" s="22" t="str">
        <x:v>泉州市</x:v>
      </x:c>
      <x:c r="C695" s="31" t="n">
        <x:v>350502</x:v>
      </x:c>
      <x:c r="D695" s="22" t="str">
        <x:v>鲤城区</x:v>
      </x:c>
      <x:c r="E695" s="22" t="str">
        <x:v>建设用地</x:v>
      </x:c>
      <x:c r="F695" s="22" t="str">
        <x:v>特殊用地</x:v>
      </x:c>
      <x:c r="G695" s="32" t="str">
        <x:v>9</x:v>
      </x:c>
      <x:c r="H695" s="32" t="str">
        <x:v>9</x:v>
      </x:c>
      <x:c r="I695" s="22" t="str">
        <x:v>特殊用地</x:v>
      </x:c>
      <x:c r="J695" s="22" t="str">
        <x:v>其他建设</x:v>
      </x:c>
      <x:c r="K695" s="32" t="str">
        <x:v>203</x:v>
      </x:c>
      <x:c r="L695" s="22" t="str">
        <x:v>村庄范围</x:v>
      </x:c>
      <x:c r="M695" s="33" t="n">
        <x:v>19366.54</x:v>
      </x:c>
      <x:c r="N695" s="33" t="n">
        <x:v>1.936654</x:v>
      </x:c>
      <x:c r="O695" s="22" t="str">
        <x:v>公顷</x:v>
      </x:c>
      <x:c r="P695" s="22" t="str">
        <x:v>未提供（单期横截面）</x:v>
      </x:c>
      <x:c r="Q695" s="23" t="n">
        <x:v>3674</x:v>
      </x:c>
    </x:row>
    <x:row r="696">
      <x:c r="A696" s="30" t="n">
        <x:v>350500</x:v>
      </x:c>
      <x:c r="B696" s="22" t="str">
        <x:v>泉州市</x:v>
      </x:c>
      <x:c r="C696" s="31" t="n">
        <x:v>350502</x:v>
      </x:c>
      <x:c r="D696" s="22" t="str">
        <x:v>鲤城区</x:v>
      </x:c>
      <x:c r="E696" s="22" t="str">
        <x:v>建设用地</x:v>
      </x:c>
      <x:c r="F696" s="22" t="str">
        <x:v>交通运输用地</x:v>
      </x:c>
      <x:c r="G696" s="32" t="str">
        <x:v>1004</x:v>
      </x:c>
      <x:c r="H696" s="32" t="str">
        <x:v>1004</x:v>
      </x:c>
      <x:c r="I696" s="22" t="str">
        <x:v>城镇村道路用地</x:v>
      </x:c>
      <x:c r="J696" s="22" t="str">
        <x:v>交通门户</x:v>
      </x:c>
      <x:c r="K696" s="32" t="str">
        <x:v>203</x:v>
      </x:c>
      <x:c r="L696" s="22" t="str">
        <x:v>村庄范围</x:v>
      </x:c>
      <x:c r="M696" s="33" t="n">
        <x:v>181507.46000000005</x:v>
      </x:c>
      <x:c r="N696" s="33" t="n">
        <x:v>18.150746000000005</x:v>
      </x:c>
      <x:c r="O696" s="22" t="str">
        <x:v>公顷</x:v>
      </x:c>
      <x:c r="P696" s="22" t="str">
        <x:v>未提供（单期横截面）</x:v>
      </x:c>
      <x:c r="Q696" s="23" t="n">
        <x:v>3675</x:v>
      </x:c>
    </x:row>
    <x:row r="697">
      <x:c r="A697" s="30" t="n">
        <x:v>350500</x:v>
      </x:c>
      <x:c r="B697" s="22" t="str">
        <x:v>泉州市</x:v>
      </x:c>
      <x:c r="C697" s="31" t="n">
        <x:v>350502</x:v>
      </x:c>
      <x:c r="D697" s="22" t="str">
        <x:v>鲤城区</x:v>
      </x:c>
      <x:c r="E697" s="22" t="str">
        <x:v>建设用地</x:v>
      </x:c>
      <x:c r="F697" s="22" t="str">
        <x:v>交通运输用地</x:v>
      </x:c>
      <x:c r="G697" s="32" t="str">
        <x:v>1005</x:v>
      </x:c>
      <x:c r="H697" s="32" t="str">
        <x:v>1005</x:v>
      </x:c>
      <x:c r="I697" s="22" t="str">
        <x:v>交通服务场站用地</x:v>
      </x:c>
      <x:c r="J697" s="22" t="str">
        <x:v>交通门户</x:v>
      </x:c>
      <x:c r="K697" s="32" t="str">
        <x:v>203</x:v>
      </x:c>
      <x:c r="L697" s="22" t="str">
        <x:v>村庄范围</x:v>
      </x:c>
      <x:c r="M697" s="33" t="n">
        <x:v>60446.67999999999</x:v>
      </x:c>
      <x:c r="N697" s="33" t="n">
        <x:v>6.044668</x:v>
      </x:c>
      <x:c r="O697" s="22" t="str">
        <x:v>公顷</x:v>
      </x:c>
      <x:c r="P697" s="22" t="str">
        <x:v>未提供（单期横截面）</x:v>
      </x:c>
      <x:c r="Q697" s="23" t="n">
        <x:v>3676</x:v>
      </x:c>
    </x:row>
    <x:row r="698">
      <x:c r="A698" s="30" t="n">
        <x:v>350500</x:v>
      </x:c>
      <x:c r="B698" s="22" t="str">
        <x:v>泉州市</x:v>
      </x:c>
      <x:c r="C698" s="31" t="n">
        <x:v>350502</x:v>
      </x:c>
      <x:c r="D698" s="22" t="str">
        <x:v>鲤城区</x:v>
      </x:c>
      <x:c r="E698" s="22" t="str">
        <x:v>建设用地</x:v>
      </x:c>
      <x:c r="F698" s="22" t="str">
        <x:v>水域及水利设施</x:v>
      </x:c>
      <x:c r="G698" s="32" t="str">
        <x:v>1109</x:v>
      </x:c>
      <x:c r="H698" s="32" t="str">
        <x:v>1109</x:v>
      </x:c>
      <x:c r="I698" s="22" t="str">
        <x:v>水工建筑用地</x:v>
      </x:c>
      <x:c r="J698" s="22" t="str">
        <x:v>其他建设</x:v>
      </x:c>
      <x:c r="K698" s="32" t="str">
        <x:v>203</x:v>
      </x:c>
      <x:c r="L698" s="22" t="str">
        <x:v>村庄范围</x:v>
      </x:c>
      <x:c r="M698" s="33" t="n">
        <x:v>19993.18</x:v>
      </x:c>
      <x:c r="N698" s="33" t="n">
        <x:v>1.999318</x:v>
      </x:c>
      <x:c r="O698" s="22" t="str">
        <x:v>公顷</x:v>
      </x:c>
      <x:c r="P698" s="22" t="str">
        <x:v>未提供（单期横截面）</x:v>
      </x:c>
      <x:c r="Q698" s="23" t="n">
        <x:v>3677</x:v>
      </x:c>
    </x:row>
    <x:row r="699">
      <x:c r="A699" s="30" t="n">
        <x:v>350500</x:v>
      </x:c>
      <x:c r="B699" s="22" t="str">
        <x:v>泉州市</x:v>
      </x:c>
      <x:c r="C699" s="31" t="n">
        <x:v>350502</x:v>
      </x:c>
      <x:c r="D699" s="22" t="str">
        <x:v>鲤城区</x:v>
      </x:c>
      <x:c r="E699" s="22" t="str">
        <x:v>建设用地</x:v>
      </x:c>
      <x:c r="F699" s="22" t="str">
        <x:v>工矿仓储用地</x:v>
      </x:c>
      <x:c r="G699" s="32" t="str">
        <x:v>601</x:v>
      </x:c>
      <x:c r="H699" s="32" t="str">
        <x:v>601</x:v>
      </x:c>
      <x:c r="I699" s="22" t="str">
        <x:v>工业用地</x:v>
      </x:c>
      <x:c r="J699" s="22" t="str">
        <x:v>产业功能</x:v>
      </x:c>
      <x:c r="K699" s="32" t="str">
        <x:v>203A</x:v>
      </x:c>
      <x:c r="L699" s="22" t="str">
        <x:v>村庄独立工业用地</x:v>
      </x:c>
      <x:c r="M699" s="33" t="n">
        <x:v>17286.01</x:v>
      </x:c>
      <x:c r="N699" s="33" t="n">
        <x:v>1.7286009999999998</x:v>
      </x:c>
      <x:c r="O699" s="22" t="str">
        <x:v>公顷</x:v>
      </x:c>
      <x:c r="P699" s="22" t="str">
        <x:v>未提供（单期横截面）</x:v>
      </x:c>
      <x:c r="Q699" s="23" t="n">
        <x:v>3678</x:v>
      </x:c>
    </x:row>
    <x:row r="700">
      <x:c r="A700" s="30" t="n">
        <x:v>350500</x:v>
      </x:c>
      <x:c r="B700" s="22" t="str">
        <x:v>泉州市</x:v>
      </x:c>
      <x:c r="C700" s="31" t="n">
        <x:v>350502</x:v>
      </x:c>
      <x:c r="D700" s="22" t="str">
        <x:v>鲤城区</x:v>
      </x:c>
      <x:c r="E700" s="22" t="str">
        <x:v>建设用地</x:v>
      </x:c>
      <x:c r="F700" s="22" t="str">
        <x:v>工矿仓储用地</x:v>
      </x:c>
      <x:c r="G700" s="32" t="str">
        <x:v>602</x:v>
      </x:c>
      <x:c r="H700" s="32" t="str">
        <x:v>602</x:v>
      </x:c>
      <x:c r="I700" s="22" t="str">
        <x:v>采矿用地</x:v>
      </x:c>
      <x:c r="J700" s="22" t="str">
        <x:v>产业功能</x:v>
      </x:c>
      <x:c r="K700" s="32" t="str">
        <x:v>204</x:v>
      </x:c>
      <x:c r="L700" s="22" t="str">
        <x:v>盐田及采矿用地</x:v>
      </x:c>
      <x:c r="M700" s="33" t="n">
        <x:v>27054.75</x:v>
      </x:c>
      <x:c r="N700" s="33" t="n">
        <x:v>2.705475</x:v>
      </x:c>
      <x:c r="O700" s="22" t="str">
        <x:v>公顷</x:v>
      </x:c>
      <x:c r="P700" s="22" t="str">
        <x:v>未提供（单期横截面）</x:v>
      </x:c>
      <x:c r="Q700" s="23" t="n">
        <x:v>3679</x:v>
      </x:c>
    </x:row>
    <x:row r="701">
      <x:c r="A701" s="30" t="n">
        <x:v>350500</x:v>
      </x:c>
      <x:c r="B701" s="22" t="str">
        <x:v>泉州市</x:v>
      </x:c>
      <x:c r="C701" s="31" t="n">
        <x:v>350502</x:v>
      </x:c>
      <x:c r="D701" s="22" t="str">
        <x:v>鲤城区</x:v>
      </x:c>
      <x:c r="E701" s="22" t="str">
        <x:v>建设用地</x:v>
      </x:c>
      <x:c r="F701" s="22" t="str">
        <x:v>特殊用地</x:v>
      </x:c>
      <x:c r="G701" s="32" t="str">
        <x:v>9</x:v>
      </x:c>
      <x:c r="H701" s="32" t="str">
        <x:v>9</x:v>
      </x:c>
      <x:c r="I701" s="22" t="str">
        <x:v>特殊用地</x:v>
      </x:c>
      <x:c r="J701" s="22" t="str">
        <x:v>其他建设</x:v>
      </x:c>
      <x:c r="K701" s="32" t="str">
        <x:v>205</x:v>
      </x:c>
      <x:c r="L701" s="22" t="str">
        <x:v>特殊用地</x:v>
      </x:c>
      <x:c r="M701" s="33" t="n">
        <x:v>145410.75000000006</x:v>
      </x:c>
      <x:c r="N701" s="33" t="n">
        <x:v>14.541075000000006</x:v>
      </x:c>
      <x:c r="O701" s="22" t="str">
        <x:v>公顷</x:v>
      </x:c>
      <x:c r="P701" s="22" t="str">
        <x:v>未提供（单期横截面）</x:v>
      </x:c>
      <x:c r="Q701" s="23" t="n">
        <x:v>3680</x:v>
      </x:c>
    </x:row>
    <x:row r="702">
      <x:c r="A702" s="30" t="n">
        <x:v>350500</x:v>
      </x:c>
      <x:c r="B702" s="22" t="str">
        <x:v>泉州市</x:v>
      </x:c>
      <x:c r="C702" s="31" t="n">
        <x:v>350502</x:v>
      </x:c>
      <x:c r="D702" s="22" t="str">
        <x:v>鲤城区</x:v>
      </x:c>
      <x:c r="E702" s="22" t="str">
        <x:v>农用地</x:v>
      </x:c>
      <x:c r="F702" s="22" t="str">
        <x:v>耕地</x:v>
      </x:c>
      <x:c r="G702" s="32" t="str">
        <x:v>101</x:v>
      </x:c>
      <x:c r="H702" s="32" t="str">
        <x:v>101</x:v>
      </x:c>
      <x:c r="I702" s="22" t="str">
        <x:v>水田</x:v>
      </x:c>
      <x:c r="J702" s="22" t="str">
        <x:v>农业生态</x:v>
      </x:c>
      <x:c r="K702" s="32" t="str"/>
      <x:c r="L702" s="22" t="str">
        <x:v>不适用/未标注</x:v>
      </x:c>
      <x:c r="M702" s="33" t="n">
        <x:v>463878.18000000005</x:v>
      </x:c>
      <x:c r="N702" s="33" t="n">
        <x:v>46.387818</x:v>
      </x:c>
      <x:c r="O702" s="22" t="str">
        <x:v>公顷</x:v>
      </x:c>
      <x:c r="P702" s="22" t="str">
        <x:v>未提供（单期横截面）</x:v>
      </x:c>
      <x:c r="Q702" s="23" t="n">
        <x:v>3681</x:v>
      </x:c>
    </x:row>
    <x:row r="703">
      <x:c r="A703" s="30" t="n">
        <x:v>350500</x:v>
      </x:c>
      <x:c r="B703" s="22" t="str">
        <x:v>泉州市</x:v>
      </x:c>
      <x:c r="C703" s="31" t="n">
        <x:v>350502</x:v>
      </x:c>
      <x:c r="D703" s="22" t="str">
        <x:v>鲤城区</x:v>
      </x:c>
      <x:c r="E703" s="22" t="str">
        <x:v>农用地</x:v>
      </x:c>
      <x:c r="F703" s="22" t="str">
        <x:v>耕地</x:v>
      </x:c>
      <x:c r="G703" s="32" t="str">
        <x:v>102</x:v>
      </x:c>
      <x:c r="H703" s="32" t="str">
        <x:v>102</x:v>
      </x:c>
      <x:c r="I703" s="22" t="str">
        <x:v>水浇地</x:v>
      </x:c>
      <x:c r="J703" s="22" t="str">
        <x:v>农业生态</x:v>
      </x:c>
      <x:c r="K703" s="32" t="str"/>
      <x:c r="L703" s="22" t="str">
        <x:v>不适用/未标注</x:v>
      </x:c>
      <x:c r="M703" s="33" t="n">
        <x:v>1220335.93</x:v>
      </x:c>
      <x:c r="N703" s="33" t="n">
        <x:v>122.033593</x:v>
      </x:c>
      <x:c r="O703" s="22" t="str">
        <x:v>公顷</x:v>
      </x:c>
      <x:c r="P703" s="22" t="str">
        <x:v>未提供（单期横截面）</x:v>
      </x:c>
      <x:c r="Q703" s="23" t="n">
        <x:v>3682</x:v>
      </x:c>
    </x:row>
    <x:row r="704">
      <x:c r="A704" s="30" t="n">
        <x:v>350500</x:v>
      </x:c>
      <x:c r="B704" s="22" t="str">
        <x:v>泉州市</x:v>
      </x:c>
      <x:c r="C704" s="31" t="n">
        <x:v>350502</x:v>
      </x:c>
      <x:c r="D704" s="22" t="str">
        <x:v>鲤城区</x:v>
      </x:c>
      <x:c r="E704" s="22" t="str">
        <x:v>农用地</x:v>
      </x:c>
      <x:c r="F704" s="22" t="str">
        <x:v>耕地</x:v>
      </x:c>
      <x:c r="G704" s="32" t="str">
        <x:v>103</x:v>
      </x:c>
      <x:c r="H704" s="32" t="str">
        <x:v>103</x:v>
      </x:c>
      <x:c r="I704" s="22" t="str">
        <x:v>旱地</x:v>
      </x:c>
      <x:c r="J704" s="22" t="str">
        <x:v>农业生态</x:v>
      </x:c>
      <x:c r="K704" s="32" t="str"/>
      <x:c r="L704" s="22" t="str">
        <x:v>不适用/未标注</x:v>
      </x:c>
      <x:c r="M704" s="33" t="n">
        <x:v>96381.92</x:v>
      </x:c>
      <x:c r="N704" s="33" t="n">
        <x:v>9.638192</x:v>
      </x:c>
      <x:c r="O704" s="22" t="str">
        <x:v>公顷</x:v>
      </x:c>
      <x:c r="P704" s="22" t="str">
        <x:v>未提供（单期横截面）</x:v>
      </x:c>
      <x:c r="Q704" s="23" t="n">
        <x:v>3683</x:v>
      </x:c>
    </x:row>
    <x:row r="705">
      <x:c r="A705" s="30" t="n">
        <x:v>350500</x:v>
      </x:c>
      <x:c r="B705" s="22" t="str">
        <x:v>泉州市</x:v>
      </x:c>
      <x:c r="C705" s="31" t="n">
        <x:v>350502</x:v>
      </x:c>
      <x:c r="D705" s="22" t="str">
        <x:v>鲤城区</x:v>
      </x:c>
      <x:c r="E705" s="22" t="str">
        <x:v>农用地</x:v>
      </x:c>
      <x:c r="F705" s="22" t="str">
        <x:v>园地</x:v>
      </x:c>
      <x:c r="G705" s="32" t="str">
        <x:v>201</x:v>
      </x:c>
      <x:c r="H705" s="32" t="str">
        <x:v>201</x:v>
      </x:c>
      <x:c r="I705" s="22" t="str">
        <x:v>果园</x:v>
      </x:c>
      <x:c r="J705" s="22" t="str">
        <x:v>农业生态</x:v>
      </x:c>
      <x:c r="K705" s="32" t="str"/>
      <x:c r="L705" s="22" t="str">
        <x:v>不适用/未标注</x:v>
      </x:c>
      <x:c r="M705" s="33" t="n">
        <x:v>3942986.2099999986</x:v>
      </x:c>
      <x:c r="N705" s="33" t="n">
        <x:v>394.29862099999986</x:v>
      </x:c>
      <x:c r="O705" s="22" t="str">
        <x:v>公顷</x:v>
      </x:c>
      <x:c r="P705" s="22" t="str">
        <x:v>未提供（单期横截面）</x:v>
      </x:c>
      <x:c r="Q705" s="23" t="n">
        <x:v>3684</x:v>
      </x:c>
    </x:row>
    <x:row r="706">
      <x:c r="A706" s="30" t="n">
        <x:v>350500</x:v>
      </x:c>
      <x:c r="B706" s="22" t="str">
        <x:v>泉州市</x:v>
      </x:c>
      <x:c r="C706" s="31" t="n">
        <x:v>350502</x:v>
      </x:c>
      <x:c r="D706" s="22" t="str">
        <x:v>鲤城区</x:v>
      </x:c>
      <x:c r="E706" s="22" t="str">
        <x:v>农用地</x:v>
      </x:c>
      <x:c r="F706" s="22" t="str">
        <x:v>园地</x:v>
      </x:c>
      <x:c r="G706" s="32" t="str">
        <x:v>0201K</x:v>
      </x:c>
      <x:c r="H706" s="32" t="str">
        <x:v>201</x:v>
      </x:c>
      <x:c r="I706" s="22" t="str">
        <x:v>可调整果园</x:v>
      </x:c>
      <x:c r="J706" s="22" t="str">
        <x:v>农业生态</x:v>
      </x:c>
      <x:c r="K706" s="32" t="str"/>
      <x:c r="L706" s="22" t="str">
        <x:v>不适用/未标注</x:v>
      </x:c>
      <x:c r="M706" s="33" t="n">
        <x:v>57003.63</x:v>
      </x:c>
      <x:c r="N706" s="33" t="n">
        <x:v>5.700362999999999</x:v>
      </x:c>
      <x:c r="O706" s="22" t="str">
        <x:v>公顷</x:v>
      </x:c>
      <x:c r="P706" s="22" t="str">
        <x:v>未提供（单期横截面）</x:v>
      </x:c>
      <x:c r="Q706" s="23" t="n">
        <x:v>3685</x:v>
      </x:c>
    </x:row>
    <x:row r="707">
      <x:c r="A707" s="30" t="n">
        <x:v>350500</x:v>
      </x:c>
      <x:c r="B707" s="22" t="str">
        <x:v>泉州市</x:v>
      </x:c>
      <x:c r="C707" s="31" t="n">
        <x:v>350502</x:v>
      </x:c>
      <x:c r="D707" s="22" t="str">
        <x:v>鲤城区</x:v>
      </x:c>
      <x:c r="E707" s="22" t="str">
        <x:v>农用地</x:v>
      </x:c>
      <x:c r="F707" s="22" t="str">
        <x:v>园地</x:v>
      </x:c>
      <x:c r="G707" s="32" t="str">
        <x:v>202</x:v>
      </x:c>
      <x:c r="H707" s="32" t="str">
        <x:v>202</x:v>
      </x:c>
      <x:c r="I707" s="22" t="str">
        <x:v>茶园</x:v>
      </x:c>
      <x:c r="J707" s="22" t="str">
        <x:v>农业生态</x:v>
      </x:c>
      <x:c r="K707" s="32" t="str"/>
      <x:c r="L707" s="22" t="str">
        <x:v>不适用/未标注</x:v>
      </x:c>
      <x:c r="M707" s="33" t="n">
        <x:v>5190.44</x:v>
      </x:c>
      <x:c r="N707" s="33" t="n">
        <x:v>0.519044</x:v>
      </x:c>
      <x:c r="O707" s="22" t="str">
        <x:v>公顷</x:v>
      </x:c>
      <x:c r="P707" s="22" t="str">
        <x:v>未提供（单期横截面）</x:v>
      </x:c>
      <x:c r="Q707" s="23" t="n">
        <x:v>3686</x:v>
      </x:c>
    </x:row>
    <x:row r="708">
      <x:c r="A708" s="30" t="n">
        <x:v>350500</x:v>
      </x:c>
      <x:c r="B708" s="22" t="str">
        <x:v>泉州市</x:v>
      </x:c>
      <x:c r="C708" s="31" t="n">
        <x:v>350502</x:v>
      </x:c>
      <x:c r="D708" s="22" t="str">
        <x:v>鲤城区</x:v>
      </x:c>
      <x:c r="E708" s="22" t="str">
        <x:v>农用地</x:v>
      </x:c>
      <x:c r="F708" s="22" t="str">
        <x:v>园地</x:v>
      </x:c>
      <x:c r="G708" s="32" t="str">
        <x:v>204</x:v>
      </x:c>
      <x:c r="H708" s="32" t="str">
        <x:v>204</x:v>
      </x:c>
      <x:c r="I708" s="22" t="str">
        <x:v>其他园地</x:v>
      </x:c>
      <x:c r="J708" s="22" t="str">
        <x:v>农业生态</x:v>
      </x:c>
      <x:c r="K708" s="32" t="str"/>
      <x:c r="L708" s="22" t="str">
        <x:v>不适用/未标注</x:v>
      </x:c>
      <x:c r="M708" s="33" t="n">
        <x:v>246433.22999999998</x:v>
      </x:c>
      <x:c r="N708" s="33" t="n">
        <x:v>24.643323</x:v>
      </x:c>
      <x:c r="O708" s="22" t="str">
        <x:v>公顷</x:v>
      </x:c>
      <x:c r="P708" s="22" t="str">
        <x:v>未提供（单期横截面）</x:v>
      </x:c>
      <x:c r="Q708" s="23" t="n">
        <x:v>3687</x:v>
      </x:c>
    </x:row>
    <x:row r="709">
      <x:c r="A709" s="30" t="n">
        <x:v>350500</x:v>
      </x:c>
      <x:c r="B709" s="22" t="str">
        <x:v>泉州市</x:v>
      </x:c>
      <x:c r="C709" s="31" t="n">
        <x:v>350502</x:v>
      </x:c>
      <x:c r="D709" s="22" t="str">
        <x:v>鲤城区</x:v>
      </x:c>
      <x:c r="E709" s="22" t="str">
        <x:v>农用地</x:v>
      </x:c>
      <x:c r="F709" s="22" t="str">
        <x:v>林地</x:v>
      </x:c>
      <x:c r="G709" s="32" t="str">
        <x:v>301</x:v>
      </x:c>
      <x:c r="H709" s="32" t="str">
        <x:v>301</x:v>
      </x:c>
      <x:c r="I709" s="22" t="str">
        <x:v>乔木林地</x:v>
      </x:c>
      <x:c r="J709" s="22" t="str">
        <x:v>农业生态</x:v>
      </x:c>
      <x:c r="K709" s="32" t="str"/>
      <x:c r="L709" s="22" t="str">
        <x:v>不适用/未标注</x:v>
      </x:c>
      <x:c r="M709" s="33" t="n">
        <x:v>6646769.649999999</x:v>
      </x:c>
      <x:c r="N709" s="33" t="n">
        <x:v>664.676965</x:v>
      </x:c>
      <x:c r="O709" s="22" t="str">
        <x:v>公顷</x:v>
      </x:c>
      <x:c r="P709" s="22" t="str">
        <x:v>未提供（单期横截面）</x:v>
      </x:c>
      <x:c r="Q709" s="23" t="n">
        <x:v>3688</x:v>
      </x:c>
    </x:row>
    <x:row r="710">
      <x:c r="A710" s="30" t="n">
        <x:v>350500</x:v>
      </x:c>
      <x:c r="B710" s="22" t="str">
        <x:v>泉州市</x:v>
      </x:c>
      <x:c r="C710" s="31" t="n">
        <x:v>350502</x:v>
      </x:c>
      <x:c r="D710" s="22" t="str">
        <x:v>鲤城区</x:v>
      </x:c>
      <x:c r="E710" s="22" t="str">
        <x:v>农用地</x:v>
      </x:c>
      <x:c r="F710" s="22" t="str">
        <x:v>林地</x:v>
      </x:c>
      <x:c r="G710" s="32" t="str">
        <x:v>0301K</x:v>
      </x:c>
      <x:c r="H710" s="32" t="str">
        <x:v>0301</x:v>
      </x:c>
      <x:c r="I710" s="22" t="str">
        <x:v>可调整乔木林地</x:v>
      </x:c>
      <x:c r="J710" s="22" t="str">
        <x:v>农业生态</x:v>
      </x:c>
      <x:c r="K710" s="32" t="str"/>
      <x:c r="L710" s="22" t="str">
        <x:v>不适用/未标注</x:v>
      </x:c>
      <x:c r="M710" s="33" t="n">
        <x:v>3453.42</x:v>
      </x:c>
      <x:c r="N710" s="33" t="n">
        <x:v>0.345342</x:v>
      </x:c>
      <x:c r="O710" s="22" t="str">
        <x:v>公顷</x:v>
      </x:c>
      <x:c r="P710" s="22" t="str">
        <x:v>未提供（单期横截面）</x:v>
      </x:c>
      <x:c r="Q710" s="23" t="n">
        <x:v>3689</x:v>
      </x:c>
    </x:row>
    <x:row r="711">
      <x:c r="A711" s="30" t="n">
        <x:v>350500</x:v>
      </x:c>
      <x:c r="B711" s="22" t="str">
        <x:v>泉州市</x:v>
      </x:c>
      <x:c r="C711" s="31" t="n">
        <x:v>350502</x:v>
      </x:c>
      <x:c r="D711" s="22" t="str">
        <x:v>鲤城区</x:v>
      </x:c>
      <x:c r="E711" s="22" t="str">
        <x:v>农用地</x:v>
      </x:c>
      <x:c r="F711" s="22" t="str">
        <x:v>林地</x:v>
      </x:c>
      <x:c r="G711" s="32" t="str">
        <x:v>302</x:v>
      </x:c>
      <x:c r="H711" s="32" t="str">
        <x:v>302</x:v>
      </x:c>
      <x:c r="I711" s="22" t="str">
        <x:v>竹林地</x:v>
      </x:c>
      <x:c r="J711" s="22" t="str">
        <x:v>农业生态</x:v>
      </x:c>
      <x:c r="K711" s="32" t="str"/>
      <x:c r="L711" s="22" t="str">
        <x:v>不适用/未标注</x:v>
      </x:c>
      <x:c r="M711" s="33" t="n">
        <x:v>1554.35</x:v>
      </x:c>
      <x:c r="N711" s="33" t="n">
        <x:v>0.155435</x:v>
      </x:c>
      <x:c r="O711" s="22" t="str">
        <x:v>公顷</x:v>
      </x:c>
      <x:c r="P711" s="22" t="str">
        <x:v>未提供（单期横截面）</x:v>
      </x:c>
      <x:c r="Q711" s="23" t="n">
        <x:v>3690</x:v>
      </x:c>
    </x:row>
    <x:row r="712">
      <x:c r="A712" s="30" t="n">
        <x:v>350500</x:v>
      </x:c>
      <x:c r="B712" s="22" t="str">
        <x:v>泉州市</x:v>
      </x:c>
      <x:c r="C712" s="31" t="n">
        <x:v>350502</x:v>
      </x:c>
      <x:c r="D712" s="22" t="str">
        <x:v>鲤城区</x:v>
      </x:c>
      <x:c r="E712" s="22" t="str">
        <x:v>农用地</x:v>
      </x:c>
      <x:c r="F712" s="22" t="str">
        <x:v>林地</x:v>
      </x:c>
      <x:c r="G712" s="32" t="str">
        <x:v>305</x:v>
      </x:c>
      <x:c r="H712" s="32" t="str">
        <x:v>305</x:v>
      </x:c>
      <x:c r="I712" s="22" t="str">
        <x:v>灌木林地</x:v>
      </x:c>
      <x:c r="J712" s="22" t="str">
        <x:v>农业生态</x:v>
      </x:c>
      <x:c r="K712" s="32" t="str"/>
      <x:c r="L712" s="22" t="str">
        <x:v>不适用/未标注</x:v>
      </x:c>
      <x:c r="M712" s="33" t="n">
        <x:v>55313.689999999995</x:v>
      </x:c>
      <x:c r="N712" s="33" t="n">
        <x:v>5.531369</x:v>
      </x:c>
      <x:c r="O712" s="22" t="str">
        <x:v>公顷</x:v>
      </x:c>
      <x:c r="P712" s="22" t="str">
        <x:v>未提供（单期横截面）</x:v>
      </x:c>
      <x:c r="Q712" s="23" t="n">
        <x:v>3691</x:v>
      </x:c>
    </x:row>
    <x:row r="713">
      <x:c r="A713" s="30" t="n">
        <x:v>350500</x:v>
      </x:c>
      <x:c r="B713" s="22" t="str">
        <x:v>泉州市</x:v>
      </x:c>
      <x:c r="C713" s="31" t="n">
        <x:v>350502</x:v>
      </x:c>
      <x:c r="D713" s="22" t="str">
        <x:v>鲤城区</x:v>
      </x:c>
      <x:c r="E713" s="22" t="str">
        <x:v>农用地</x:v>
      </x:c>
      <x:c r="F713" s="22" t="str">
        <x:v>林地</x:v>
      </x:c>
      <x:c r="G713" s="32" t="str">
        <x:v>307</x:v>
      </x:c>
      <x:c r="H713" s="32" t="str">
        <x:v>307</x:v>
      </x:c>
      <x:c r="I713" s="22" t="str">
        <x:v>其他林地</x:v>
      </x:c>
      <x:c r="J713" s="22" t="str">
        <x:v>农业生态</x:v>
      </x:c>
      <x:c r="K713" s="32" t="str"/>
      <x:c r="L713" s="22" t="str">
        <x:v>不适用/未标注</x:v>
      </x:c>
      <x:c r="M713" s="33" t="n">
        <x:v>607932.18</x:v>
      </x:c>
      <x:c r="N713" s="33" t="n">
        <x:v>60.793218</x:v>
      </x:c>
      <x:c r="O713" s="22" t="str">
        <x:v>公顷</x:v>
      </x:c>
      <x:c r="P713" s="22" t="str">
        <x:v>未提供（单期横截面）</x:v>
      </x:c>
      <x:c r="Q713" s="23" t="n">
        <x:v>3692</x:v>
      </x:c>
    </x:row>
    <x:row r="714">
      <x:c r="A714" s="30" t="n">
        <x:v>350500</x:v>
      </x:c>
      <x:c r="B714" s="22" t="str">
        <x:v>泉州市</x:v>
      </x:c>
      <x:c r="C714" s="31" t="n">
        <x:v>350502</x:v>
      </x:c>
      <x:c r="D714" s="22" t="str">
        <x:v>鲤城区</x:v>
      </x:c>
      <x:c r="E714" s="22" t="str">
        <x:v>农用地</x:v>
      </x:c>
      <x:c r="F714" s="22" t="str">
        <x:v>其他农用地</x:v>
      </x:c>
      <x:c r="G714" s="32" t="str">
        <x:v>1006</x:v>
      </x:c>
      <x:c r="H714" s="32" t="str">
        <x:v>1006</x:v>
      </x:c>
      <x:c r="I714" s="22" t="str">
        <x:v>农村道路</x:v>
      </x:c>
      <x:c r="J714" s="22" t="str">
        <x:v>农业生态</x:v>
      </x:c>
      <x:c r="K714" s="32" t="str"/>
      <x:c r="L714" s="22" t="str">
        <x:v>不适用/未标注</x:v>
      </x:c>
      <x:c r="M714" s="33" t="n">
        <x:v>230625.52999999997</x:v>
      </x:c>
      <x:c r="N714" s="33" t="n">
        <x:v>23.062552999999998</x:v>
      </x:c>
      <x:c r="O714" s="22" t="str">
        <x:v>公顷</x:v>
      </x:c>
      <x:c r="P714" s="22" t="str">
        <x:v>未提供（单期横截面）</x:v>
      </x:c>
      <x:c r="Q714" s="23" t="n">
        <x:v>3693</x:v>
      </x:c>
    </x:row>
    <x:row r="715">
      <x:c r="A715" s="30" t="n">
        <x:v>350500</x:v>
      </x:c>
      <x:c r="B715" s="22" t="str">
        <x:v>泉州市</x:v>
      </x:c>
      <x:c r="C715" s="31" t="n">
        <x:v>350502</x:v>
      </x:c>
      <x:c r="D715" s="22" t="str">
        <x:v>鲤城区</x:v>
      </x:c>
      <x:c r="E715" s="22" t="str">
        <x:v>农用地</x:v>
      </x:c>
      <x:c r="F715" s="22" t="str">
        <x:v>水域及水利设施</x:v>
      </x:c>
      <x:c r="G715" s="32" t="str">
        <x:v>1103</x:v>
      </x:c>
      <x:c r="H715" s="32" t="str">
        <x:v>1103</x:v>
      </x:c>
      <x:c r="I715" s="22" t="str">
        <x:v>水库水面</x:v>
      </x:c>
      <x:c r="J715" s="22" t="str">
        <x:v>农业生态</x:v>
      </x:c>
      <x:c r="K715" s="32" t="str"/>
      <x:c r="L715" s="22" t="str">
        <x:v>不适用/未标注</x:v>
      </x:c>
      <x:c r="M715" s="33" t="n">
        <x:v>10713.24</x:v>
      </x:c>
      <x:c r="N715" s="33" t="n">
        <x:v>1.071324</x:v>
      </x:c>
      <x:c r="O715" s="22" t="str">
        <x:v>公顷</x:v>
      </x:c>
      <x:c r="P715" s="22" t="str">
        <x:v>未提供（单期横截面）</x:v>
      </x:c>
      <x:c r="Q715" s="23" t="n">
        <x:v>3694</x:v>
      </x:c>
    </x:row>
    <x:row r="716">
      <x:c r="A716" s="30" t="n">
        <x:v>350500</x:v>
      </x:c>
      <x:c r="B716" s="22" t="str">
        <x:v>泉州市</x:v>
      </x:c>
      <x:c r="C716" s="31" t="n">
        <x:v>350502</x:v>
      </x:c>
      <x:c r="D716" s="22" t="str">
        <x:v>鲤城区</x:v>
      </x:c>
      <x:c r="E716" s="22" t="str">
        <x:v>农用地</x:v>
      </x:c>
      <x:c r="F716" s="22" t="str">
        <x:v>水域及水利设施</x:v>
      </x:c>
      <x:c r="G716" s="32" t="str">
        <x:v>1104</x:v>
      </x:c>
      <x:c r="H716" s="32" t="str">
        <x:v>1104</x:v>
      </x:c>
      <x:c r="I716" s="22" t="str">
        <x:v>坑塘水面</x:v>
      </x:c>
      <x:c r="J716" s="22" t="str">
        <x:v>农业生态</x:v>
      </x:c>
      <x:c r="K716" s="32" t="str"/>
      <x:c r="L716" s="22" t="str">
        <x:v>不适用/未标注</x:v>
      </x:c>
      <x:c r="M716" s="33" t="n">
        <x:v>141925.52000000002</x:v>
      </x:c>
      <x:c r="N716" s="33" t="n">
        <x:v>14.192552000000003</x:v>
      </x:c>
      <x:c r="O716" s="22" t="str">
        <x:v>公顷</x:v>
      </x:c>
      <x:c r="P716" s="22" t="str">
        <x:v>未提供（单期横截面）</x:v>
      </x:c>
      <x:c r="Q716" s="23" t="n">
        <x:v>3695</x:v>
      </x:c>
    </x:row>
    <x:row r="717">
      <x:c r="A717" s="30" t="n">
        <x:v>350500</x:v>
      </x:c>
      <x:c r="B717" s="22" t="str">
        <x:v>泉州市</x:v>
      </x:c>
      <x:c r="C717" s="31" t="n">
        <x:v>350502</x:v>
      </x:c>
      <x:c r="D717" s="22" t="str">
        <x:v>鲤城区</x:v>
      </x:c>
      <x:c r="E717" s="22" t="str">
        <x:v>农用地</x:v>
      </x:c>
      <x:c r="F717" s="22" t="str">
        <x:v>水域及水利设施</x:v>
      </x:c>
      <x:c r="G717" s="32" t="str">
        <x:v>1104A</x:v>
      </x:c>
      <x:c r="H717" s="32" t="str">
        <x:v>1104</x:v>
      </x:c>
      <x:c r="I717" s="22" t="str">
        <x:v>养殖坑塘</x:v>
      </x:c>
      <x:c r="J717" s="22" t="str">
        <x:v>农业生态</x:v>
      </x:c>
      <x:c r="K717" s="32" t="str"/>
      <x:c r="L717" s="22" t="str">
        <x:v>不适用/未标注</x:v>
      </x:c>
      <x:c r="M717" s="33" t="n">
        <x:v>5976.5</x:v>
      </x:c>
      <x:c r="N717" s="33" t="n">
        <x:v>0.59765</x:v>
      </x:c>
      <x:c r="O717" s="22" t="str">
        <x:v>公顷</x:v>
      </x:c>
      <x:c r="P717" s="22" t="str">
        <x:v>未提供（单期横截面）</x:v>
      </x:c>
      <x:c r="Q717" s="23" t="n">
        <x:v>3696</x:v>
      </x:c>
    </x:row>
    <x:row r="718">
      <x:c r="A718" s="30" t="n">
        <x:v>350500</x:v>
      </x:c>
      <x:c r="B718" s="22" t="str">
        <x:v>泉州市</x:v>
      </x:c>
      <x:c r="C718" s="31" t="n">
        <x:v>350502</x:v>
      </x:c>
      <x:c r="D718" s="22" t="str">
        <x:v>鲤城区</x:v>
      </x:c>
      <x:c r="E718" s="22" t="str">
        <x:v>农用地</x:v>
      </x:c>
      <x:c r="F718" s="22" t="str">
        <x:v>水域及水利设施</x:v>
      </x:c>
      <x:c r="G718" s="32" t="str">
        <x:v>1107</x:v>
      </x:c>
      <x:c r="H718" s="32" t="str">
        <x:v>1107</x:v>
      </x:c>
      <x:c r="I718" s="22" t="str">
        <x:v>沟渠</x:v>
      </x:c>
      <x:c r="J718" s="22" t="str">
        <x:v>农业生态</x:v>
      </x:c>
      <x:c r="K718" s="32" t="str"/>
      <x:c r="L718" s="22" t="str">
        <x:v>不适用/未标注</x:v>
      </x:c>
      <x:c r="M718" s="33" t="n">
        <x:v>15281.690000000002</x:v>
      </x:c>
      <x:c r="N718" s="33" t="n">
        <x:v>1.5281690000000003</x:v>
      </x:c>
      <x:c r="O718" s="22" t="str">
        <x:v>公顷</x:v>
      </x:c>
      <x:c r="P718" s="22" t="str">
        <x:v>未提供（单期横截面）</x:v>
      </x:c>
      <x:c r="Q718" s="23" t="n">
        <x:v>3697</x:v>
      </x:c>
    </x:row>
    <x:row r="719">
      <x:c r="A719" s="30" t="n">
        <x:v>350500</x:v>
      </x:c>
      <x:c r="B719" s="22" t="str">
        <x:v>泉州市</x:v>
      </x:c>
      <x:c r="C719" s="31" t="n">
        <x:v>350502</x:v>
      </x:c>
      <x:c r="D719" s="22" t="str">
        <x:v>鲤城区</x:v>
      </x:c>
      <x:c r="E719" s="22" t="str">
        <x:v>农用地</x:v>
      </x:c>
      <x:c r="F719" s="22" t="str">
        <x:v>其他农用地</x:v>
      </x:c>
      <x:c r="G719" s="32" t="str">
        <x:v>1202</x:v>
      </x:c>
      <x:c r="H719" s="32" t="str">
        <x:v>1202</x:v>
      </x:c>
      <x:c r="I719" s="22" t="str">
        <x:v>设施农用地</x:v>
      </x:c>
      <x:c r="J719" s="22" t="str">
        <x:v>农业生态</x:v>
      </x:c>
      <x:c r="K719" s="32" t="str"/>
      <x:c r="L719" s="22" t="str">
        <x:v>不适用/未标注</x:v>
      </x:c>
      <x:c r="M719" s="33" t="n">
        <x:v>60548.61</x:v>
      </x:c>
      <x:c r="N719" s="33" t="n">
        <x:v>6.054861</x:v>
      </x:c>
      <x:c r="O719" s="22" t="str">
        <x:v>公顷</x:v>
      </x:c>
      <x:c r="P719" s="22" t="str">
        <x:v>未提供（单期横截面）</x:v>
      </x:c>
      <x:c r="Q719" s="23" t="n">
        <x:v>3698</x:v>
      </x:c>
    </x:row>
    <x:row r="720">
      <x:c r="A720" s="30" t="n">
        <x:v>350500</x:v>
      </x:c>
      <x:c r="B720" s="22" t="str">
        <x:v>泉州市</x:v>
      </x:c>
      <x:c r="C720" s="31" t="n">
        <x:v>350502</x:v>
      </x:c>
      <x:c r="D720" s="22" t="str">
        <x:v>鲤城区</x:v>
      </x:c>
      <x:c r="E720" s="22" t="str">
        <x:v>农用地</x:v>
      </x:c>
      <x:c r="F720" s="22" t="str">
        <x:v>耕地</x:v>
      </x:c>
      <x:c r="G720" s="32" t="str">
        <x:v>101</x:v>
      </x:c>
      <x:c r="H720" s="32" t="str">
        <x:v>101</x:v>
      </x:c>
      <x:c r="I720" s="22" t="str">
        <x:v>水田</x:v>
      </x:c>
      <x:c r="J720" s="22" t="str">
        <x:v>农业生态</x:v>
      </x:c>
      <x:c r="K720" s="32" t="str">
        <x:v>201</x:v>
      </x:c>
      <x:c r="L720" s="22" t="str">
        <x:v>城市范围</x:v>
      </x:c>
      <x:c r="M720" s="33" t="n">
        <x:v>398864.9300000001</x:v>
      </x:c>
      <x:c r="N720" s="33" t="n">
        <x:v>39.88649300000001</x:v>
      </x:c>
      <x:c r="O720" s="22" t="str">
        <x:v>公顷</x:v>
      </x:c>
      <x:c r="P720" s="22" t="str">
        <x:v>未提供（单期横截面）</x:v>
      </x:c>
      <x:c r="Q720" s="23" t="n">
        <x:v>3699</x:v>
      </x:c>
    </x:row>
    <x:row r="721">
      <x:c r="A721" s="30" t="n">
        <x:v>350500</x:v>
      </x:c>
      <x:c r="B721" s="22" t="str">
        <x:v>泉州市</x:v>
      </x:c>
      <x:c r="C721" s="31" t="n">
        <x:v>350502</x:v>
      </x:c>
      <x:c r="D721" s="22" t="str">
        <x:v>鲤城区</x:v>
      </x:c>
      <x:c r="E721" s="22" t="str">
        <x:v>农用地</x:v>
      </x:c>
      <x:c r="F721" s="22" t="str">
        <x:v>耕地</x:v>
      </x:c>
      <x:c r="G721" s="32" t="str">
        <x:v>102</x:v>
      </x:c>
      <x:c r="H721" s="32" t="str">
        <x:v>102</x:v>
      </x:c>
      <x:c r="I721" s="22" t="str">
        <x:v>水浇地</x:v>
      </x:c>
      <x:c r="J721" s="22" t="str">
        <x:v>农业生态</x:v>
      </x:c>
      <x:c r="K721" s="32" t="str">
        <x:v>201</x:v>
      </x:c>
      <x:c r="L721" s="22" t="str">
        <x:v>城市范围</x:v>
      </x:c>
      <x:c r="M721" s="33" t="n">
        <x:v>112924.66</x:v>
      </x:c>
      <x:c r="N721" s="33" t="n">
        <x:v>11.292466000000001</x:v>
      </x:c>
      <x:c r="O721" s="22" t="str">
        <x:v>公顷</x:v>
      </x:c>
      <x:c r="P721" s="22" t="str">
        <x:v>未提供（单期横截面）</x:v>
      </x:c>
      <x:c r="Q721" s="23" t="n">
        <x:v>3700</x:v>
      </x:c>
    </x:row>
    <x:row r="722">
      <x:c r="A722" s="30" t="n">
        <x:v>350500</x:v>
      </x:c>
      <x:c r="B722" s="22" t="str">
        <x:v>泉州市</x:v>
      </x:c>
      <x:c r="C722" s="31" t="n">
        <x:v>350502</x:v>
      </x:c>
      <x:c r="D722" s="22" t="str">
        <x:v>鲤城区</x:v>
      </x:c>
      <x:c r="E722" s="22" t="str">
        <x:v>农用地</x:v>
      </x:c>
      <x:c r="F722" s="22" t="str">
        <x:v>耕地</x:v>
      </x:c>
      <x:c r="G722" s="32" t="str">
        <x:v>103</x:v>
      </x:c>
      <x:c r="H722" s="32" t="str">
        <x:v>103</x:v>
      </x:c>
      <x:c r="I722" s="22" t="str">
        <x:v>旱地</x:v>
      </x:c>
      <x:c r="J722" s="22" t="str">
        <x:v>农业生态</x:v>
      </x:c>
      <x:c r="K722" s="32" t="str">
        <x:v>201</x:v>
      </x:c>
      <x:c r="L722" s="22" t="str">
        <x:v>城市范围</x:v>
      </x:c>
      <x:c r="M722" s="33" t="n">
        <x:v>51117.840000000004</x:v>
      </x:c>
      <x:c r="N722" s="33" t="n">
        <x:v>5.111784</x:v>
      </x:c>
      <x:c r="O722" s="22" t="str">
        <x:v>公顷</x:v>
      </x:c>
      <x:c r="P722" s="22" t="str">
        <x:v>未提供（单期横截面）</x:v>
      </x:c>
      <x:c r="Q722" s="23" t="n">
        <x:v>3701</x:v>
      </x:c>
    </x:row>
    <x:row r="723">
      <x:c r="A723" s="30" t="n">
        <x:v>350500</x:v>
      </x:c>
      <x:c r="B723" s="22" t="str">
        <x:v>泉州市</x:v>
      </x:c>
      <x:c r="C723" s="31" t="n">
        <x:v>350502</x:v>
      </x:c>
      <x:c r="D723" s="22" t="str">
        <x:v>鲤城区</x:v>
      </x:c>
      <x:c r="E723" s="22" t="str">
        <x:v>农用地</x:v>
      </x:c>
      <x:c r="F723" s="22" t="str">
        <x:v>园地</x:v>
      </x:c>
      <x:c r="G723" s="32" t="str">
        <x:v>201</x:v>
      </x:c>
      <x:c r="H723" s="32" t="str">
        <x:v>201</x:v>
      </x:c>
      <x:c r="I723" s="22" t="str">
        <x:v>果园</x:v>
      </x:c>
      <x:c r="J723" s="22" t="str">
        <x:v>农业生态</x:v>
      </x:c>
      <x:c r="K723" s="32" t="str">
        <x:v>201</x:v>
      </x:c>
      <x:c r="L723" s="22" t="str">
        <x:v>城市范围</x:v>
      </x:c>
      <x:c r="M723" s="33" t="n">
        <x:v>368010.8799999999</x:v>
      </x:c>
      <x:c r="N723" s="33" t="n">
        <x:v>36.801087999999986</x:v>
      </x:c>
      <x:c r="O723" s="22" t="str">
        <x:v>公顷</x:v>
      </x:c>
      <x:c r="P723" s="22" t="str">
        <x:v>未提供（单期横截面）</x:v>
      </x:c>
      <x:c r="Q723" s="23" t="n">
        <x:v>3702</x:v>
      </x:c>
    </x:row>
    <x:row r="724">
      <x:c r="A724" s="30" t="n">
        <x:v>350500</x:v>
      </x:c>
      <x:c r="B724" s="22" t="str">
        <x:v>泉州市</x:v>
      </x:c>
      <x:c r="C724" s="31" t="n">
        <x:v>350502</x:v>
      </x:c>
      <x:c r="D724" s="22" t="str">
        <x:v>鲤城区</x:v>
      </x:c>
      <x:c r="E724" s="22" t="str">
        <x:v>农用地</x:v>
      </x:c>
      <x:c r="F724" s="22" t="str">
        <x:v>园地</x:v>
      </x:c>
      <x:c r="G724" s="32" t="str">
        <x:v>0201K</x:v>
      </x:c>
      <x:c r="H724" s="32" t="str">
        <x:v>201</x:v>
      </x:c>
      <x:c r="I724" s="22" t="str">
        <x:v>可调整果园</x:v>
      </x:c>
      <x:c r="J724" s="22" t="str">
        <x:v>农业生态</x:v>
      </x:c>
      <x:c r="K724" s="32" t="str">
        <x:v>201</x:v>
      </x:c>
      <x:c r="L724" s="22" t="str">
        <x:v>城市范围</x:v>
      </x:c>
      <x:c r="M724" s="33" t="n">
        <x:v>7381.950000000001</x:v>
      </x:c>
      <x:c r="N724" s="33" t="n">
        <x:v>0.738195</x:v>
      </x:c>
      <x:c r="O724" s="22" t="str">
        <x:v>公顷</x:v>
      </x:c>
      <x:c r="P724" s="22" t="str">
        <x:v>未提供（单期横截面）</x:v>
      </x:c>
      <x:c r="Q724" s="23" t="n">
        <x:v>3703</x:v>
      </x:c>
    </x:row>
    <x:row r="725">
      <x:c r="A725" s="30" t="n">
        <x:v>350500</x:v>
      </x:c>
      <x:c r="B725" s="22" t="str">
        <x:v>泉州市</x:v>
      </x:c>
      <x:c r="C725" s="31" t="n">
        <x:v>350502</x:v>
      </x:c>
      <x:c r="D725" s="22" t="str">
        <x:v>鲤城区</x:v>
      </x:c>
      <x:c r="E725" s="22" t="str">
        <x:v>农用地</x:v>
      </x:c>
      <x:c r="F725" s="22" t="str">
        <x:v>园地</x:v>
      </x:c>
      <x:c r="G725" s="32" t="str">
        <x:v>204</x:v>
      </x:c>
      <x:c r="H725" s="32" t="str">
        <x:v>204</x:v>
      </x:c>
      <x:c r="I725" s="22" t="str">
        <x:v>其他园地</x:v>
      </x:c>
      <x:c r="J725" s="22" t="str">
        <x:v>农业生态</x:v>
      </x:c>
      <x:c r="K725" s="32" t="str">
        <x:v>201</x:v>
      </x:c>
      <x:c r="L725" s="22" t="str">
        <x:v>城市范围</x:v>
      </x:c>
      <x:c r="M725" s="33" t="n">
        <x:v>1648.76</x:v>
      </x:c>
      <x:c r="N725" s="33" t="n">
        <x:v>0.164876</x:v>
      </x:c>
      <x:c r="O725" s="22" t="str">
        <x:v>公顷</x:v>
      </x:c>
      <x:c r="P725" s="22" t="str">
        <x:v>未提供（单期横截面）</x:v>
      </x:c>
      <x:c r="Q725" s="23" t="n">
        <x:v>3704</x:v>
      </x:c>
    </x:row>
    <x:row r="726">
      <x:c r="A726" s="30" t="n">
        <x:v>350500</x:v>
      </x:c>
      <x:c r="B726" s="22" t="str">
        <x:v>泉州市</x:v>
      </x:c>
      <x:c r="C726" s="31" t="n">
        <x:v>350502</x:v>
      </x:c>
      <x:c r="D726" s="22" t="str">
        <x:v>鲤城区</x:v>
      </x:c>
      <x:c r="E726" s="22" t="str">
        <x:v>农用地</x:v>
      </x:c>
      <x:c r="F726" s="22" t="str">
        <x:v>林地</x:v>
      </x:c>
      <x:c r="G726" s="32" t="str">
        <x:v>301</x:v>
      </x:c>
      <x:c r="H726" s="32" t="str">
        <x:v>301</x:v>
      </x:c>
      <x:c r="I726" s="22" t="str">
        <x:v>乔木林地</x:v>
      </x:c>
      <x:c r="J726" s="22" t="str">
        <x:v>农业生态</x:v>
      </x:c>
      <x:c r="K726" s="32" t="str">
        <x:v>201</x:v>
      </x:c>
      <x:c r="L726" s="22" t="str">
        <x:v>城市范围</x:v>
      </x:c>
      <x:c r="M726" s="33" t="n">
        <x:v>73844.27999999998</x:v>
      </x:c>
      <x:c r="N726" s="33" t="n">
        <x:v>7.384427999999998</x:v>
      </x:c>
      <x:c r="O726" s="22" t="str">
        <x:v>公顷</x:v>
      </x:c>
      <x:c r="P726" s="22" t="str">
        <x:v>未提供（单期横截面）</x:v>
      </x:c>
      <x:c r="Q726" s="23" t="n">
        <x:v>3705</x:v>
      </x:c>
    </x:row>
    <x:row r="727">
      <x:c r="A727" s="30" t="n">
        <x:v>350500</x:v>
      </x:c>
      <x:c r="B727" s="22" t="str">
        <x:v>泉州市</x:v>
      </x:c>
      <x:c r="C727" s="31" t="n">
        <x:v>350502</x:v>
      </x:c>
      <x:c r="D727" s="22" t="str">
        <x:v>鲤城区</x:v>
      </x:c>
      <x:c r="E727" s="22" t="str">
        <x:v>农用地</x:v>
      </x:c>
      <x:c r="F727" s="22" t="str">
        <x:v>林地</x:v>
      </x:c>
      <x:c r="G727" s="32" t="str">
        <x:v>305</x:v>
      </x:c>
      <x:c r="H727" s="32" t="str">
        <x:v>305</x:v>
      </x:c>
      <x:c r="I727" s="22" t="str">
        <x:v>灌木林地</x:v>
      </x:c>
      <x:c r="J727" s="22" t="str">
        <x:v>农业生态</x:v>
      </x:c>
      <x:c r="K727" s="32" t="str">
        <x:v>201</x:v>
      </x:c>
      <x:c r="L727" s="22" t="str">
        <x:v>城市范围</x:v>
      </x:c>
      <x:c r="M727" s="33" t="n">
        <x:v>7478.2</x:v>
      </x:c>
      <x:c r="N727" s="33" t="n">
        <x:v>0.7478199999999999</x:v>
      </x:c>
      <x:c r="O727" s="22" t="str">
        <x:v>公顷</x:v>
      </x:c>
      <x:c r="P727" s="22" t="str">
        <x:v>未提供（单期横截面）</x:v>
      </x:c>
      <x:c r="Q727" s="23" t="n">
        <x:v>3706</x:v>
      </x:c>
    </x:row>
    <x:row r="728">
      <x:c r="A728" s="30" t="n">
        <x:v>350500</x:v>
      </x:c>
      <x:c r="B728" s="22" t="str">
        <x:v>泉州市</x:v>
      </x:c>
      <x:c r="C728" s="31" t="n">
        <x:v>350502</x:v>
      </x:c>
      <x:c r="D728" s="22" t="str">
        <x:v>鲤城区</x:v>
      </x:c>
      <x:c r="E728" s="22" t="str">
        <x:v>农用地</x:v>
      </x:c>
      <x:c r="F728" s="22" t="str">
        <x:v>林地</x:v>
      </x:c>
      <x:c r="G728" s="32" t="str">
        <x:v>307</x:v>
      </x:c>
      <x:c r="H728" s="32" t="str">
        <x:v>307</x:v>
      </x:c>
      <x:c r="I728" s="22" t="str">
        <x:v>其他林地</x:v>
      </x:c>
      <x:c r="J728" s="22" t="str">
        <x:v>农业生态</x:v>
      </x:c>
      <x:c r="K728" s="32" t="str">
        <x:v>201</x:v>
      </x:c>
      <x:c r="L728" s="22" t="str">
        <x:v>城市范围</x:v>
      </x:c>
      <x:c r="M728" s="33" t="n">
        <x:v>13940.649999999998</x:v>
      </x:c>
      <x:c r="N728" s="33" t="n">
        <x:v>1.3940649999999999</x:v>
      </x:c>
      <x:c r="O728" s="22" t="str">
        <x:v>公顷</x:v>
      </x:c>
      <x:c r="P728" s="22" t="str">
        <x:v>未提供（单期横截面）</x:v>
      </x:c>
      <x:c r="Q728" s="23" t="n">
        <x:v>3707</x:v>
      </x:c>
    </x:row>
    <x:row r="729">
      <x:c r="A729" s="30" t="n">
        <x:v>350500</x:v>
      </x:c>
      <x:c r="B729" s="22" t="str">
        <x:v>泉州市</x:v>
      </x:c>
      <x:c r="C729" s="31" t="n">
        <x:v>350502</x:v>
      </x:c>
      <x:c r="D729" s="22" t="str">
        <x:v>鲤城区</x:v>
      </x:c>
      <x:c r="E729" s="22" t="str">
        <x:v>农用地</x:v>
      </x:c>
      <x:c r="F729" s="22" t="str">
        <x:v>水域及水利设施</x:v>
      </x:c>
      <x:c r="G729" s="32" t="str">
        <x:v>1103</x:v>
      </x:c>
      <x:c r="H729" s="32" t="str">
        <x:v>1103</x:v>
      </x:c>
      <x:c r="I729" s="22" t="str">
        <x:v>水库水面</x:v>
      </x:c>
      <x:c r="J729" s="22" t="str">
        <x:v>农业生态</x:v>
      </x:c>
      <x:c r="K729" s="32" t="str">
        <x:v>201</x:v>
      </x:c>
      <x:c r="L729" s="22" t="str">
        <x:v>城市范围</x:v>
      </x:c>
      <x:c r="M729" s="33" t="n">
        <x:v>36318.81</x:v>
      </x:c>
      <x:c r="N729" s="33" t="n">
        <x:v>3.631881</x:v>
      </x:c>
      <x:c r="O729" s="22" t="str">
        <x:v>公顷</x:v>
      </x:c>
      <x:c r="P729" s="22" t="str">
        <x:v>未提供（单期横截面）</x:v>
      </x:c>
      <x:c r="Q729" s="23" t="n">
        <x:v>3708</x:v>
      </x:c>
    </x:row>
    <x:row r="730">
      <x:c r="A730" s="30" t="n">
        <x:v>350500</x:v>
      </x:c>
      <x:c r="B730" s="22" t="str">
        <x:v>泉州市</x:v>
      </x:c>
      <x:c r="C730" s="31" t="n">
        <x:v>350502</x:v>
      </x:c>
      <x:c r="D730" s="22" t="str">
        <x:v>鲤城区</x:v>
      </x:c>
      <x:c r="E730" s="22" t="str">
        <x:v>农用地</x:v>
      </x:c>
      <x:c r="F730" s="22" t="str">
        <x:v>水域及水利设施</x:v>
      </x:c>
      <x:c r="G730" s="32" t="str">
        <x:v>1104</x:v>
      </x:c>
      <x:c r="H730" s="32" t="str">
        <x:v>1104</x:v>
      </x:c>
      <x:c r="I730" s="22" t="str">
        <x:v>坑塘水面</x:v>
      </x:c>
      <x:c r="J730" s="22" t="str">
        <x:v>农业生态</x:v>
      </x:c>
      <x:c r="K730" s="32" t="str">
        <x:v>201</x:v>
      </x:c>
      <x:c r="L730" s="22" t="str">
        <x:v>城市范围</x:v>
      </x:c>
      <x:c r="M730" s="33" t="n">
        <x:v>29946.270000000004</x:v>
      </x:c>
      <x:c r="N730" s="33" t="n">
        <x:v>2.9946270000000004</x:v>
      </x:c>
      <x:c r="O730" s="22" t="str">
        <x:v>公顷</x:v>
      </x:c>
      <x:c r="P730" s="22" t="str">
        <x:v>未提供（单期横截面）</x:v>
      </x:c>
      <x:c r="Q730" s="23" t="n">
        <x:v>3709</x:v>
      </x:c>
    </x:row>
    <x:row r="731">
      <x:c r="A731" s="30" t="n">
        <x:v>350500</x:v>
      </x:c>
      <x:c r="B731" s="22" t="str">
        <x:v>泉州市</x:v>
      </x:c>
      <x:c r="C731" s="31" t="n">
        <x:v>350502</x:v>
      </x:c>
      <x:c r="D731" s="22" t="str">
        <x:v>鲤城区</x:v>
      </x:c>
      <x:c r="E731" s="22" t="str">
        <x:v>农用地</x:v>
      </x:c>
      <x:c r="F731" s="22" t="str">
        <x:v>水域及水利设施</x:v>
      </x:c>
      <x:c r="G731" s="32" t="str">
        <x:v>1107</x:v>
      </x:c>
      <x:c r="H731" s="32" t="str">
        <x:v>1107</x:v>
      </x:c>
      <x:c r="I731" s="22" t="str">
        <x:v>沟渠</x:v>
      </x:c>
      <x:c r="J731" s="22" t="str">
        <x:v>农业生态</x:v>
      </x:c>
      <x:c r="K731" s="32" t="str">
        <x:v>201</x:v>
      </x:c>
      <x:c r="L731" s="22" t="str">
        <x:v>城市范围</x:v>
      </x:c>
      <x:c r="M731" s="33" t="n">
        <x:v>2508.69</x:v>
      </x:c>
      <x:c r="N731" s="33" t="n">
        <x:v>0.250869</x:v>
      </x:c>
      <x:c r="O731" s="22" t="str">
        <x:v>公顷</x:v>
      </x:c>
      <x:c r="P731" s="22" t="str">
        <x:v>未提供（单期横截面）</x:v>
      </x:c>
      <x:c r="Q731" s="23" t="n">
        <x:v>3710</x:v>
      </x:c>
    </x:row>
    <x:row r="732">
      <x:c r="A732" s="30" t="n">
        <x:v>350500</x:v>
      </x:c>
      <x:c r="B732" s="22" t="str">
        <x:v>泉州市</x:v>
      </x:c>
      <x:c r="C732" s="31" t="n">
        <x:v>350502</x:v>
      </x:c>
      <x:c r="D732" s="22" t="str">
        <x:v>鲤城区</x:v>
      </x:c>
      <x:c r="E732" s="22" t="str">
        <x:v>农用地</x:v>
      </x:c>
      <x:c r="F732" s="22" t="str">
        <x:v>其他农用地</x:v>
      </x:c>
      <x:c r="G732" s="32" t="str">
        <x:v>1202</x:v>
      </x:c>
      <x:c r="H732" s="32" t="str">
        <x:v>1202</x:v>
      </x:c>
      <x:c r="I732" s="22" t="str">
        <x:v>设施农用地</x:v>
      </x:c>
      <x:c r="J732" s="22" t="str">
        <x:v>农业生态</x:v>
      </x:c>
      <x:c r="K732" s="32" t="str">
        <x:v>201</x:v>
      </x:c>
      <x:c r="L732" s="22" t="str">
        <x:v>城市范围</x:v>
      </x:c>
      <x:c r="M732" s="33" t="n">
        <x:v>5078.320000000001</x:v>
      </x:c>
      <x:c r="N732" s="33" t="n">
        <x:v>0.5078320000000001</x:v>
      </x:c>
      <x:c r="O732" s="22" t="str">
        <x:v>公顷</x:v>
      </x:c>
      <x:c r="P732" s="22" t="str">
        <x:v>未提供（单期横截面）</x:v>
      </x:c>
      <x:c r="Q732" s="23" t="n">
        <x:v>3711</x:v>
      </x:c>
    </x:row>
    <x:row r="733">
      <x:c r="A733" s="30" t="n">
        <x:v>350500</x:v>
      </x:c>
      <x:c r="B733" s="22" t="str">
        <x:v>泉州市</x:v>
      </x:c>
      <x:c r="C733" s="31" t="n">
        <x:v>350502</x:v>
      </x:c>
      <x:c r="D733" s="22" t="str">
        <x:v>鲤城区</x:v>
      </x:c>
      <x:c r="E733" s="22" t="str">
        <x:v>农用地</x:v>
      </x:c>
      <x:c r="F733" s="22" t="str">
        <x:v>耕地</x:v>
      </x:c>
      <x:c r="G733" s="32" t="str">
        <x:v>102</x:v>
      </x:c>
      <x:c r="H733" s="32" t="str">
        <x:v>102</x:v>
      </x:c>
      <x:c r="I733" s="22" t="str">
        <x:v>水浇地</x:v>
      </x:c>
      <x:c r="J733" s="22" t="str">
        <x:v>农业生态</x:v>
      </x:c>
      <x:c r="K733" s="32" t="str">
        <x:v>202</x:v>
      </x:c>
      <x:c r="L733" s="22" t="str">
        <x:v>建制镇范围</x:v>
      </x:c>
      <x:c r="M733" s="33" t="n">
        <x:v>13169.820000000002</x:v>
      </x:c>
      <x:c r="N733" s="33" t="n">
        <x:v>1.316982</x:v>
      </x:c>
      <x:c r="O733" s="22" t="str">
        <x:v>公顷</x:v>
      </x:c>
      <x:c r="P733" s="22" t="str">
        <x:v>未提供（单期横截面）</x:v>
      </x:c>
      <x:c r="Q733" s="23" t="n">
        <x:v>3712</x:v>
      </x:c>
    </x:row>
    <x:row r="734">
      <x:c r="A734" s="30" t="n">
        <x:v>350500</x:v>
      </x:c>
      <x:c r="B734" s="22" t="str">
        <x:v>泉州市</x:v>
      </x:c>
      <x:c r="C734" s="31" t="n">
        <x:v>350502</x:v>
      </x:c>
      <x:c r="D734" s="22" t="str">
        <x:v>鲤城区</x:v>
      </x:c>
      <x:c r="E734" s="22" t="str">
        <x:v>农用地</x:v>
      </x:c>
      <x:c r="F734" s="22" t="str">
        <x:v>园地</x:v>
      </x:c>
      <x:c r="G734" s="32" t="str">
        <x:v>201</x:v>
      </x:c>
      <x:c r="H734" s="32" t="str">
        <x:v>201</x:v>
      </x:c>
      <x:c r="I734" s="22" t="str">
        <x:v>果园</x:v>
      </x:c>
      <x:c r="J734" s="22" t="str">
        <x:v>农业生态</x:v>
      </x:c>
      <x:c r="K734" s="32" t="str">
        <x:v>202</x:v>
      </x:c>
      <x:c r="L734" s="22" t="str">
        <x:v>建制镇范围</x:v>
      </x:c>
      <x:c r="M734" s="33" t="n">
        <x:v>9433.269999999999</x:v>
      </x:c>
      <x:c r="N734" s="33" t="n">
        <x:v>0.9433269999999999</x:v>
      </x:c>
      <x:c r="O734" s="22" t="str">
        <x:v>公顷</x:v>
      </x:c>
      <x:c r="P734" s="22" t="str">
        <x:v>未提供（单期横截面）</x:v>
      </x:c>
      <x:c r="Q734" s="23" t="n">
        <x:v>3713</x:v>
      </x:c>
    </x:row>
    <x:row r="735">
      <x:c r="A735" s="30" t="n">
        <x:v>350500</x:v>
      </x:c>
      <x:c r="B735" s="22" t="str">
        <x:v>泉州市</x:v>
      </x:c>
      <x:c r="C735" s="31" t="n">
        <x:v>350502</x:v>
      </x:c>
      <x:c r="D735" s="22" t="str">
        <x:v>鲤城区</x:v>
      </x:c>
      <x:c r="E735" s="22" t="str">
        <x:v>农用地</x:v>
      </x:c>
      <x:c r="F735" s="22" t="str">
        <x:v>水域及水利设施</x:v>
      </x:c>
      <x:c r="G735" s="32" t="str">
        <x:v>1104</x:v>
      </x:c>
      <x:c r="H735" s="32" t="str">
        <x:v>1104</x:v>
      </x:c>
      <x:c r="I735" s="22" t="str">
        <x:v>坑塘水面</x:v>
      </x:c>
      <x:c r="J735" s="22" t="str">
        <x:v>农业生态</x:v>
      </x:c>
      <x:c r="K735" s="32" t="str">
        <x:v>202</x:v>
      </x:c>
      <x:c r="L735" s="22" t="str">
        <x:v>建制镇范围</x:v>
      </x:c>
      <x:c r="M735" s="33" t="n">
        <x:v>5556.74</x:v>
      </x:c>
      <x:c r="N735" s="33" t="n">
        <x:v>0.555674</x:v>
      </x:c>
      <x:c r="O735" s="22" t="str">
        <x:v>公顷</x:v>
      </x:c>
      <x:c r="P735" s="22" t="str">
        <x:v>未提供（单期横截面）</x:v>
      </x:c>
      <x:c r="Q735" s="23" t="n">
        <x:v>3714</x:v>
      </x:c>
    </x:row>
    <x:row r="736">
      <x:c r="A736" s="30" t="n">
        <x:v>350500</x:v>
      </x:c>
      <x:c r="B736" s="22" t="str">
        <x:v>泉州市</x:v>
      </x:c>
      <x:c r="C736" s="31" t="n">
        <x:v>350502</x:v>
      </x:c>
      <x:c r="D736" s="22" t="str">
        <x:v>鲤城区</x:v>
      </x:c>
      <x:c r="E736" s="22" t="str">
        <x:v>农用地</x:v>
      </x:c>
      <x:c r="F736" s="22" t="str">
        <x:v>耕地</x:v>
      </x:c>
      <x:c r="G736" s="32" t="str">
        <x:v>101</x:v>
      </x:c>
      <x:c r="H736" s="32" t="str">
        <x:v>101</x:v>
      </x:c>
      <x:c r="I736" s="22" t="str">
        <x:v>水田</x:v>
      </x:c>
      <x:c r="J736" s="22" t="str">
        <x:v>农业生态</x:v>
      </x:c>
      <x:c r="K736" s="32" t="str">
        <x:v>203</x:v>
      </x:c>
      <x:c r="L736" s="22" t="str">
        <x:v>村庄范围</x:v>
      </x:c>
      <x:c r="M736" s="33" t="n">
        <x:v>22919.029999999995</x:v>
      </x:c>
      <x:c r="N736" s="33" t="n">
        <x:v>2.2919029999999996</x:v>
      </x:c>
      <x:c r="O736" s="22" t="str">
        <x:v>公顷</x:v>
      </x:c>
      <x:c r="P736" s="22" t="str">
        <x:v>未提供（单期横截面）</x:v>
      </x:c>
      <x:c r="Q736" s="23" t="n">
        <x:v>3715</x:v>
      </x:c>
    </x:row>
    <x:row r="737">
      <x:c r="A737" s="30" t="n">
        <x:v>350500</x:v>
      </x:c>
      <x:c r="B737" s="22" t="str">
        <x:v>泉州市</x:v>
      </x:c>
      <x:c r="C737" s="31" t="n">
        <x:v>350502</x:v>
      </x:c>
      <x:c r="D737" s="22" t="str">
        <x:v>鲤城区</x:v>
      </x:c>
      <x:c r="E737" s="22" t="str">
        <x:v>农用地</x:v>
      </x:c>
      <x:c r="F737" s="22" t="str">
        <x:v>耕地</x:v>
      </x:c>
      <x:c r="G737" s="32" t="str">
        <x:v>102</x:v>
      </x:c>
      <x:c r="H737" s="32" t="str">
        <x:v>102</x:v>
      </x:c>
      <x:c r="I737" s="22" t="str">
        <x:v>水浇地</x:v>
      </x:c>
      <x:c r="J737" s="22" t="str">
        <x:v>农业生态</x:v>
      </x:c>
      <x:c r="K737" s="32" t="str">
        <x:v>203</x:v>
      </x:c>
      <x:c r="L737" s="22" t="str">
        <x:v>村庄范围</x:v>
      </x:c>
      <x:c r="M737" s="33" t="n">
        <x:v>21937.09</x:v>
      </x:c>
      <x:c r="N737" s="33" t="n">
        <x:v>2.193709</x:v>
      </x:c>
      <x:c r="O737" s="22" t="str">
        <x:v>公顷</x:v>
      </x:c>
      <x:c r="P737" s="22" t="str">
        <x:v>未提供（单期横截面）</x:v>
      </x:c>
      <x:c r="Q737" s="23" t="n">
        <x:v>3716</x:v>
      </x:c>
    </x:row>
    <x:row r="738">
      <x:c r="A738" s="30" t="n">
        <x:v>350500</x:v>
      </x:c>
      <x:c r="B738" s="22" t="str">
        <x:v>泉州市</x:v>
      </x:c>
      <x:c r="C738" s="31" t="n">
        <x:v>350502</x:v>
      </x:c>
      <x:c r="D738" s="22" t="str">
        <x:v>鲤城区</x:v>
      </x:c>
      <x:c r="E738" s="22" t="str">
        <x:v>农用地</x:v>
      </x:c>
      <x:c r="F738" s="22" t="str">
        <x:v>耕地</x:v>
      </x:c>
      <x:c r="G738" s="32" t="str">
        <x:v>103</x:v>
      </x:c>
      <x:c r="H738" s="32" t="str">
        <x:v>103</x:v>
      </x:c>
      <x:c r="I738" s="22" t="str">
        <x:v>旱地</x:v>
      </x:c>
      <x:c r="J738" s="22" t="str">
        <x:v>农业生态</x:v>
      </x:c>
      <x:c r="K738" s="32" t="str">
        <x:v>203</x:v>
      </x:c>
      <x:c r="L738" s="22" t="str">
        <x:v>村庄范围</x:v>
      </x:c>
      <x:c r="M738" s="33" t="n">
        <x:v>15565.339999999998</x:v>
      </x:c>
      <x:c r="N738" s="33" t="n">
        <x:v>1.5565339999999999</x:v>
      </x:c>
      <x:c r="O738" s="22" t="str">
        <x:v>公顷</x:v>
      </x:c>
      <x:c r="P738" s="22" t="str">
        <x:v>未提供（单期横截面）</x:v>
      </x:c>
      <x:c r="Q738" s="23" t="n">
        <x:v>3717</x:v>
      </x:c>
    </x:row>
    <x:row r="739">
      <x:c r="A739" s="30" t="n">
        <x:v>350500</x:v>
      </x:c>
      <x:c r="B739" s="22" t="str">
        <x:v>泉州市</x:v>
      </x:c>
      <x:c r="C739" s="31" t="n">
        <x:v>350502</x:v>
      </x:c>
      <x:c r="D739" s="22" t="str">
        <x:v>鲤城区</x:v>
      </x:c>
      <x:c r="E739" s="22" t="str">
        <x:v>农用地</x:v>
      </x:c>
      <x:c r="F739" s="22" t="str">
        <x:v>园地</x:v>
      </x:c>
      <x:c r="G739" s="32" t="str">
        <x:v>201</x:v>
      </x:c>
      <x:c r="H739" s="32" t="str">
        <x:v>201</x:v>
      </x:c>
      <x:c r="I739" s="22" t="str">
        <x:v>果园</x:v>
      </x:c>
      <x:c r="J739" s="22" t="str">
        <x:v>农业生态</x:v>
      </x:c>
      <x:c r="K739" s="32" t="str">
        <x:v>203</x:v>
      </x:c>
      <x:c r="L739" s="22" t="str">
        <x:v>村庄范围</x:v>
      </x:c>
      <x:c r="M739" s="33" t="n">
        <x:v>82591.16</x:v>
      </x:c>
      <x:c r="N739" s="33" t="n">
        <x:v>8.259116</x:v>
      </x:c>
      <x:c r="O739" s="22" t="str">
        <x:v>公顷</x:v>
      </x:c>
      <x:c r="P739" s="22" t="str">
        <x:v>未提供（单期横截面）</x:v>
      </x:c>
      <x:c r="Q739" s="23" t="n">
        <x:v>3718</x:v>
      </x:c>
    </x:row>
    <x:row r="740">
      <x:c r="A740" s="30" t="n">
        <x:v>350500</x:v>
      </x:c>
      <x:c r="B740" s="22" t="str">
        <x:v>泉州市</x:v>
      </x:c>
      <x:c r="C740" s="31" t="n">
        <x:v>350502</x:v>
      </x:c>
      <x:c r="D740" s="22" t="str">
        <x:v>鲤城区</x:v>
      </x:c>
      <x:c r="E740" s="22" t="str">
        <x:v>农用地</x:v>
      </x:c>
      <x:c r="F740" s="22" t="str">
        <x:v>园地</x:v>
      </x:c>
      <x:c r="G740" s="32" t="str">
        <x:v>204</x:v>
      </x:c>
      <x:c r="H740" s="32" t="str">
        <x:v>204</x:v>
      </x:c>
      <x:c r="I740" s="22" t="str">
        <x:v>其他园地</x:v>
      </x:c>
      <x:c r="J740" s="22" t="str">
        <x:v>农业生态</x:v>
      </x:c>
      <x:c r="K740" s="32" t="str">
        <x:v>203</x:v>
      </x:c>
      <x:c r="L740" s="22" t="str">
        <x:v>村庄范围</x:v>
      </x:c>
      <x:c r="M740" s="33" t="n">
        <x:v>2458.65</x:v>
      </x:c>
      <x:c r="N740" s="33" t="n">
        <x:v>0.245865</x:v>
      </x:c>
      <x:c r="O740" s="22" t="str">
        <x:v>公顷</x:v>
      </x:c>
      <x:c r="P740" s="22" t="str">
        <x:v>未提供（单期横截面）</x:v>
      </x:c>
      <x:c r="Q740" s="23" t="n">
        <x:v>3719</x:v>
      </x:c>
    </x:row>
    <x:row r="741">
      <x:c r="A741" s="30" t="n">
        <x:v>350500</x:v>
      </x:c>
      <x:c r="B741" s="22" t="str">
        <x:v>泉州市</x:v>
      </x:c>
      <x:c r="C741" s="31" t="n">
        <x:v>350502</x:v>
      </x:c>
      <x:c r="D741" s="22" t="str">
        <x:v>鲤城区</x:v>
      </x:c>
      <x:c r="E741" s="22" t="str">
        <x:v>农用地</x:v>
      </x:c>
      <x:c r="F741" s="22" t="str">
        <x:v>林地</x:v>
      </x:c>
      <x:c r="G741" s="32" t="str">
        <x:v>301</x:v>
      </x:c>
      <x:c r="H741" s="32" t="str">
        <x:v>301</x:v>
      </x:c>
      <x:c r="I741" s="22" t="str">
        <x:v>乔木林地</x:v>
      </x:c>
      <x:c r="J741" s="22" t="str">
        <x:v>农业生态</x:v>
      </x:c>
      <x:c r="K741" s="32" t="str">
        <x:v>203</x:v>
      </x:c>
      <x:c r="L741" s="22" t="str">
        <x:v>村庄范围</x:v>
      </x:c>
      <x:c r="M741" s="33" t="n">
        <x:v>10615.77</x:v>
      </x:c>
      <x:c r="N741" s="33" t="n">
        <x:v>1.061577</x:v>
      </x:c>
      <x:c r="O741" s="22" t="str">
        <x:v>公顷</x:v>
      </x:c>
      <x:c r="P741" s="22" t="str">
        <x:v>未提供（单期横截面）</x:v>
      </x:c>
      <x:c r="Q741" s="23" t="n">
        <x:v>3720</x:v>
      </x:c>
    </x:row>
    <x:row r="742">
      <x:c r="A742" s="30" t="n">
        <x:v>350500</x:v>
      </x:c>
      <x:c r="B742" s="22" t="str">
        <x:v>泉州市</x:v>
      </x:c>
      <x:c r="C742" s="31" t="n">
        <x:v>350502</x:v>
      </x:c>
      <x:c r="D742" s="22" t="str">
        <x:v>鲤城区</x:v>
      </x:c>
      <x:c r="E742" s="22" t="str">
        <x:v>农用地</x:v>
      </x:c>
      <x:c r="F742" s="22" t="str">
        <x:v>林地</x:v>
      </x:c>
      <x:c r="G742" s="32" t="str">
        <x:v>305</x:v>
      </x:c>
      <x:c r="H742" s="32" t="str">
        <x:v>305</x:v>
      </x:c>
      <x:c r="I742" s="22" t="str">
        <x:v>灌木林地</x:v>
      </x:c>
      <x:c r="J742" s="22" t="str">
        <x:v>农业生态</x:v>
      </x:c>
      <x:c r="K742" s="32" t="str">
        <x:v>203</x:v>
      </x:c>
      <x:c r="L742" s="22" t="str">
        <x:v>村庄范围</x:v>
      </x:c>
      <x:c r="M742" s="33" t="n">
        <x:v>828.58</x:v>
      </x:c>
      <x:c r="N742" s="33" t="n">
        <x:v>0.082858</x:v>
      </x:c>
      <x:c r="O742" s="22" t="str">
        <x:v>公顷</x:v>
      </x:c>
      <x:c r="P742" s="22" t="str">
        <x:v>未提供（单期横截面）</x:v>
      </x:c>
      <x:c r="Q742" s="23" t="n">
        <x:v>3721</x:v>
      </x:c>
    </x:row>
    <x:row r="743">
      <x:c r="A743" s="30" t="n">
        <x:v>350500</x:v>
      </x:c>
      <x:c r="B743" s="22" t="str">
        <x:v>泉州市</x:v>
      </x:c>
      <x:c r="C743" s="31" t="n">
        <x:v>350502</x:v>
      </x:c>
      <x:c r="D743" s="22" t="str">
        <x:v>鲤城区</x:v>
      </x:c>
      <x:c r="E743" s="22" t="str">
        <x:v>农用地</x:v>
      </x:c>
      <x:c r="F743" s="22" t="str">
        <x:v>林地</x:v>
      </x:c>
      <x:c r="G743" s="32" t="str">
        <x:v>307</x:v>
      </x:c>
      <x:c r="H743" s="32" t="str">
        <x:v>307</x:v>
      </x:c>
      <x:c r="I743" s="22" t="str">
        <x:v>其他林地</x:v>
      </x:c>
      <x:c r="J743" s="22" t="str">
        <x:v>农业生态</x:v>
      </x:c>
      <x:c r="K743" s="32" t="str">
        <x:v>203</x:v>
      </x:c>
      <x:c r="L743" s="22" t="str">
        <x:v>村庄范围</x:v>
      </x:c>
      <x:c r="M743" s="33" t="n">
        <x:v>4289.76</x:v>
      </x:c>
      <x:c r="N743" s="33" t="n">
        <x:v>0.428976</x:v>
      </x:c>
      <x:c r="O743" s="22" t="str">
        <x:v>公顷</x:v>
      </x:c>
      <x:c r="P743" s="22" t="str">
        <x:v>未提供（单期横截面）</x:v>
      </x:c>
      <x:c r="Q743" s="23" t="n">
        <x:v>3722</x:v>
      </x:c>
    </x:row>
    <x:row r="744">
      <x:c r="A744" s="30" t="n">
        <x:v>350500</x:v>
      </x:c>
      <x:c r="B744" s="22" t="str">
        <x:v>泉州市</x:v>
      </x:c>
      <x:c r="C744" s="31" t="n">
        <x:v>350502</x:v>
      </x:c>
      <x:c r="D744" s="22" t="str">
        <x:v>鲤城区</x:v>
      </x:c>
      <x:c r="E744" s="22" t="str">
        <x:v>农用地</x:v>
      </x:c>
      <x:c r="F744" s="22" t="str">
        <x:v>水域及水利设施</x:v>
      </x:c>
      <x:c r="G744" s="32" t="str">
        <x:v>1104</x:v>
      </x:c>
      <x:c r="H744" s="32" t="str">
        <x:v>1104</x:v>
      </x:c>
      <x:c r="I744" s="22" t="str">
        <x:v>坑塘水面</x:v>
      </x:c>
      <x:c r="J744" s="22" t="str">
        <x:v>农业生态</x:v>
      </x:c>
      <x:c r="K744" s="32" t="str">
        <x:v>203</x:v>
      </x:c>
      <x:c r="L744" s="22" t="str">
        <x:v>村庄范围</x:v>
      </x:c>
      <x:c r="M744" s="33" t="n">
        <x:v>4432.8099999999995</x:v>
      </x:c>
      <x:c r="N744" s="33" t="n">
        <x:v>0.4432809999999999</x:v>
      </x:c>
      <x:c r="O744" s="22" t="str">
        <x:v>公顷</x:v>
      </x:c>
      <x:c r="P744" s="22" t="str">
        <x:v>未提供（单期横截面）</x:v>
      </x:c>
      <x:c r="Q744" s="23" t="n">
        <x:v>3723</x:v>
      </x:c>
    </x:row>
    <x:row r="745">
      <x:c r="A745" s="30" t="n">
        <x:v>350500</x:v>
      </x:c>
      <x:c r="B745" s="22" t="str">
        <x:v>泉州市</x:v>
      </x:c>
      <x:c r="C745" s="31" t="n">
        <x:v>350502</x:v>
      </x:c>
      <x:c r="D745" s="22" t="str">
        <x:v>鲤城区</x:v>
      </x:c>
      <x:c r="E745" s="22" t="str">
        <x:v>农用地</x:v>
      </x:c>
      <x:c r="F745" s="22" t="str">
        <x:v>水域及水利设施</x:v>
      </x:c>
      <x:c r="G745" s="32" t="str">
        <x:v>1107</x:v>
      </x:c>
      <x:c r="H745" s="32" t="str">
        <x:v>1107</x:v>
      </x:c>
      <x:c r="I745" s="22" t="str">
        <x:v>沟渠</x:v>
      </x:c>
      <x:c r="J745" s="22" t="str">
        <x:v>农业生态</x:v>
      </x:c>
      <x:c r="K745" s="32" t="str">
        <x:v>203</x:v>
      </x:c>
      <x:c r="L745" s="22" t="str">
        <x:v>村庄范围</x:v>
      </x:c>
      <x:c r="M745" s="33" t="n">
        <x:v>449</x:v>
      </x:c>
      <x:c r="N745" s="33" t="n">
        <x:v>0.0449</x:v>
      </x:c>
      <x:c r="O745" s="22" t="str">
        <x:v>公顷</x:v>
      </x:c>
      <x:c r="P745" s="22" t="str">
        <x:v>未提供（单期横截面）</x:v>
      </x:c>
      <x:c r="Q745" s="23" t="n">
        <x:v>3724</x:v>
      </x:c>
    </x:row>
    <x:row r="746">
      <x:c r="A746" s="30" t="n">
        <x:v>350500</x:v>
      </x:c>
      <x:c r="B746" s="22" t="str">
        <x:v>泉州市</x:v>
      </x:c>
      <x:c r="C746" s="31" t="n">
        <x:v>350502</x:v>
      </x:c>
      <x:c r="D746" s="22" t="str">
        <x:v>鲤城区</x:v>
      </x:c>
      <x:c r="E746" s="22" t="str">
        <x:v>农用地</x:v>
      </x:c>
      <x:c r="F746" s="22" t="str">
        <x:v>其他农用地</x:v>
      </x:c>
      <x:c r="G746" s="32" t="str">
        <x:v>1202</x:v>
      </x:c>
      <x:c r="H746" s="32" t="str">
        <x:v>1202</x:v>
      </x:c>
      <x:c r="I746" s="22" t="str">
        <x:v>设施农用地</x:v>
      </x:c>
      <x:c r="J746" s="22" t="str">
        <x:v>农业生态</x:v>
      </x:c>
      <x:c r="K746" s="32" t="str">
        <x:v>203</x:v>
      </x:c>
      <x:c r="L746" s="22" t="str">
        <x:v>村庄范围</x:v>
      </x:c>
      <x:c r="M746" s="33" t="n">
        <x:v>386.5</x:v>
      </x:c>
      <x:c r="N746" s="33" t="n">
        <x:v>0.03865</x:v>
      </x:c>
      <x:c r="O746" s="22" t="str">
        <x:v>公顷</x:v>
      </x:c>
      <x:c r="P746" s="22" t="str">
        <x:v>未提供（单期横截面）</x:v>
      </x:c>
      <x:c r="Q746" s="23" t="n">
        <x:v>3725</x:v>
      </x:c>
    </x:row>
    <x:row r="747">
      <x:c r="A747" s="30" t="n">
        <x:v>350500</x:v>
      </x:c>
      <x:c r="B747" s="22" t="str">
        <x:v>泉州市</x:v>
      </x:c>
      <x:c r="C747" s="31" t="n">
        <x:v>350502</x:v>
      </x:c>
      <x:c r="D747" s="22" t="str">
        <x:v>鲤城区</x:v>
      </x:c>
      <x:c r="E747" s="22" t="str">
        <x:v>未利用地</x:v>
      </x:c>
      <x:c r="F747" s="22" t="str">
        <x:v>草地</x:v>
      </x:c>
      <x:c r="G747" s="32" t="str">
        <x:v>404</x:v>
      </x:c>
      <x:c r="H747" s="32" t="str">
        <x:v>404</x:v>
      </x:c>
      <x:c r="I747" s="22" t="str">
        <x:v>其他草地</x:v>
      </x:c>
      <x:c r="J747" s="22" t="str">
        <x:v>农业生态</x:v>
      </x:c>
      <x:c r="K747" s="32" t="str"/>
      <x:c r="L747" s="22" t="str">
        <x:v>不适用/未标注</x:v>
      </x:c>
      <x:c r="M747" s="33" t="n">
        <x:v>496189.00000000006</x:v>
      </x:c>
      <x:c r="N747" s="33" t="n">
        <x:v>49.618900000000004</x:v>
      </x:c>
      <x:c r="O747" s="22" t="str">
        <x:v>公顷</x:v>
      </x:c>
      <x:c r="P747" s="22" t="str">
        <x:v>未提供（单期横截面）</x:v>
      </x:c>
      <x:c r="Q747" s="23" t="n">
        <x:v>3726</x:v>
      </x:c>
    </x:row>
    <x:row r="748">
      <x:c r="A748" s="30" t="n">
        <x:v>350500</x:v>
      </x:c>
      <x:c r="B748" s="22" t="str">
        <x:v>泉州市</x:v>
      </x:c>
      <x:c r="C748" s="31" t="n">
        <x:v>350502</x:v>
      </x:c>
      <x:c r="D748" s="22" t="str">
        <x:v>鲤城区</x:v>
      </x:c>
      <x:c r="E748" s="22" t="str">
        <x:v>未利用地</x:v>
      </x:c>
      <x:c r="F748" s="22" t="str">
        <x:v>水域及水利设施</x:v>
      </x:c>
      <x:c r="G748" s="32" t="str">
        <x:v>1101</x:v>
      </x:c>
      <x:c r="H748" s="32" t="str">
        <x:v>1101</x:v>
      </x:c>
      <x:c r="I748" s="22" t="str">
        <x:v>河流水面</x:v>
      </x:c>
      <x:c r="J748" s="22" t="str">
        <x:v>农业生态</x:v>
      </x:c>
      <x:c r="K748" s="32" t="str"/>
      <x:c r="L748" s="22" t="str">
        <x:v>不适用/未标注</x:v>
      </x:c>
      <x:c r="M748" s="33" t="n">
        <x:v>2046584.2600000002</x:v>
      </x:c>
      <x:c r="N748" s="33" t="n">
        <x:v>204.65842600000002</x:v>
      </x:c>
      <x:c r="O748" s="22" t="str">
        <x:v>公顷</x:v>
      </x:c>
      <x:c r="P748" s="22" t="str">
        <x:v>未提供（单期横截面）</x:v>
      </x:c>
      <x:c r="Q748" s="23" t="n">
        <x:v>3727</x:v>
      </x:c>
    </x:row>
    <x:row r="749">
      <x:c r="A749" s="30" t="n">
        <x:v>350500</x:v>
      </x:c>
      <x:c r="B749" s="22" t="str">
        <x:v>泉州市</x:v>
      </x:c>
      <x:c r="C749" s="31" t="n">
        <x:v>350502</x:v>
      </x:c>
      <x:c r="D749" s="22" t="str">
        <x:v>鲤城区</x:v>
      </x:c>
      <x:c r="E749" s="22" t="str">
        <x:v>未利用地</x:v>
      </x:c>
      <x:c r="F749" s="22" t="str">
        <x:v>水域及水利设施</x:v>
      </x:c>
      <x:c r="G749" s="32" t="str">
        <x:v>1106</x:v>
      </x:c>
      <x:c r="H749" s="32" t="str">
        <x:v>1106</x:v>
      </x:c>
      <x:c r="I749" s="22" t="str">
        <x:v>内陆滩涂</x:v>
      </x:c>
      <x:c r="J749" s="22" t="str">
        <x:v>农业生态</x:v>
      </x:c>
      <x:c r="K749" s="32" t="str"/>
      <x:c r="L749" s="22" t="str">
        <x:v>不适用/未标注</x:v>
      </x:c>
      <x:c r="M749" s="33" t="n">
        <x:v>665233.71</x:v>
      </x:c>
      <x:c r="N749" s="33" t="n">
        <x:v>66.523371</x:v>
      </x:c>
      <x:c r="O749" s="22" t="str">
        <x:v>公顷</x:v>
      </x:c>
      <x:c r="P749" s="22" t="str">
        <x:v>未提供（单期横截面）</x:v>
      </x:c>
      <x:c r="Q749" s="23" t="n">
        <x:v>3728</x:v>
      </x:c>
    </x:row>
    <x:row r="750">
      <x:c r="A750" s="30" t="n">
        <x:v>350500</x:v>
      </x:c>
      <x:c r="B750" s="22" t="str">
        <x:v>泉州市</x:v>
      </x:c>
      <x:c r="C750" s="31" t="n">
        <x:v>350502</x:v>
      </x:c>
      <x:c r="D750" s="22" t="str">
        <x:v>鲤城区</x:v>
      </x:c>
      <x:c r="E750" s="22" t="str">
        <x:v>未利用地</x:v>
      </x:c>
      <x:c r="F750" s="22" t="str">
        <x:v>未利用地</x:v>
      </x:c>
      <x:c r="G750" s="32" t="str">
        <x:v>1207</x:v>
      </x:c>
      <x:c r="H750" s="32" t="str">
        <x:v>1207</x:v>
      </x:c>
      <x:c r="I750" s="22" t="str">
        <x:v>裸岩石砾地</x:v>
      </x:c>
      <x:c r="J750" s="22" t="str">
        <x:v>未利用地</x:v>
      </x:c>
      <x:c r="K750" s="32" t="str"/>
      <x:c r="L750" s="22" t="str">
        <x:v>不适用/未标注</x:v>
      </x:c>
      <x:c r="M750" s="33" t="n">
        <x:v>13281.37</x:v>
      </x:c>
      <x:c r="N750" s="33" t="n">
        <x:v>1.3281370000000001</x:v>
      </x:c>
      <x:c r="O750" s="22" t="str">
        <x:v>公顷</x:v>
      </x:c>
      <x:c r="P750" s="22" t="str">
        <x:v>未提供（单期横截面）</x:v>
      </x:c>
      <x:c r="Q750" s="23" t="n">
        <x:v>3729</x:v>
      </x:c>
    </x:row>
    <x:row r="751">
      <x:c r="A751" s="30" t="n">
        <x:v>350500</x:v>
      </x:c>
      <x:c r="B751" s="22" t="str">
        <x:v>泉州市</x:v>
      </x:c>
      <x:c r="C751" s="31" t="n">
        <x:v>350502</x:v>
      </x:c>
      <x:c r="D751" s="22" t="str">
        <x:v>鲤城区</x:v>
      </x:c>
      <x:c r="E751" s="22" t="str">
        <x:v>未利用地</x:v>
      </x:c>
      <x:c r="F751" s="22" t="str">
        <x:v>草地</x:v>
      </x:c>
      <x:c r="G751" s="32" t="str">
        <x:v>404</x:v>
      </x:c>
      <x:c r="H751" s="32" t="str">
        <x:v>404</x:v>
      </x:c>
      <x:c r="I751" s="22" t="str">
        <x:v>其他草地</x:v>
      </x:c>
      <x:c r="J751" s="22" t="str">
        <x:v>农业生态</x:v>
      </x:c>
      <x:c r="K751" s="32" t="str">
        <x:v>201</x:v>
      </x:c>
      <x:c r="L751" s="22" t="str">
        <x:v>城市范围</x:v>
      </x:c>
      <x:c r="M751" s="33" t="n">
        <x:v>120293.49</x:v>
      </x:c>
      <x:c r="N751" s="33" t="n">
        <x:v>12.029349</x:v>
      </x:c>
      <x:c r="O751" s="22" t="str">
        <x:v>公顷</x:v>
      </x:c>
      <x:c r="P751" s="22" t="str">
        <x:v>未提供（单期横截面）</x:v>
      </x:c>
      <x:c r="Q751" s="23" t="n">
        <x:v>3730</x:v>
      </x:c>
    </x:row>
    <x:row r="752">
      <x:c r="A752" s="30" t="n">
        <x:v>350500</x:v>
      </x:c>
      <x:c r="B752" s="22" t="str">
        <x:v>泉州市</x:v>
      </x:c>
      <x:c r="C752" s="31" t="n">
        <x:v>350502</x:v>
      </x:c>
      <x:c r="D752" s="22" t="str">
        <x:v>鲤城区</x:v>
      </x:c>
      <x:c r="E752" s="22" t="str">
        <x:v>未利用地</x:v>
      </x:c>
      <x:c r="F752" s="22" t="str">
        <x:v>水域及水利设施</x:v>
      </x:c>
      <x:c r="G752" s="32" t="str">
        <x:v>1101</x:v>
      </x:c>
      <x:c r="H752" s="32" t="str">
        <x:v>1101</x:v>
      </x:c>
      <x:c r="I752" s="22" t="str">
        <x:v>河流水面</x:v>
      </x:c>
      <x:c r="J752" s="22" t="str">
        <x:v>农业生态</x:v>
      </x:c>
      <x:c r="K752" s="32" t="str">
        <x:v>201</x:v>
      </x:c>
      <x:c r="L752" s="22" t="str">
        <x:v>城市范围</x:v>
      </x:c>
      <x:c r="M752" s="33" t="n">
        <x:v>350173.58999999985</x:v>
      </x:c>
      <x:c r="N752" s="33" t="n">
        <x:v>35.017358999999985</x:v>
      </x:c>
      <x:c r="O752" s="22" t="str">
        <x:v>公顷</x:v>
      </x:c>
      <x:c r="P752" s="22" t="str">
        <x:v>未提供（单期横截面）</x:v>
      </x:c>
      <x:c r="Q752" s="23" t="n">
        <x:v>3731</x:v>
      </x:c>
    </x:row>
    <x:row r="753">
      <x:c r="A753" s="30" t="n">
        <x:v>350500</x:v>
      </x:c>
      <x:c r="B753" s="22" t="str">
        <x:v>泉州市</x:v>
      </x:c>
      <x:c r="C753" s="31" t="n">
        <x:v>350502</x:v>
      </x:c>
      <x:c r="D753" s="22" t="str">
        <x:v>鲤城区</x:v>
      </x:c>
      <x:c r="E753" s="22" t="str">
        <x:v>未利用地</x:v>
      </x:c>
      <x:c r="F753" s="22" t="str">
        <x:v>草地</x:v>
      </x:c>
      <x:c r="G753" s="32" t="str">
        <x:v>404</x:v>
      </x:c>
      <x:c r="H753" s="32" t="str">
        <x:v>404</x:v>
      </x:c>
      <x:c r="I753" s="22" t="str">
        <x:v>其他草地</x:v>
      </x:c>
      <x:c r="J753" s="22" t="str">
        <x:v>农业生态</x:v>
      </x:c>
      <x:c r="K753" s="32" t="str">
        <x:v>202</x:v>
      </x:c>
      <x:c r="L753" s="22" t="str">
        <x:v>建制镇范围</x:v>
      </x:c>
      <x:c r="M753" s="33" t="n">
        <x:v>1727.17</x:v>
      </x:c>
      <x:c r="N753" s="33" t="n">
        <x:v>0.172717</x:v>
      </x:c>
      <x:c r="O753" s="22" t="str">
        <x:v>公顷</x:v>
      </x:c>
      <x:c r="P753" s="22" t="str">
        <x:v>未提供（单期横截面）</x:v>
      </x:c>
      <x:c r="Q753" s="23" t="n">
        <x:v>3732</x:v>
      </x:c>
    </x:row>
    <x:row r="754">
      <x:c r="A754" s="30" t="n">
        <x:v>350500</x:v>
      </x:c>
      <x:c r="B754" s="22" t="str">
        <x:v>泉州市</x:v>
      </x:c>
      <x:c r="C754" s="31" t="n">
        <x:v>350502</x:v>
      </x:c>
      <x:c r="D754" s="22" t="str">
        <x:v>鲤城区</x:v>
      </x:c>
      <x:c r="E754" s="22" t="str">
        <x:v>未利用地</x:v>
      </x:c>
      <x:c r="F754" s="22" t="str">
        <x:v>水域及水利设施</x:v>
      </x:c>
      <x:c r="G754" s="32" t="str">
        <x:v>1101</x:v>
      </x:c>
      <x:c r="H754" s="32" t="str">
        <x:v>1101</x:v>
      </x:c>
      <x:c r="I754" s="22" t="str">
        <x:v>河流水面</x:v>
      </x:c>
      <x:c r="J754" s="22" t="str">
        <x:v>农业生态</x:v>
      </x:c>
      <x:c r="K754" s="32" t="str">
        <x:v>202</x:v>
      </x:c>
      <x:c r="L754" s="22" t="str">
        <x:v>建制镇范围</x:v>
      </x:c>
      <x:c r="M754" s="33" t="n">
        <x:v>10549.76</x:v>
      </x:c>
      <x:c r="N754" s="33" t="n">
        <x:v>1.054976</x:v>
      </x:c>
      <x:c r="O754" s="22" t="str">
        <x:v>公顷</x:v>
      </x:c>
      <x:c r="P754" s="22" t="str">
        <x:v>未提供（单期横截面）</x:v>
      </x:c>
      <x:c r="Q754" s="23" t="n">
        <x:v>3733</x:v>
      </x:c>
    </x:row>
    <x:row r="755">
      <x:c r="A755" s="30" t="n">
        <x:v>350500</x:v>
      </x:c>
      <x:c r="B755" s="22" t="str">
        <x:v>泉州市</x:v>
      </x:c>
      <x:c r="C755" s="31" t="n">
        <x:v>350502</x:v>
      </x:c>
      <x:c r="D755" s="22" t="str">
        <x:v>鲤城区</x:v>
      </x:c>
      <x:c r="E755" s="22" t="str">
        <x:v>未利用地</x:v>
      </x:c>
      <x:c r="F755" s="22" t="str">
        <x:v>草地</x:v>
      </x:c>
      <x:c r="G755" s="32" t="str">
        <x:v>404</x:v>
      </x:c>
      <x:c r="H755" s="32" t="str">
        <x:v>404</x:v>
      </x:c>
      <x:c r="I755" s="22" t="str">
        <x:v>其他草地</x:v>
      </x:c>
      <x:c r="J755" s="22" t="str">
        <x:v>农业生态</x:v>
      </x:c>
      <x:c r="K755" s="32" t="str">
        <x:v>203</x:v>
      </x:c>
      <x:c r="L755" s="22" t="str">
        <x:v>村庄范围</x:v>
      </x:c>
      <x:c r="M755" s="33" t="n">
        <x:v>2591.2200000000003</x:v>
      </x:c>
      <x:c r="N755" s="33" t="n">
        <x:v>0.259122</x:v>
      </x:c>
      <x:c r="O755" s="22" t="str">
        <x:v>公顷</x:v>
      </x:c>
      <x:c r="P755" s="22" t="str">
        <x:v>未提供（单期横截面）</x:v>
      </x:c>
      <x:c r="Q755" s="23" t="n">
        <x:v>3734</x:v>
      </x:c>
    </x:row>
    <x:row r="756">
      <x:c r="A756" s="30" t="n">
        <x:v>350500</x:v>
      </x:c>
      <x:c r="B756" s="22" t="str">
        <x:v>泉州市</x:v>
      </x:c>
      <x:c r="C756" s="31" t="n">
        <x:v>350502</x:v>
      </x:c>
      <x:c r="D756" s="22" t="str">
        <x:v>鲤城区</x:v>
      </x:c>
      <x:c r="E756" s="22" t="str">
        <x:v>未利用地</x:v>
      </x:c>
      <x:c r="F756" s="22" t="str">
        <x:v>水域及水利设施</x:v>
      </x:c>
      <x:c r="G756" s="32" t="str">
        <x:v>1101</x:v>
      </x:c>
      <x:c r="H756" s="32" t="str">
        <x:v>1101</x:v>
      </x:c>
      <x:c r="I756" s="22" t="str">
        <x:v>河流水面</x:v>
      </x:c>
      <x:c r="J756" s="22" t="str">
        <x:v>农业生态</x:v>
      </x:c>
      <x:c r="K756" s="32" t="str">
        <x:v>203</x:v>
      </x:c>
      <x:c r="L756" s="22" t="str">
        <x:v>村庄范围</x:v>
      </x:c>
      <x:c r="M756" s="33" t="n">
        <x:v>5373.5</x:v>
      </x:c>
      <x:c r="N756" s="33" t="n">
        <x:v>0.53735</x:v>
      </x:c>
      <x:c r="O756" s="22" t="str">
        <x:v>公顷</x:v>
      </x:c>
      <x:c r="P756" s="22" t="str">
        <x:v>未提供（单期横截面）</x:v>
      </x:c>
      <x:c r="Q756" s="23" t="n">
        <x:v>3735</x:v>
      </x:c>
    </x:row>
    <x:row r="757">
      <x:c r="A757" s="30" t="n">
        <x:v>350500</x:v>
      </x:c>
      <x:c r="B757" s="22" t="str">
        <x:v>泉州市</x:v>
      </x:c>
      <x:c r="C757" s="31" t="n">
        <x:v>350503</x:v>
      </x:c>
      <x:c r="D757" s="22" t="str">
        <x:v>丰泽区</x:v>
      </x:c>
      <x:c r="E757" s="22" t="str">
        <x:v>建设用地</x:v>
      </x:c>
      <x:c r="F757" s="22" t="str">
        <x:v>交通运输用地</x:v>
      </x:c>
      <x:c r="G757" s="32" t="str">
        <x:v>1001</x:v>
      </x:c>
      <x:c r="H757" s="32" t="str">
        <x:v>1001</x:v>
      </x:c>
      <x:c r="I757" s="22" t="str">
        <x:v>铁路用地</x:v>
      </x:c>
      <x:c r="J757" s="22" t="str">
        <x:v>交通门户</x:v>
      </x:c>
      <x:c r="K757" s="32" t="str"/>
      <x:c r="L757" s="22" t="str">
        <x:v>不适用/未标注</x:v>
      </x:c>
      <x:c r="M757" s="33" t="n">
        <x:v>745233.5800000001</x:v>
      </x:c>
      <x:c r="N757" s="33" t="n">
        <x:v>74.523358</x:v>
      </x:c>
      <x:c r="O757" s="22" t="str">
        <x:v>公顷</x:v>
      </x:c>
      <x:c r="P757" s="22" t="str">
        <x:v>未提供（单期横截面）</x:v>
      </x:c>
      <x:c r="Q757" s="23" t="n">
        <x:v>3736</x:v>
      </x:c>
    </x:row>
    <x:row r="758">
      <x:c r="A758" s="30" t="n">
        <x:v>350500</x:v>
      </x:c>
      <x:c r="B758" s="22" t="str">
        <x:v>泉州市</x:v>
      </x:c>
      <x:c r="C758" s="31" t="n">
        <x:v>350503</x:v>
      </x:c>
      <x:c r="D758" s="22" t="str">
        <x:v>丰泽区</x:v>
      </x:c>
      <x:c r="E758" s="22" t="str">
        <x:v>建设用地</x:v>
      </x:c>
      <x:c r="F758" s="22" t="str">
        <x:v>交通运输用地</x:v>
      </x:c>
      <x:c r="G758" s="32" t="str">
        <x:v>1003</x:v>
      </x:c>
      <x:c r="H758" s="32" t="str">
        <x:v>1003</x:v>
      </x:c>
      <x:c r="I758" s="22" t="str">
        <x:v>公路用地</x:v>
      </x:c>
      <x:c r="J758" s="22" t="str">
        <x:v>交通门户</x:v>
      </x:c>
      <x:c r="K758" s="32" t="str"/>
      <x:c r="L758" s="22" t="str">
        <x:v>不适用/未标注</x:v>
      </x:c>
      <x:c r="M758" s="33" t="n">
        <x:v>5310031.869999997</x:v>
      </x:c>
      <x:c r="N758" s="33" t="n">
        <x:v>531.0031869999997</x:v>
      </x:c>
      <x:c r="O758" s="22" t="str">
        <x:v>公顷</x:v>
      </x:c>
      <x:c r="P758" s="22" t="str">
        <x:v>未提供（单期横截面）</x:v>
      </x:c>
      <x:c r="Q758" s="23" t="n">
        <x:v>3737</x:v>
      </x:c>
    </x:row>
    <x:row r="759">
      <x:c r="A759" s="30" t="n">
        <x:v>350500</x:v>
      </x:c>
      <x:c r="B759" s="22" t="str">
        <x:v>泉州市</x:v>
      </x:c>
      <x:c r="C759" s="31" t="n">
        <x:v>350503</x:v>
      </x:c>
      <x:c r="D759" s="22" t="str">
        <x:v>丰泽区</x:v>
      </x:c>
      <x:c r="E759" s="22" t="str">
        <x:v>建设用地</x:v>
      </x:c>
      <x:c r="F759" s="22" t="str">
        <x:v>交通运输用地</x:v>
      </x:c>
      <x:c r="G759" s="32" t="str">
        <x:v>1008</x:v>
      </x:c>
      <x:c r="H759" s="32" t="str">
        <x:v>1008</x:v>
      </x:c>
      <x:c r="I759" s="22" t="str">
        <x:v>港口码头用地</x:v>
      </x:c>
      <x:c r="J759" s="22" t="str">
        <x:v>交通门户</x:v>
      </x:c>
      <x:c r="K759" s="32" t="str"/>
      <x:c r="L759" s="22" t="str">
        <x:v>不适用/未标注</x:v>
      </x:c>
      <x:c r="M759" s="33" t="n">
        <x:v>6661.370000000001</x:v>
      </x:c>
      <x:c r="N759" s="33" t="n">
        <x:v>0.6661370000000001</x:v>
      </x:c>
      <x:c r="O759" s="22" t="str">
        <x:v>公顷</x:v>
      </x:c>
      <x:c r="P759" s="22" t="str">
        <x:v>未提供（单期横截面）</x:v>
      </x:c>
      <x:c r="Q759" s="23" t="n">
        <x:v>3738</x:v>
      </x:c>
    </x:row>
    <x:row r="760">
      <x:c r="A760" s="30" t="n">
        <x:v>350500</x:v>
      </x:c>
      <x:c r="B760" s="22" t="str">
        <x:v>泉州市</x:v>
      </x:c>
      <x:c r="C760" s="31" t="n">
        <x:v>350503</x:v>
      </x:c>
      <x:c r="D760" s="22" t="str">
        <x:v>丰泽区</x:v>
      </x:c>
      <x:c r="E760" s="22" t="str">
        <x:v>建设用地</x:v>
      </x:c>
      <x:c r="F760" s="22" t="str">
        <x:v>水域及水利设施</x:v>
      </x:c>
      <x:c r="G760" s="32" t="str">
        <x:v>1109</x:v>
      </x:c>
      <x:c r="H760" s="32" t="str">
        <x:v>1109</x:v>
      </x:c>
      <x:c r="I760" s="22" t="str">
        <x:v>水工建筑用地</x:v>
      </x:c>
      <x:c r="J760" s="22" t="str">
        <x:v>其他建设</x:v>
      </x:c>
      <x:c r="K760" s="32" t="str"/>
      <x:c r="L760" s="22" t="str">
        <x:v>不适用/未标注</x:v>
      </x:c>
      <x:c r="M760" s="33" t="n">
        <x:v>30022.050000000003</x:v>
      </x:c>
      <x:c r="N760" s="33" t="n">
        <x:v>3.0022050000000005</x:v>
      </x:c>
      <x:c r="O760" s="22" t="str">
        <x:v>公顷</x:v>
      </x:c>
      <x:c r="P760" s="22" t="str">
        <x:v>未提供（单期横截面）</x:v>
      </x:c>
      <x:c r="Q760" s="23" t="n">
        <x:v>3739</x:v>
      </x:c>
    </x:row>
    <x:row r="761">
      <x:c r="A761" s="30" t="n">
        <x:v>350500</x:v>
      </x:c>
      <x:c r="B761" s="22" t="str">
        <x:v>泉州市</x:v>
      </x:c>
      <x:c r="C761" s="31" t="n">
        <x:v>350503</x:v>
      </x:c>
      <x:c r="D761" s="22" t="str">
        <x:v>丰泽区</x:v>
      </x:c>
      <x:c r="E761" s="22" t="str">
        <x:v>建设用地</x:v>
      </x:c>
      <x:c r="F761" s="22" t="str">
        <x:v>工矿仓储用地</x:v>
      </x:c>
      <x:c r="G761" s="32" t="str">
        <x:v>508</x:v>
      </x:c>
      <x:c r="H761" s="32" t="str">
        <x:v>508</x:v>
      </x:c>
      <x:c r="I761" s="22" t="str">
        <x:v>物流仓储用地</x:v>
      </x:c>
      <x:c r="J761" s="22" t="str">
        <x:v>产业功能</x:v>
      </x:c>
      <x:c r="K761" s="32" t="str">
        <x:v>201</x:v>
      </x:c>
      <x:c r="L761" s="22" t="str">
        <x:v>城市范围</x:v>
      </x:c>
      <x:c r="M761" s="33" t="n">
        <x:v>290987.6100000001</x:v>
      </x:c>
      <x:c r="N761" s="33" t="n">
        <x:v>29.09876100000001</x:v>
      </x:c>
      <x:c r="O761" s="22" t="str">
        <x:v>公顷</x:v>
      </x:c>
      <x:c r="P761" s="22" t="str">
        <x:v>未提供（单期横截面）</x:v>
      </x:c>
      <x:c r="Q761" s="23" t="n">
        <x:v>3740</x:v>
      </x:c>
    </x:row>
    <x:row r="762">
      <x:c r="A762" s="30" t="n">
        <x:v>350500</x:v>
      </x:c>
      <x:c r="B762" s="22" t="str">
        <x:v>泉州市</x:v>
      </x:c>
      <x:c r="C762" s="31" t="n">
        <x:v>350503</x:v>
      </x:c>
      <x:c r="D762" s="22" t="str">
        <x:v>丰泽区</x:v>
      </x:c>
      <x:c r="E762" s="22" t="str">
        <x:v>建设用地</x:v>
      </x:c>
      <x:c r="F762" s="22" t="str">
        <x:v>商业服务业用地</x:v>
      </x:c>
      <x:c r="G762" s="32" t="str">
        <x:v>05H1</x:v>
      </x:c>
      <x:c r="H762" s="32" t="str">
        <x:v>05H1</x:v>
      </x:c>
      <x:c r="I762" s="22" t="str">
        <x:v>商业服务业设施用地</x:v>
      </x:c>
      <x:c r="J762" s="22" t="str">
        <x:v>商业服务</x:v>
      </x:c>
      <x:c r="K762" s="32" t="str">
        <x:v>201</x:v>
      </x:c>
      <x:c r="L762" s="22" t="str">
        <x:v>城市范围</x:v>
      </x:c>
      <x:c r="M762" s="33" t="n">
        <x:v>3936515.3000000035</x:v>
      </x:c>
      <x:c r="N762" s="33" t="n">
        <x:v>393.6515300000004</x:v>
      </x:c>
      <x:c r="O762" s="22" t="str">
        <x:v>公顷</x:v>
      </x:c>
      <x:c r="P762" s="22" t="str">
        <x:v>未提供（单期横截面）</x:v>
      </x:c>
      <x:c r="Q762" s="23" t="n">
        <x:v>3741</x:v>
      </x:c>
    </x:row>
    <x:row r="763">
      <x:c r="A763" s="30" t="n">
        <x:v>350500</x:v>
      </x:c>
      <x:c r="B763" s="22" t="str">
        <x:v>泉州市</x:v>
      </x:c>
      <x:c r="C763" s="31" t="n">
        <x:v>350503</x:v>
      </x:c>
      <x:c r="D763" s="22" t="str">
        <x:v>丰泽区</x:v>
      </x:c>
      <x:c r="E763" s="22" t="str">
        <x:v>建设用地</x:v>
      </x:c>
      <x:c r="F763" s="22" t="str">
        <x:v>工矿仓储用地</x:v>
      </x:c>
      <x:c r="G763" s="32" t="str">
        <x:v>601</x:v>
      </x:c>
      <x:c r="H763" s="32" t="str">
        <x:v>601</x:v>
      </x:c>
      <x:c r="I763" s="22" t="str">
        <x:v>工业用地</x:v>
      </x:c>
      <x:c r="J763" s="22" t="str">
        <x:v>产业功能</x:v>
      </x:c>
      <x:c r="K763" s="32" t="str">
        <x:v>201</x:v>
      </x:c>
      <x:c r="L763" s="22" t="str">
        <x:v>城市范围</x:v>
      </x:c>
      <x:c r="M763" s="33" t="n">
        <x:v>4140163.8400000017</x:v>
      </x:c>
      <x:c r="N763" s="33" t="n">
        <x:v>414.0163840000002</x:v>
      </x:c>
      <x:c r="O763" s="22" t="str">
        <x:v>公顷</x:v>
      </x:c>
      <x:c r="P763" s="22" t="str">
        <x:v>未提供（单期横截面）</x:v>
      </x:c>
      <x:c r="Q763" s="23" t="n">
        <x:v>3742</x:v>
      </x:c>
    </x:row>
    <x:row r="764">
      <x:c r="A764" s="30" t="n">
        <x:v>350500</x:v>
      </x:c>
      <x:c r="B764" s="22" t="str">
        <x:v>泉州市</x:v>
      </x:c>
      <x:c r="C764" s="31" t="n">
        <x:v>350503</x:v>
      </x:c>
      <x:c r="D764" s="22" t="str">
        <x:v>丰泽区</x:v>
      </x:c>
      <x:c r="E764" s="22" t="str">
        <x:v>建设用地</x:v>
      </x:c>
      <x:c r="F764" s="22" t="str">
        <x:v>居住用地</x:v>
      </x:c>
      <x:c r="G764" s="32" t="str">
        <x:v>701</x:v>
      </x:c>
      <x:c r="H764" s="32" t="str">
        <x:v>701</x:v>
      </x:c>
      <x:c r="I764" s="22" t="str">
        <x:v>城镇住宅用地</x:v>
      </x:c>
      <x:c r="J764" s="22" t="str">
        <x:v>居住功能</x:v>
      </x:c>
      <x:c r="K764" s="32" t="str">
        <x:v>201</x:v>
      </x:c>
      <x:c r="L764" s="22" t="str">
        <x:v>城市范围</x:v>
      </x:c>
      <x:c r="M764" s="33" t="n">
        <x:v>20417979.920000013</x:v>
      </x:c>
      <x:c r="N764" s="33" t="n">
        <x:v>2041.7979920000014</x:v>
      </x:c>
      <x:c r="O764" s="22" t="str">
        <x:v>公顷</x:v>
      </x:c>
      <x:c r="P764" s="22" t="str">
        <x:v>未提供（单期横截面）</x:v>
      </x:c>
      <x:c r="Q764" s="23" t="n">
        <x:v>3743</x:v>
      </x:c>
    </x:row>
    <x:row r="765">
      <x:c r="A765" s="30" t="n">
        <x:v>350500</x:v>
      </x:c>
      <x:c r="B765" s="22" t="str">
        <x:v>泉州市</x:v>
      </x:c>
      <x:c r="C765" s="31" t="n">
        <x:v>350503</x:v>
      </x:c>
      <x:c r="D765" s="22" t="str">
        <x:v>丰泽区</x:v>
      </x:c>
      <x:c r="E765" s="22" t="str">
        <x:v>建设用地</x:v>
      </x:c>
      <x:c r="F765" s="22" t="str">
        <x:v>居住用地</x:v>
      </x:c>
      <x:c r="G765" s="32" t="str">
        <x:v>702</x:v>
      </x:c>
      <x:c r="H765" s="32" t="str">
        <x:v>702</x:v>
      </x:c>
      <x:c r="I765" s="22" t="str">
        <x:v>农村宅基地</x:v>
      </x:c>
      <x:c r="J765" s="22" t="str">
        <x:v>居住功能</x:v>
      </x:c>
      <x:c r="K765" s="32" t="str">
        <x:v>201</x:v>
      </x:c>
      <x:c r="L765" s="22" t="str">
        <x:v>城市范围</x:v>
      </x:c>
      <x:c r="M765" s="33" t="n">
        <x:v>20062.23</x:v>
      </x:c>
      <x:c r="N765" s="33" t="n">
        <x:v>2.006223</x:v>
      </x:c>
      <x:c r="O765" s="22" t="str">
        <x:v>公顷</x:v>
      </x:c>
      <x:c r="P765" s="22" t="str">
        <x:v>未提供（单期横截面）</x:v>
      </x:c>
      <x:c r="Q765" s="23" t="n">
        <x:v>3744</x:v>
      </x:c>
    </x:row>
    <x:row r="766">
      <x:c r="A766" s="30" t="n">
        <x:v>350500</x:v>
      </x:c>
      <x:c r="B766" s="22" t="str">
        <x:v>泉州市</x:v>
      </x:c>
      <x:c r="C766" s="31" t="n">
        <x:v>350503</x:v>
      </x:c>
      <x:c r="D766" s="22" t="str">
        <x:v>丰泽区</x:v>
      </x:c>
      <x:c r="E766" s="22" t="str">
        <x:v>建设用地</x:v>
      </x:c>
      <x:c r="F766" s="22" t="str">
        <x:v>公用设施用地</x:v>
      </x:c>
      <x:c r="G766" s="32" t="str">
        <x:v>809</x:v>
      </x:c>
      <x:c r="H766" s="32" t="str">
        <x:v>809</x:v>
      </x:c>
      <x:c r="I766" s="22" t="str">
        <x:v>公用设施用地</x:v>
      </x:c>
      <x:c r="J766" s="22" t="str">
        <x:v>其他建设</x:v>
      </x:c>
      <x:c r="K766" s="32" t="str">
        <x:v>201</x:v>
      </x:c>
      <x:c r="L766" s="22" t="str">
        <x:v>城市范围</x:v>
      </x:c>
      <x:c r="M766" s="33" t="n">
        <x:v>526732.8300000002</x:v>
      </x:c>
      <x:c r="N766" s="33" t="n">
        <x:v>52.67328300000002</x:v>
      </x:c>
      <x:c r="O766" s="22" t="str">
        <x:v>公顷</x:v>
      </x:c>
      <x:c r="P766" s="22" t="str">
        <x:v>未提供（单期横截面）</x:v>
      </x:c>
      <x:c r="Q766" s="23" t="n">
        <x:v>3745</x:v>
      </x:c>
    </x:row>
    <x:row r="767">
      <x:c r="A767" s="30" t="n">
        <x:v>350500</x:v>
      </x:c>
      <x:c r="B767" s="22" t="str">
        <x:v>泉州市</x:v>
      </x:c>
      <x:c r="C767" s="31" t="n">
        <x:v>350503</x:v>
      </x:c>
      <x:c r="D767" s="22" t="str">
        <x:v>丰泽区</x:v>
      </x:c>
      <x:c r="E767" s="22" t="str">
        <x:v>建设用地</x:v>
      </x:c>
      <x:c r="F767" s="22" t="str">
        <x:v>绿地与广场用地</x:v>
      </x:c>
      <x:c r="G767" s="32" t="str">
        <x:v>810</x:v>
      </x:c>
      <x:c r="H767" s="32" t="str">
        <x:v>810</x:v>
      </x:c>
      <x:c r="I767" s="22" t="str">
        <x:v>公园与绿地</x:v>
      </x:c>
      <x:c r="J767" s="22" t="str">
        <x:v>公共空间</x:v>
      </x:c>
      <x:c r="K767" s="32" t="str">
        <x:v>201</x:v>
      </x:c>
      <x:c r="L767" s="22" t="str">
        <x:v>城市范围</x:v>
      </x:c>
      <x:c r="M767" s="33" t="n">
        <x:v>3600672.759999998</x:v>
      </x:c>
      <x:c r="N767" s="33" t="n">
        <x:v>360.06727599999977</x:v>
      </x:c>
      <x:c r="O767" s="22" t="str">
        <x:v>公顷</x:v>
      </x:c>
      <x:c r="P767" s="22" t="str">
        <x:v>未提供（单期横截面）</x:v>
      </x:c>
      <x:c r="Q767" s="23" t="n">
        <x:v>3746</x:v>
      </x:c>
    </x:row>
    <x:row r="768">
      <x:c r="A768" s="30" t="n">
        <x:v>350500</x:v>
      </x:c>
      <x:c r="B768" s="22" t="str">
        <x:v>泉州市</x:v>
      </x:c>
      <x:c r="C768" s="31" t="n">
        <x:v>350503</x:v>
      </x:c>
      <x:c r="D768" s="22" t="str">
        <x:v>丰泽区</x:v>
      </x:c>
      <x:c r="E768" s="22" t="str">
        <x:v>建设用地</x:v>
      </x:c>
      <x:c r="F768" s="22" t="str">
        <x:v>绿地与广场用地</x:v>
      </x:c>
      <x:c r="G768" s="32" t="str">
        <x:v>0810A</x:v>
      </x:c>
      <x:c r="H768" s="32" t="str">
        <x:v>0810</x:v>
      </x:c>
      <x:c r="I768" s="22" t="str">
        <x:v>广场用地</x:v>
      </x:c>
      <x:c r="J768" s="22" t="str">
        <x:v>公共空间</x:v>
      </x:c>
      <x:c r="K768" s="32" t="str">
        <x:v>201</x:v>
      </x:c>
      <x:c r="L768" s="22" t="str">
        <x:v>城市范围</x:v>
      </x:c>
      <x:c r="M768" s="33" t="n">
        <x:v>31404.540000000005</x:v>
      </x:c>
      <x:c r="N768" s="33" t="n">
        <x:v>3.1404540000000005</x:v>
      </x:c>
      <x:c r="O768" s="22" t="str">
        <x:v>公顷</x:v>
      </x:c>
      <x:c r="P768" s="22" t="str">
        <x:v>未提供（单期横截面）</x:v>
      </x:c>
      <x:c r="Q768" s="23" t="n">
        <x:v>3747</x:v>
      </x:c>
    </x:row>
    <x:row r="769">
      <x:c r="A769" s="30" t="n">
        <x:v>350500</x:v>
      </x:c>
      <x:c r="B769" s="22" t="str">
        <x:v>泉州市</x:v>
      </x:c>
      <x:c r="C769" s="31" t="n">
        <x:v>350503</x:v>
      </x:c>
      <x:c r="D769" s="22" t="str">
        <x:v>丰泽区</x:v>
      </x:c>
      <x:c r="E769" s="22" t="str">
        <x:v>建设用地</x:v>
      </x:c>
      <x:c r="F769" s="22" t="str">
        <x:v>公共管理与公共服务用地</x:v>
      </x:c>
      <x:c r="G769" s="32" t="str">
        <x:v>08H1</x:v>
      </x:c>
      <x:c r="H769" s="32" t="str">
        <x:v>08H1</x:v>
      </x:c>
      <x:c r="I769" s="22" t="str">
        <x:v>机关团体新闻出版用地</x:v>
      </x:c>
      <x:c r="J769" s="22" t="str">
        <x:v>公共服务</x:v>
      </x:c>
      <x:c r="K769" s="32" t="str">
        <x:v>201</x:v>
      </x:c>
      <x:c r="L769" s="22" t="str">
        <x:v>城市范围</x:v>
      </x:c>
      <x:c r="M769" s="33" t="n">
        <x:v>1090807.6200000003</x:v>
      </x:c>
      <x:c r="N769" s="33" t="n">
        <x:v>109.08076200000004</x:v>
      </x:c>
      <x:c r="O769" s="22" t="str">
        <x:v>公顷</x:v>
      </x:c>
      <x:c r="P769" s="22" t="str">
        <x:v>未提供（单期横截面）</x:v>
      </x:c>
      <x:c r="Q769" s="23" t="n">
        <x:v>3748</x:v>
      </x:c>
    </x:row>
    <x:row r="770">
      <x:c r="A770" s="30" t="n">
        <x:v>350500</x:v>
      </x:c>
      <x:c r="B770" s="22" t="str">
        <x:v>泉州市</x:v>
      </x:c>
      <x:c r="C770" s="31" t="n">
        <x:v>350503</x:v>
      </x:c>
      <x:c r="D770" s="22" t="str">
        <x:v>丰泽区</x:v>
      </x:c>
      <x:c r="E770" s="22" t="str">
        <x:v>建设用地</x:v>
      </x:c>
      <x:c r="F770" s="22" t="str">
        <x:v>公共管理与公共服务用地</x:v>
      </x:c>
      <x:c r="G770" s="32" t="str">
        <x:v>08H2</x:v>
      </x:c>
      <x:c r="H770" s="32" t="str">
        <x:v>08H2</x:v>
      </x:c>
      <x:c r="I770" s="22" t="str">
        <x:v>科教文卫用地</x:v>
      </x:c>
      <x:c r="J770" s="22" t="str">
        <x:v>公共服务</x:v>
      </x:c>
      <x:c r="K770" s="32" t="str">
        <x:v>201</x:v>
      </x:c>
      <x:c r="L770" s="22" t="str">
        <x:v>城市范围</x:v>
      </x:c>
      <x:c r="M770" s="33" t="n">
        <x:v>3482465.6199999996</x:v>
      </x:c>
      <x:c r="N770" s="33" t="n">
        <x:v>348.246562</x:v>
      </x:c>
      <x:c r="O770" s="22" t="str">
        <x:v>公顷</x:v>
      </x:c>
      <x:c r="P770" s="22" t="str">
        <x:v>未提供（单期横截面）</x:v>
      </x:c>
      <x:c r="Q770" s="23" t="n">
        <x:v>3749</x:v>
      </x:c>
    </x:row>
    <x:row r="771">
      <x:c r="A771" s="30" t="n">
        <x:v>350500</x:v>
      </x:c>
      <x:c r="B771" s="22" t="str">
        <x:v>泉州市</x:v>
      </x:c>
      <x:c r="C771" s="31" t="n">
        <x:v>350503</x:v>
      </x:c>
      <x:c r="D771" s="22" t="str">
        <x:v>丰泽区</x:v>
      </x:c>
      <x:c r="E771" s="22" t="str">
        <x:v>建设用地</x:v>
      </x:c>
      <x:c r="F771" s="22" t="str">
        <x:v>公共管理与公共服务用地</x:v>
      </x:c>
      <x:c r="G771" s="32" t="str">
        <x:v>08H2A</x:v>
      </x:c>
      <x:c r="H771" s="32" t="str">
        <x:v>08H2</x:v>
      </x:c>
      <x:c r="I771" s="22" t="str">
        <x:v>高教用地</x:v>
      </x:c>
      <x:c r="J771" s="22" t="str">
        <x:v>公共服务</x:v>
      </x:c>
      <x:c r="K771" s="32" t="str">
        <x:v>201</x:v>
      </x:c>
      <x:c r="L771" s="22" t="str">
        <x:v>城市范围</x:v>
      </x:c>
      <x:c r="M771" s="33" t="n">
        <x:v>2006263.0599999998</x:v>
      </x:c>
      <x:c r="N771" s="33" t="n">
        <x:v>200.62630599999997</x:v>
      </x:c>
      <x:c r="O771" s="22" t="str">
        <x:v>公顷</x:v>
      </x:c>
      <x:c r="P771" s="22" t="str">
        <x:v>未提供（单期横截面）</x:v>
      </x:c>
      <x:c r="Q771" s="23" t="n">
        <x:v>3750</x:v>
      </x:c>
    </x:row>
    <x:row r="772">
      <x:c r="A772" s="30" t="n">
        <x:v>350500</x:v>
      </x:c>
      <x:c r="B772" s="22" t="str">
        <x:v>泉州市</x:v>
      </x:c>
      <x:c r="C772" s="31" t="n">
        <x:v>350503</x:v>
      </x:c>
      <x:c r="D772" s="22" t="str">
        <x:v>丰泽区</x:v>
      </x:c>
      <x:c r="E772" s="22" t="str">
        <x:v>建设用地</x:v>
      </x:c>
      <x:c r="F772" s="22" t="str">
        <x:v>特殊用地</x:v>
      </x:c>
      <x:c r="G772" s="32" t="str">
        <x:v>9</x:v>
      </x:c>
      <x:c r="H772" s="32" t="str">
        <x:v>9</x:v>
      </x:c>
      <x:c r="I772" s="22" t="str">
        <x:v>特殊用地</x:v>
      </x:c>
      <x:c r="J772" s="22" t="str">
        <x:v>其他建设</x:v>
      </x:c>
      <x:c r="K772" s="32" t="str">
        <x:v>201</x:v>
      </x:c>
      <x:c r="L772" s="22" t="str">
        <x:v>城市范围</x:v>
      </x:c>
      <x:c r="M772" s="33" t="n">
        <x:v>610473.8900000001</x:v>
      </x:c>
      <x:c r="N772" s="33" t="n">
        <x:v>61.04738900000001</x:v>
      </x:c>
      <x:c r="O772" s="22" t="str">
        <x:v>公顷</x:v>
      </x:c>
      <x:c r="P772" s="22" t="str">
        <x:v>未提供（单期横截面）</x:v>
      </x:c>
      <x:c r="Q772" s="23" t="n">
        <x:v>3751</x:v>
      </x:c>
    </x:row>
    <x:row r="773">
      <x:c r="A773" s="30" t="n">
        <x:v>350500</x:v>
      </x:c>
      <x:c r="B773" s="22" t="str">
        <x:v>泉州市</x:v>
      </x:c>
      <x:c r="C773" s="31" t="n">
        <x:v>350503</x:v>
      </x:c>
      <x:c r="D773" s="22" t="str">
        <x:v>丰泽区</x:v>
      </x:c>
      <x:c r="E773" s="22" t="str">
        <x:v>建设用地</x:v>
      </x:c>
      <x:c r="F773" s="22" t="str">
        <x:v>交通运输用地</x:v>
      </x:c>
      <x:c r="G773" s="32" t="str">
        <x:v>1001</x:v>
      </x:c>
      <x:c r="H773" s="32" t="str">
        <x:v>1001</x:v>
      </x:c>
      <x:c r="I773" s="22" t="str">
        <x:v>铁路用地</x:v>
      </x:c>
      <x:c r="J773" s="22" t="str">
        <x:v>交通门户</x:v>
      </x:c>
      <x:c r="K773" s="32" t="str">
        <x:v>201</x:v>
      </x:c>
      <x:c r="L773" s="22" t="str">
        <x:v>城市范围</x:v>
      </x:c>
      <x:c r="M773" s="33" t="n">
        <x:v>27487.03</x:v>
      </x:c>
      <x:c r="N773" s="33" t="n">
        <x:v>2.748703</x:v>
      </x:c>
      <x:c r="O773" s="22" t="str">
        <x:v>公顷</x:v>
      </x:c>
      <x:c r="P773" s="22" t="str">
        <x:v>未提供（单期横截面）</x:v>
      </x:c>
      <x:c r="Q773" s="23" t="n">
        <x:v>3752</x:v>
      </x:c>
    </x:row>
    <x:row r="774">
      <x:c r="A774" s="30" t="n">
        <x:v>350500</x:v>
      </x:c>
      <x:c r="B774" s="22" t="str">
        <x:v>泉州市</x:v>
      </x:c>
      <x:c r="C774" s="31" t="n">
        <x:v>350503</x:v>
      </x:c>
      <x:c r="D774" s="22" t="str">
        <x:v>丰泽区</x:v>
      </x:c>
      <x:c r="E774" s="22" t="str">
        <x:v>建设用地</x:v>
      </x:c>
      <x:c r="F774" s="22" t="str">
        <x:v>交通运输用地</x:v>
      </x:c>
      <x:c r="G774" s="32" t="str">
        <x:v>1003</x:v>
      </x:c>
      <x:c r="H774" s="32" t="str">
        <x:v>1003</x:v>
      </x:c>
      <x:c r="I774" s="22" t="str">
        <x:v>公路用地</x:v>
      </x:c>
      <x:c r="J774" s="22" t="str">
        <x:v>交通门户</x:v>
      </x:c>
      <x:c r="K774" s="32" t="str">
        <x:v>201</x:v>
      </x:c>
      <x:c r="L774" s="22" t="str">
        <x:v>城市范围</x:v>
      </x:c>
      <x:c r="M774" s="33" t="n">
        <x:v>5951.280000000001</x:v>
      </x:c>
      <x:c r="N774" s="33" t="n">
        <x:v>0.5951280000000001</x:v>
      </x:c>
      <x:c r="O774" s="22" t="str">
        <x:v>公顷</x:v>
      </x:c>
      <x:c r="P774" s="22" t="str">
        <x:v>未提供（单期横截面）</x:v>
      </x:c>
      <x:c r="Q774" s="23" t="n">
        <x:v>3753</x:v>
      </x:c>
    </x:row>
    <x:row r="775">
      <x:c r="A775" s="30" t="n">
        <x:v>350500</x:v>
      </x:c>
      <x:c r="B775" s="22" t="str">
        <x:v>泉州市</x:v>
      </x:c>
      <x:c r="C775" s="31" t="n">
        <x:v>350503</x:v>
      </x:c>
      <x:c r="D775" s="22" t="str">
        <x:v>丰泽区</x:v>
      </x:c>
      <x:c r="E775" s="22" t="str">
        <x:v>建设用地</x:v>
      </x:c>
      <x:c r="F775" s="22" t="str">
        <x:v>交通运输用地</x:v>
      </x:c>
      <x:c r="G775" s="32" t="str">
        <x:v>1004</x:v>
      </x:c>
      <x:c r="H775" s="32" t="str">
        <x:v>1004</x:v>
      </x:c>
      <x:c r="I775" s="22" t="str">
        <x:v>城镇村道路用地</x:v>
      </x:c>
      <x:c r="J775" s="22" t="str">
        <x:v>交通门户</x:v>
      </x:c>
      <x:c r="K775" s="32" t="str">
        <x:v>201</x:v>
      </x:c>
      <x:c r="L775" s="22" t="str">
        <x:v>城市范围</x:v>
      </x:c>
      <x:c r="M775" s="33" t="n">
        <x:v>5516969.260000006</x:v>
      </x:c>
      <x:c r="N775" s="33" t="n">
        <x:v>551.6969260000006</x:v>
      </x:c>
      <x:c r="O775" s="22" t="str">
        <x:v>公顷</x:v>
      </x:c>
      <x:c r="P775" s="22" t="str">
        <x:v>未提供（单期横截面）</x:v>
      </x:c>
      <x:c r="Q775" s="23" t="n">
        <x:v>3754</x:v>
      </x:c>
    </x:row>
    <x:row r="776">
      <x:c r="A776" s="30" t="n">
        <x:v>350500</x:v>
      </x:c>
      <x:c r="B776" s="22" t="str">
        <x:v>泉州市</x:v>
      </x:c>
      <x:c r="C776" s="31" t="n">
        <x:v>350503</x:v>
      </x:c>
      <x:c r="D776" s="22" t="str">
        <x:v>丰泽区</x:v>
      </x:c>
      <x:c r="E776" s="22" t="str">
        <x:v>建设用地</x:v>
      </x:c>
      <x:c r="F776" s="22" t="str">
        <x:v>交通运输用地</x:v>
      </x:c>
      <x:c r="G776" s="32" t="str">
        <x:v>1005</x:v>
      </x:c>
      <x:c r="H776" s="32" t="str">
        <x:v>1005</x:v>
      </x:c>
      <x:c r="I776" s="22" t="str">
        <x:v>交通服务场站用地</x:v>
      </x:c>
      <x:c r="J776" s="22" t="str">
        <x:v>交通门户</x:v>
      </x:c>
      <x:c r="K776" s="32" t="str">
        <x:v>201</x:v>
      </x:c>
      <x:c r="L776" s="22" t="str">
        <x:v>城市范围</x:v>
      </x:c>
      <x:c r="M776" s="33" t="n">
        <x:v>545106.6599999998</x:v>
      </x:c>
      <x:c r="N776" s="33" t="n">
        <x:v>54.51066599999998</x:v>
      </x:c>
      <x:c r="O776" s="22" t="str">
        <x:v>公顷</x:v>
      </x:c>
      <x:c r="P776" s="22" t="str">
        <x:v>未提供（单期横截面）</x:v>
      </x:c>
      <x:c r="Q776" s="23" t="n">
        <x:v>3755</x:v>
      </x:c>
    </x:row>
    <x:row r="777">
      <x:c r="A777" s="30" t="n">
        <x:v>350500</x:v>
      </x:c>
      <x:c r="B777" s="22" t="str">
        <x:v>泉州市</x:v>
      </x:c>
      <x:c r="C777" s="31" t="n">
        <x:v>350503</x:v>
      </x:c>
      <x:c r="D777" s="22" t="str">
        <x:v>丰泽区</x:v>
      </x:c>
      <x:c r="E777" s="22" t="str">
        <x:v>建设用地</x:v>
      </x:c>
      <x:c r="F777" s="22" t="str">
        <x:v>交通运输用地</x:v>
      </x:c>
      <x:c r="G777" s="32" t="str">
        <x:v>1008</x:v>
      </x:c>
      <x:c r="H777" s="32" t="str">
        <x:v>1008</x:v>
      </x:c>
      <x:c r="I777" s="22" t="str">
        <x:v>港口码头用地</x:v>
      </x:c>
      <x:c r="J777" s="22" t="str">
        <x:v>交通门户</x:v>
      </x:c>
      <x:c r="K777" s="32" t="str">
        <x:v>201</x:v>
      </x:c>
      <x:c r="L777" s="22" t="str">
        <x:v>城市范围</x:v>
      </x:c>
      <x:c r="M777" s="33" t="n">
        <x:v>43869.799999999996</x:v>
      </x:c>
      <x:c r="N777" s="33" t="n">
        <x:v>4.386979999999999</x:v>
      </x:c>
      <x:c r="O777" s="22" t="str">
        <x:v>公顷</x:v>
      </x:c>
      <x:c r="P777" s="22" t="str">
        <x:v>未提供（单期横截面）</x:v>
      </x:c>
      <x:c r="Q777" s="23" t="n">
        <x:v>3756</x:v>
      </x:c>
    </x:row>
    <x:row r="778">
      <x:c r="A778" s="30" t="n">
        <x:v>350500</x:v>
      </x:c>
      <x:c r="B778" s="22" t="str">
        <x:v>泉州市</x:v>
      </x:c>
      <x:c r="C778" s="31" t="n">
        <x:v>350503</x:v>
      </x:c>
      <x:c r="D778" s="22" t="str">
        <x:v>丰泽区</x:v>
      </x:c>
      <x:c r="E778" s="22" t="str">
        <x:v>建设用地</x:v>
      </x:c>
      <x:c r="F778" s="22" t="str">
        <x:v>水域及水利设施</x:v>
      </x:c>
      <x:c r="G778" s="32" t="str">
        <x:v>1109</x:v>
      </x:c>
      <x:c r="H778" s="32" t="str">
        <x:v>1109</x:v>
      </x:c>
      <x:c r="I778" s="22" t="str">
        <x:v>水工建筑用地</x:v>
      </x:c>
      <x:c r="J778" s="22" t="str">
        <x:v>其他建设</x:v>
      </x:c>
      <x:c r="K778" s="32" t="str">
        <x:v>201</x:v>
      </x:c>
      <x:c r="L778" s="22" t="str">
        <x:v>城市范围</x:v>
      </x:c>
      <x:c r="M778" s="33" t="n">
        <x:v>108101.67000000001</x:v>
      </x:c>
      <x:c r="N778" s="33" t="n">
        <x:v>10.810167000000002</x:v>
      </x:c>
      <x:c r="O778" s="22" t="str">
        <x:v>公顷</x:v>
      </x:c>
      <x:c r="P778" s="22" t="str">
        <x:v>未提供（单期横截面）</x:v>
      </x:c>
      <x:c r="Q778" s="23" t="n">
        <x:v>3757</x:v>
      </x:c>
    </x:row>
    <x:row r="779">
      <x:c r="A779" s="30" t="n">
        <x:v>350500</x:v>
      </x:c>
      <x:c r="B779" s="22" t="str">
        <x:v>泉州市</x:v>
      </x:c>
      <x:c r="C779" s="31" t="n">
        <x:v>350503</x:v>
      </x:c>
      <x:c r="D779" s="22" t="str">
        <x:v>丰泽区</x:v>
      </x:c>
      <x:c r="E779" s="22" t="str">
        <x:v>建设用地</x:v>
      </x:c>
      <x:c r="F779" s="22" t="str">
        <x:v>其他建设用地</x:v>
      </x:c>
      <x:c r="G779" s="32" t="str">
        <x:v>1201</x:v>
      </x:c>
      <x:c r="H779" s="32" t="str">
        <x:v>1201</x:v>
      </x:c>
      <x:c r="I779" s="22" t="str">
        <x:v>空闲地</x:v>
      </x:c>
      <x:c r="J779" s="22" t="str">
        <x:v>其他建设</x:v>
      </x:c>
      <x:c r="K779" s="32" t="str">
        <x:v>201</x:v>
      </x:c>
      <x:c r="L779" s="22" t="str">
        <x:v>城市范围</x:v>
      </x:c>
      <x:c r="M779" s="33" t="n">
        <x:v>257886.09</x:v>
      </x:c>
      <x:c r="N779" s="33" t="n">
        <x:v>25.788609</x:v>
      </x:c>
      <x:c r="O779" s="22" t="str">
        <x:v>公顷</x:v>
      </x:c>
      <x:c r="P779" s="22" t="str">
        <x:v>未提供（单期横截面）</x:v>
      </x:c>
      <x:c r="Q779" s="23" t="n">
        <x:v>3758</x:v>
      </x:c>
    </x:row>
    <x:row r="780">
      <x:c r="A780" s="30" t="n">
        <x:v>350500</x:v>
      </x:c>
      <x:c r="B780" s="22" t="str">
        <x:v>泉州市</x:v>
      </x:c>
      <x:c r="C780" s="31" t="n">
        <x:v>350503</x:v>
      </x:c>
      <x:c r="D780" s="22" t="str">
        <x:v>丰泽区</x:v>
      </x:c>
      <x:c r="E780" s="22" t="str">
        <x:v>建设用地</x:v>
      </x:c>
      <x:c r="F780" s="22" t="str">
        <x:v>工矿仓储用地</x:v>
      </x:c>
      <x:c r="G780" s="32" t="str">
        <x:v>601</x:v>
      </x:c>
      <x:c r="H780" s="32" t="str">
        <x:v>601</x:v>
      </x:c>
      <x:c r="I780" s="22" t="str">
        <x:v>工业用地</x:v>
      </x:c>
      <x:c r="J780" s="22" t="str">
        <x:v>产业功能</x:v>
      </x:c>
      <x:c r="K780" s="32" t="str">
        <x:v>201A</x:v>
      </x:c>
      <x:c r="L780" s="22" t="str">
        <x:v>城市独立工业用地</x:v>
      </x:c>
      <x:c r="M780" s="33" t="n">
        <x:v>828.97</x:v>
      </x:c>
      <x:c r="N780" s="33" t="n">
        <x:v>0.082897</x:v>
      </x:c>
      <x:c r="O780" s="22" t="str">
        <x:v>公顷</x:v>
      </x:c>
      <x:c r="P780" s="22" t="str">
        <x:v>未提供（单期横截面）</x:v>
      </x:c>
      <x:c r="Q780" s="23" t="n">
        <x:v>3759</x:v>
      </x:c>
    </x:row>
    <x:row r="781">
      <x:c r="A781" s="30" t="n">
        <x:v>350500</x:v>
      </x:c>
      <x:c r="B781" s="22" t="str">
        <x:v>泉州市</x:v>
      </x:c>
      <x:c r="C781" s="31" t="n">
        <x:v>350503</x:v>
      </x:c>
      <x:c r="D781" s="22" t="str">
        <x:v>丰泽区</x:v>
      </x:c>
      <x:c r="E781" s="22" t="str">
        <x:v>建设用地</x:v>
      </x:c>
      <x:c r="F781" s="22" t="str">
        <x:v>商业服务业用地</x:v>
      </x:c>
      <x:c r="G781" s="32" t="str">
        <x:v>05H1</x:v>
      </x:c>
      <x:c r="H781" s="32" t="str">
        <x:v>05H1</x:v>
      </x:c>
      <x:c r="I781" s="22" t="str">
        <x:v>商业服务业设施用地</x:v>
      </x:c>
      <x:c r="J781" s="22" t="str">
        <x:v>商业服务</x:v>
      </x:c>
      <x:c r="K781" s="32" t="str">
        <x:v>202</x:v>
      </x:c>
      <x:c r="L781" s="22" t="str">
        <x:v>建制镇范围</x:v>
      </x:c>
      <x:c r="M781" s="33" t="n">
        <x:v>3759.9</x:v>
      </x:c>
      <x:c r="N781" s="33" t="n">
        <x:v>0.37599</x:v>
      </x:c>
      <x:c r="O781" s="22" t="str">
        <x:v>公顷</x:v>
      </x:c>
      <x:c r="P781" s="22" t="str">
        <x:v>未提供（单期横截面）</x:v>
      </x:c>
      <x:c r="Q781" s="23" t="n">
        <x:v>3760</x:v>
      </x:c>
    </x:row>
    <x:row r="782">
      <x:c r="A782" s="30" t="n">
        <x:v>350500</x:v>
      </x:c>
      <x:c r="B782" s="22" t="str">
        <x:v>泉州市</x:v>
      </x:c>
      <x:c r="C782" s="31" t="n">
        <x:v>350503</x:v>
      </x:c>
      <x:c r="D782" s="22" t="str">
        <x:v>丰泽区</x:v>
      </x:c>
      <x:c r="E782" s="22" t="str">
        <x:v>建设用地</x:v>
      </x:c>
      <x:c r="F782" s="22" t="str">
        <x:v>居住用地</x:v>
      </x:c>
      <x:c r="G782" s="32" t="str">
        <x:v>701</x:v>
      </x:c>
      <x:c r="H782" s="32" t="str">
        <x:v>701</x:v>
      </x:c>
      <x:c r="I782" s="22" t="str">
        <x:v>城镇住宅用地</x:v>
      </x:c>
      <x:c r="J782" s="22" t="str">
        <x:v>居住功能</x:v>
      </x:c>
      <x:c r="K782" s="32" t="str">
        <x:v>202</x:v>
      </x:c>
      <x:c r="L782" s="22" t="str">
        <x:v>建制镇范围</x:v>
      </x:c>
      <x:c r="M782" s="33" t="n">
        <x:v>653.02</x:v>
      </x:c>
      <x:c r="N782" s="33" t="n">
        <x:v>0.065302</x:v>
      </x:c>
      <x:c r="O782" s="22" t="str">
        <x:v>公顷</x:v>
      </x:c>
      <x:c r="P782" s="22" t="str">
        <x:v>未提供（单期横截面）</x:v>
      </x:c>
      <x:c r="Q782" s="23" t="n">
        <x:v>3761</x:v>
      </x:c>
    </x:row>
    <x:row r="783">
      <x:c r="A783" s="30" t="n">
        <x:v>350500</x:v>
      </x:c>
      <x:c r="B783" s="22" t="str">
        <x:v>泉州市</x:v>
      </x:c>
      <x:c r="C783" s="31" t="n">
        <x:v>350503</x:v>
      </x:c>
      <x:c r="D783" s="22" t="str">
        <x:v>丰泽区</x:v>
      </x:c>
      <x:c r="E783" s="22" t="str">
        <x:v>建设用地</x:v>
      </x:c>
      <x:c r="F783" s="22" t="str">
        <x:v>公共管理与公共服务用地</x:v>
      </x:c>
      <x:c r="G783" s="32" t="str">
        <x:v>08H2</x:v>
      </x:c>
      <x:c r="H783" s="32" t="str">
        <x:v>08H2</x:v>
      </x:c>
      <x:c r="I783" s="22" t="str">
        <x:v>科教文卫用地</x:v>
      </x:c>
      <x:c r="J783" s="22" t="str">
        <x:v>公共服务</x:v>
      </x:c>
      <x:c r="K783" s="32" t="str">
        <x:v>202</x:v>
      </x:c>
      <x:c r="L783" s="22" t="str">
        <x:v>建制镇范围</x:v>
      </x:c>
      <x:c r="M783" s="33" t="n">
        <x:v>97833.54</x:v>
      </x:c>
      <x:c r="N783" s="33" t="n">
        <x:v>9.783354</x:v>
      </x:c>
      <x:c r="O783" s="22" t="str">
        <x:v>公顷</x:v>
      </x:c>
      <x:c r="P783" s="22" t="str">
        <x:v>未提供（单期横截面）</x:v>
      </x:c>
      <x:c r="Q783" s="23" t="n">
        <x:v>3762</x:v>
      </x:c>
    </x:row>
    <x:row r="784">
      <x:c r="A784" s="30" t="n">
        <x:v>350500</x:v>
      </x:c>
      <x:c r="B784" s="22" t="str">
        <x:v>泉州市</x:v>
      </x:c>
      <x:c r="C784" s="31" t="n">
        <x:v>350503</x:v>
      </x:c>
      <x:c r="D784" s="22" t="str">
        <x:v>丰泽区</x:v>
      </x:c>
      <x:c r="E784" s="22" t="str">
        <x:v>建设用地</x:v>
      </x:c>
      <x:c r="F784" s="22" t="str">
        <x:v>工矿仓储用地</x:v>
      </x:c>
      <x:c r="G784" s="32" t="str">
        <x:v>508</x:v>
      </x:c>
      <x:c r="H784" s="32" t="str">
        <x:v>508</x:v>
      </x:c>
      <x:c r="I784" s="22" t="str">
        <x:v>物流仓储用地</x:v>
      </x:c>
      <x:c r="J784" s="22" t="str">
        <x:v>产业功能</x:v>
      </x:c>
      <x:c r="K784" s="32" t="str">
        <x:v>203</x:v>
      </x:c>
      <x:c r="L784" s="22" t="str">
        <x:v>村庄范围</x:v>
      </x:c>
      <x:c r="M784" s="33" t="n">
        <x:v>87884.39</x:v>
      </x:c>
      <x:c r="N784" s="33" t="n">
        <x:v>8.788439</x:v>
      </x:c>
      <x:c r="O784" s="22" t="str">
        <x:v>公顷</x:v>
      </x:c>
      <x:c r="P784" s="22" t="str">
        <x:v>未提供（单期横截面）</x:v>
      </x:c>
      <x:c r="Q784" s="23" t="n">
        <x:v>3763</x:v>
      </x:c>
    </x:row>
    <x:row r="785">
      <x:c r="A785" s="30" t="n">
        <x:v>350500</x:v>
      </x:c>
      <x:c r="B785" s="22" t="str">
        <x:v>泉州市</x:v>
      </x:c>
      <x:c r="C785" s="31" t="n">
        <x:v>350503</x:v>
      </x:c>
      <x:c r="D785" s="22" t="str">
        <x:v>丰泽区</x:v>
      </x:c>
      <x:c r="E785" s="22" t="str">
        <x:v>建设用地</x:v>
      </x:c>
      <x:c r="F785" s="22" t="str">
        <x:v>商业服务业用地</x:v>
      </x:c>
      <x:c r="G785" s="32" t="str">
        <x:v>05H1</x:v>
      </x:c>
      <x:c r="H785" s="32" t="str">
        <x:v>05H1</x:v>
      </x:c>
      <x:c r="I785" s="22" t="str">
        <x:v>商业服务业设施用地</x:v>
      </x:c>
      <x:c r="J785" s="22" t="str">
        <x:v>商业服务</x:v>
      </x:c>
      <x:c r="K785" s="32" t="str">
        <x:v>203</x:v>
      </x:c>
      <x:c r="L785" s="22" t="str">
        <x:v>村庄范围</x:v>
      </x:c>
      <x:c r="M785" s="33" t="n">
        <x:v>586419.2699999998</x:v>
      </x:c>
      <x:c r="N785" s="33" t="n">
        <x:v>58.64192699999998</x:v>
      </x:c>
      <x:c r="O785" s="22" t="str">
        <x:v>公顷</x:v>
      </x:c>
      <x:c r="P785" s="22" t="str">
        <x:v>未提供（单期横截面）</x:v>
      </x:c>
      <x:c r="Q785" s="23" t="n">
        <x:v>3764</x:v>
      </x:c>
    </x:row>
    <x:row r="786">
      <x:c r="A786" s="30" t="n">
        <x:v>350500</x:v>
      </x:c>
      <x:c r="B786" s="22" t="str">
        <x:v>泉州市</x:v>
      </x:c>
      <x:c r="C786" s="31" t="n">
        <x:v>350503</x:v>
      </x:c>
      <x:c r="D786" s="22" t="str">
        <x:v>丰泽区</x:v>
      </x:c>
      <x:c r="E786" s="22" t="str">
        <x:v>建设用地</x:v>
      </x:c>
      <x:c r="F786" s="22" t="str">
        <x:v>工矿仓储用地</x:v>
      </x:c>
      <x:c r="G786" s="32" t="str">
        <x:v>601</x:v>
      </x:c>
      <x:c r="H786" s="32" t="str">
        <x:v>601</x:v>
      </x:c>
      <x:c r="I786" s="22" t="str">
        <x:v>工业用地</x:v>
      </x:c>
      <x:c r="J786" s="22" t="str">
        <x:v>产业功能</x:v>
      </x:c>
      <x:c r="K786" s="32" t="str">
        <x:v>203</x:v>
      </x:c>
      <x:c r="L786" s="22" t="str">
        <x:v>村庄范围</x:v>
      </x:c>
      <x:c r="M786" s="33" t="n">
        <x:v>2213550.2400000007</x:v>
      </x:c>
      <x:c r="N786" s="33" t="n">
        <x:v>221.35502400000007</x:v>
      </x:c>
      <x:c r="O786" s="22" t="str">
        <x:v>公顷</x:v>
      </x:c>
      <x:c r="P786" s="22" t="str">
        <x:v>未提供（单期横截面）</x:v>
      </x:c>
      <x:c r="Q786" s="23" t="n">
        <x:v>3765</x:v>
      </x:c>
    </x:row>
    <x:row r="787">
      <x:c r="A787" s="30" t="n">
        <x:v>350500</x:v>
      </x:c>
      <x:c r="B787" s="22" t="str">
        <x:v>泉州市</x:v>
      </x:c>
      <x:c r="C787" s="31" t="n">
        <x:v>350503</x:v>
      </x:c>
      <x:c r="D787" s="22" t="str">
        <x:v>丰泽区</x:v>
      </x:c>
      <x:c r="E787" s="22" t="str">
        <x:v>建设用地</x:v>
      </x:c>
      <x:c r="F787" s="22" t="str">
        <x:v>工矿仓储用地</x:v>
      </x:c>
      <x:c r="G787" s="32" t="str">
        <x:v>602</x:v>
      </x:c>
      <x:c r="H787" s="32" t="str">
        <x:v>602</x:v>
      </x:c>
      <x:c r="I787" s="22" t="str">
        <x:v>采矿用地</x:v>
      </x:c>
      <x:c r="J787" s="22" t="str">
        <x:v>产业功能</x:v>
      </x:c>
      <x:c r="K787" s="32" t="str">
        <x:v>203</x:v>
      </x:c>
      <x:c r="L787" s="22" t="str">
        <x:v>村庄范围</x:v>
      </x:c>
      <x:c r="M787" s="33" t="n">
        <x:v>113778.49999999999</x:v>
      </x:c>
      <x:c r="N787" s="33" t="n">
        <x:v>11.377849999999999</x:v>
      </x:c>
      <x:c r="O787" s="22" t="str">
        <x:v>公顷</x:v>
      </x:c>
      <x:c r="P787" s="22" t="str">
        <x:v>未提供（单期横截面）</x:v>
      </x:c>
      <x:c r="Q787" s="23" t="n">
        <x:v>3766</x:v>
      </x:c>
    </x:row>
    <x:row r="788">
      <x:c r="A788" s="30" t="n">
        <x:v>350500</x:v>
      </x:c>
      <x:c r="B788" s="22" t="str">
        <x:v>泉州市</x:v>
      </x:c>
      <x:c r="C788" s="31" t="n">
        <x:v>350503</x:v>
      </x:c>
      <x:c r="D788" s="22" t="str">
        <x:v>丰泽区</x:v>
      </x:c>
      <x:c r="E788" s="22" t="str">
        <x:v>建设用地</x:v>
      </x:c>
      <x:c r="F788" s="22" t="str">
        <x:v>居住用地</x:v>
      </x:c>
      <x:c r="G788" s="32" t="str">
        <x:v>701</x:v>
      </x:c>
      <x:c r="H788" s="32" t="str">
        <x:v>701</x:v>
      </x:c>
      <x:c r="I788" s="22" t="str">
        <x:v>城镇住宅用地</x:v>
      </x:c>
      <x:c r="J788" s="22" t="str">
        <x:v>居住功能</x:v>
      </x:c>
      <x:c r="K788" s="32" t="str">
        <x:v>203</x:v>
      </x:c>
      <x:c r="L788" s="22" t="str">
        <x:v>村庄范围</x:v>
      </x:c>
      <x:c r="M788" s="33" t="n">
        <x:v>3462554.360000001</x:v>
      </x:c>
      <x:c r="N788" s="33" t="n">
        <x:v>346.2554360000001</x:v>
      </x:c>
      <x:c r="O788" s="22" t="str">
        <x:v>公顷</x:v>
      </x:c>
      <x:c r="P788" s="22" t="str">
        <x:v>未提供（单期横截面）</x:v>
      </x:c>
      <x:c r="Q788" s="23" t="n">
        <x:v>3767</x:v>
      </x:c>
    </x:row>
    <x:row r="789">
      <x:c r="A789" s="30" t="n">
        <x:v>350500</x:v>
      </x:c>
      <x:c r="B789" s="22" t="str">
        <x:v>泉州市</x:v>
      </x:c>
      <x:c r="C789" s="31" t="n">
        <x:v>350503</x:v>
      </x:c>
      <x:c r="D789" s="22" t="str">
        <x:v>丰泽区</x:v>
      </x:c>
      <x:c r="E789" s="22" t="str">
        <x:v>建设用地</x:v>
      </x:c>
      <x:c r="F789" s="22" t="str">
        <x:v>居住用地</x:v>
      </x:c>
      <x:c r="G789" s="32" t="str">
        <x:v>702</x:v>
      </x:c>
      <x:c r="H789" s="32" t="str">
        <x:v>702</x:v>
      </x:c>
      <x:c r="I789" s="22" t="str">
        <x:v>农村宅基地</x:v>
      </x:c>
      <x:c r="J789" s="22" t="str">
        <x:v>居住功能</x:v>
      </x:c>
      <x:c r="K789" s="32" t="str">
        <x:v>203</x:v>
      </x:c>
      <x:c r="L789" s="22" t="str">
        <x:v>村庄范围</x:v>
      </x:c>
      <x:c r="M789" s="33" t="n">
        <x:v>280839.16999999987</x:v>
      </x:c>
      <x:c r="N789" s="33" t="n">
        <x:v>28.083916999999985</x:v>
      </x:c>
      <x:c r="O789" s="22" t="str">
        <x:v>公顷</x:v>
      </x:c>
      <x:c r="P789" s="22" t="str">
        <x:v>未提供（单期横截面）</x:v>
      </x:c>
      <x:c r="Q789" s="23" t="n">
        <x:v>3768</x:v>
      </x:c>
    </x:row>
    <x:row r="790">
      <x:c r="A790" s="30" t="n">
        <x:v>350500</x:v>
      </x:c>
      <x:c r="B790" s="22" t="str">
        <x:v>泉州市</x:v>
      </x:c>
      <x:c r="C790" s="31" t="n">
        <x:v>350503</x:v>
      </x:c>
      <x:c r="D790" s="22" t="str">
        <x:v>丰泽区</x:v>
      </x:c>
      <x:c r="E790" s="22" t="str">
        <x:v>建设用地</x:v>
      </x:c>
      <x:c r="F790" s="22" t="str">
        <x:v>公用设施用地</x:v>
      </x:c>
      <x:c r="G790" s="32" t="str">
        <x:v>809</x:v>
      </x:c>
      <x:c r="H790" s="32" t="str">
        <x:v>809</x:v>
      </x:c>
      <x:c r="I790" s="22" t="str">
        <x:v>公用设施用地</x:v>
      </x:c>
      <x:c r="J790" s="22" t="str">
        <x:v>其他建设</x:v>
      </x:c>
      <x:c r="K790" s="32" t="str">
        <x:v>203</x:v>
      </x:c>
      <x:c r="L790" s="22" t="str">
        <x:v>村庄范围</x:v>
      </x:c>
      <x:c r="M790" s="33" t="n">
        <x:v>282263.58</x:v>
      </x:c>
      <x:c r="N790" s="33" t="n">
        <x:v>28.226358</x:v>
      </x:c>
      <x:c r="O790" s="22" t="str">
        <x:v>公顷</x:v>
      </x:c>
      <x:c r="P790" s="22" t="str">
        <x:v>未提供（单期横截面）</x:v>
      </x:c>
      <x:c r="Q790" s="23" t="n">
        <x:v>3769</x:v>
      </x:c>
    </x:row>
    <x:row r="791">
      <x:c r="A791" s="30" t="n">
        <x:v>350500</x:v>
      </x:c>
      <x:c r="B791" s="22" t="str">
        <x:v>泉州市</x:v>
      </x:c>
      <x:c r="C791" s="31" t="n">
        <x:v>350503</x:v>
      </x:c>
      <x:c r="D791" s="22" t="str">
        <x:v>丰泽区</x:v>
      </x:c>
      <x:c r="E791" s="22" t="str">
        <x:v>建设用地</x:v>
      </x:c>
      <x:c r="F791" s="22" t="str">
        <x:v>绿地与广场用地</x:v>
      </x:c>
      <x:c r="G791" s="32" t="str">
        <x:v>810</x:v>
      </x:c>
      <x:c r="H791" s="32" t="str">
        <x:v>810</x:v>
      </x:c>
      <x:c r="I791" s="22" t="str">
        <x:v>公园与绿地</x:v>
      </x:c>
      <x:c r="J791" s="22" t="str">
        <x:v>公共空间</x:v>
      </x:c>
      <x:c r="K791" s="32" t="str">
        <x:v>203</x:v>
      </x:c>
      <x:c r="L791" s="22" t="str">
        <x:v>村庄范围</x:v>
      </x:c>
      <x:c r="M791" s="33" t="n">
        <x:v>174982.21000000002</x:v>
      </x:c>
      <x:c r="N791" s="33" t="n">
        <x:v>17.498221</x:v>
      </x:c>
      <x:c r="O791" s="22" t="str">
        <x:v>公顷</x:v>
      </x:c>
      <x:c r="P791" s="22" t="str">
        <x:v>未提供（单期横截面）</x:v>
      </x:c>
      <x:c r="Q791" s="23" t="n">
        <x:v>3770</x:v>
      </x:c>
    </x:row>
    <x:row r="792">
      <x:c r="A792" s="30" t="n">
        <x:v>350500</x:v>
      </x:c>
      <x:c r="B792" s="22" t="str">
        <x:v>泉州市</x:v>
      </x:c>
      <x:c r="C792" s="31" t="n">
        <x:v>350503</x:v>
      </x:c>
      <x:c r="D792" s="22" t="str">
        <x:v>丰泽区</x:v>
      </x:c>
      <x:c r="E792" s="22" t="str">
        <x:v>建设用地</x:v>
      </x:c>
      <x:c r="F792" s="22" t="str">
        <x:v>公共管理与公共服务用地</x:v>
      </x:c>
      <x:c r="G792" s="32" t="str">
        <x:v>08H1</x:v>
      </x:c>
      <x:c r="H792" s="32" t="str">
        <x:v>08H1</x:v>
      </x:c>
      <x:c r="I792" s="22" t="str">
        <x:v>机关团体新闻出版用地</x:v>
      </x:c>
      <x:c r="J792" s="22" t="str">
        <x:v>公共服务</x:v>
      </x:c>
      <x:c r="K792" s="32" t="str">
        <x:v>203</x:v>
      </x:c>
      <x:c r="L792" s="22" t="str">
        <x:v>村庄范围</x:v>
      </x:c>
      <x:c r="M792" s="33" t="n">
        <x:v>118441.15</x:v>
      </x:c>
      <x:c r="N792" s="33" t="n">
        <x:v>11.844114999999999</x:v>
      </x:c>
      <x:c r="O792" s="22" t="str">
        <x:v>公顷</x:v>
      </x:c>
      <x:c r="P792" s="22" t="str">
        <x:v>未提供（单期横截面）</x:v>
      </x:c>
      <x:c r="Q792" s="23" t="n">
        <x:v>3771</x:v>
      </x:c>
    </x:row>
    <x:row r="793">
      <x:c r="A793" s="30" t="n">
        <x:v>350500</x:v>
      </x:c>
      <x:c r="B793" s="22" t="str">
        <x:v>泉州市</x:v>
      </x:c>
      <x:c r="C793" s="31" t="n">
        <x:v>350503</x:v>
      </x:c>
      <x:c r="D793" s="22" t="str">
        <x:v>丰泽区</x:v>
      </x:c>
      <x:c r="E793" s="22" t="str">
        <x:v>建设用地</x:v>
      </x:c>
      <x:c r="F793" s="22" t="str">
        <x:v>公共管理与公共服务用地</x:v>
      </x:c>
      <x:c r="G793" s="32" t="str">
        <x:v>08H2</x:v>
      </x:c>
      <x:c r="H793" s="32" t="str">
        <x:v>08H2</x:v>
      </x:c>
      <x:c r="I793" s="22" t="str">
        <x:v>科教文卫用地</x:v>
      </x:c>
      <x:c r="J793" s="22" t="str">
        <x:v>公共服务</x:v>
      </x:c>
      <x:c r="K793" s="32" t="str">
        <x:v>203</x:v>
      </x:c>
      <x:c r="L793" s="22" t="str">
        <x:v>村庄范围</x:v>
      </x:c>
      <x:c r="M793" s="33" t="n">
        <x:v>357084.56000000006</x:v>
      </x:c>
      <x:c r="N793" s="33" t="n">
        <x:v>35.708456000000005</x:v>
      </x:c>
      <x:c r="O793" s="22" t="str">
        <x:v>公顷</x:v>
      </x:c>
      <x:c r="P793" s="22" t="str">
        <x:v>未提供（单期横截面）</x:v>
      </x:c>
      <x:c r="Q793" s="23" t="n">
        <x:v>3772</x:v>
      </x:c>
    </x:row>
    <x:row r="794">
      <x:c r="A794" s="30" t="n">
        <x:v>350500</x:v>
      </x:c>
      <x:c r="B794" s="22" t="str">
        <x:v>泉州市</x:v>
      </x:c>
      <x:c r="C794" s="31" t="n">
        <x:v>350503</x:v>
      </x:c>
      <x:c r="D794" s="22" t="str">
        <x:v>丰泽区</x:v>
      </x:c>
      <x:c r="E794" s="22" t="str">
        <x:v>建设用地</x:v>
      </x:c>
      <x:c r="F794" s="22" t="str">
        <x:v>公共管理与公共服务用地</x:v>
      </x:c>
      <x:c r="G794" s="32" t="str">
        <x:v>08H2A</x:v>
      </x:c>
      <x:c r="H794" s="32" t="str">
        <x:v>08H2</x:v>
      </x:c>
      <x:c r="I794" s="22" t="str">
        <x:v>高教用地</x:v>
      </x:c>
      <x:c r="J794" s="22" t="str">
        <x:v>公共服务</x:v>
      </x:c>
      <x:c r="K794" s="32" t="str">
        <x:v>203</x:v>
      </x:c>
      <x:c r="L794" s="22" t="str">
        <x:v>村庄范围</x:v>
      </x:c>
      <x:c r="M794" s="33" t="n">
        <x:v>69491.31</x:v>
      </x:c>
      <x:c r="N794" s="33" t="n">
        <x:v>6.9491309999999995</x:v>
      </x:c>
      <x:c r="O794" s="22" t="str">
        <x:v>公顷</x:v>
      </x:c>
      <x:c r="P794" s="22" t="str">
        <x:v>未提供（单期横截面）</x:v>
      </x:c>
      <x:c r="Q794" s="23" t="n">
        <x:v>3773</x:v>
      </x:c>
    </x:row>
    <x:row r="795">
      <x:c r="A795" s="30" t="n">
        <x:v>350500</x:v>
      </x:c>
      <x:c r="B795" s="22" t="str">
        <x:v>泉州市</x:v>
      </x:c>
      <x:c r="C795" s="31" t="n">
        <x:v>350503</x:v>
      </x:c>
      <x:c r="D795" s="22" t="str">
        <x:v>丰泽区</x:v>
      </x:c>
      <x:c r="E795" s="22" t="str">
        <x:v>建设用地</x:v>
      </x:c>
      <x:c r="F795" s="22" t="str">
        <x:v>特殊用地</x:v>
      </x:c>
      <x:c r="G795" s="32" t="str">
        <x:v>9</x:v>
      </x:c>
      <x:c r="H795" s="32" t="str">
        <x:v>9</x:v>
      </x:c>
      <x:c r="I795" s="22" t="str">
        <x:v>特殊用地</x:v>
      </x:c>
      <x:c r="J795" s="22" t="str">
        <x:v>其他建设</x:v>
      </x:c>
      <x:c r="K795" s="32" t="str">
        <x:v>203</x:v>
      </x:c>
      <x:c r="L795" s="22" t="str">
        <x:v>村庄范围</x:v>
      </x:c>
      <x:c r="M795" s="33" t="n">
        <x:v>153521.02000000002</x:v>
      </x:c>
      <x:c r="N795" s="33" t="n">
        <x:v>15.352102000000002</x:v>
      </x:c>
      <x:c r="O795" s="22" t="str">
        <x:v>公顷</x:v>
      </x:c>
      <x:c r="P795" s="22" t="str">
        <x:v>未提供（单期横截面）</x:v>
      </x:c>
      <x:c r="Q795" s="23" t="n">
        <x:v>3774</x:v>
      </x:c>
    </x:row>
    <x:row r="796">
      <x:c r="A796" s="30" t="n">
        <x:v>350500</x:v>
      </x:c>
      <x:c r="B796" s="22" t="str">
        <x:v>泉州市</x:v>
      </x:c>
      <x:c r="C796" s="31" t="n">
        <x:v>350503</x:v>
      </x:c>
      <x:c r="D796" s="22" t="str">
        <x:v>丰泽区</x:v>
      </x:c>
      <x:c r="E796" s="22" t="str">
        <x:v>建设用地</x:v>
      </x:c>
      <x:c r="F796" s="22" t="str">
        <x:v>交通运输用地</x:v>
      </x:c>
      <x:c r="G796" s="32" t="str">
        <x:v>1001</x:v>
      </x:c>
      <x:c r="H796" s="32" t="str">
        <x:v>1001</x:v>
      </x:c>
      <x:c r="I796" s="22" t="str">
        <x:v>铁路用地</x:v>
      </x:c>
      <x:c r="J796" s="22" t="str">
        <x:v>交通门户</x:v>
      </x:c>
      <x:c r="K796" s="32" t="str">
        <x:v>203</x:v>
      </x:c>
      <x:c r="L796" s="22" t="str">
        <x:v>村庄范围</x:v>
      </x:c>
      <x:c r="M796" s="33" t="n">
        <x:v>23260.64</x:v>
      </x:c>
      <x:c r="N796" s="33" t="n">
        <x:v>2.326064</x:v>
      </x:c>
      <x:c r="O796" s="22" t="str">
        <x:v>公顷</x:v>
      </x:c>
      <x:c r="P796" s="22" t="str">
        <x:v>未提供（单期横截面）</x:v>
      </x:c>
      <x:c r="Q796" s="23" t="n">
        <x:v>3775</x:v>
      </x:c>
    </x:row>
    <x:row r="797">
      <x:c r="A797" s="30" t="n">
        <x:v>350500</x:v>
      </x:c>
      <x:c r="B797" s="22" t="str">
        <x:v>泉州市</x:v>
      </x:c>
      <x:c r="C797" s="31" t="n">
        <x:v>350503</x:v>
      </x:c>
      <x:c r="D797" s="22" t="str">
        <x:v>丰泽区</x:v>
      </x:c>
      <x:c r="E797" s="22" t="str">
        <x:v>建设用地</x:v>
      </x:c>
      <x:c r="F797" s="22" t="str">
        <x:v>交通运输用地</x:v>
      </x:c>
      <x:c r="G797" s="32" t="str">
        <x:v>1004</x:v>
      </x:c>
      <x:c r="H797" s="32" t="str">
        <x:v>1004</x:v>
      </x:c>
      <x:c r="I797" s="22" t="str">
        <x:v>城镇村道路用地</x:v>
      </x:c>
      <x:c r="J797" s="22" t="str">
        <x:v>交通门户</x:v>
      </x:c>
      <x:c r="K797" s="32" t="str">
        <x:v>203</x:v>
      </x:c>
      <x:c r="L797" s="22" t="str">
        <x:v>村庄范围</x:v>
      </x:c>
      <x:c r="M797" s="33" t="n">
        <x:v>312365.1399999999</x:v>
      </x:c>
      <x:c r="N797" s="33" t="n">
        <x:v>31.23651399999999</x:v>
      </x:c>
      <x:c r="O797" s="22" t="str">
        <x:v>公顷</x:v>
      </x:c>
      <x:c r="P797" s="22" t="str">
        <x:v>未提供（单期横截面）</x:v>
      </x:c>
      <x:c r="Q797" s="23" t="n">
        <x:v>3776</x:v>
      </x:c>
    </x:row>
    <x:row r="798">
      <x:c r="A798" s="30" t="n">
        <x:v>350500</x:v>
      </x:c>
      <x:c r="B798" s="22" t="str">
        <x:v>泉州市</x:v>
      </x:c>
      <x:c r="C798" s="31" t="n">
        <x:v>350503</x:v>
      </x:c>
      <x:c r="D798" s="22" t="str">
        <x:v>丰泽区</x:v>
      </x:c>
      <x:c r="E798" s="22" t="str">
        <x:v>建设用地</x:v>
      </x:c>
      <x:c r="F798" s="22" t="str">
        <x:v>交通运输用地</x:v>
      </x:c>
      <x:c r="G798" s="32" t="str">
        <x:v>1005</x:v>
      </x:c>
      <x:c r="H798" s="32" t="str">
        <x:v>1005</x:v>
      </x:c>
      <x:c r="I798" s="22" t="str">
        <x:v>交通服务场站用地</x:v>
      </x:c>
      <x:c r="J798" s="22" t="str">
        <x:v>交通门户</x:v>
      </x:c>
      <x:c r="K798" s="32" t="str">
        <x:v>203</x:v>
      </x:c>
      <x:c r="L798" s="22" t="str">
        <x:v>村庄范围</x:v>
      </x:c>
      <x:c r="M798" s="33" t="n">
        <x:v>327730.02999999985</x:v>
      </x:c>
      <x:c r="N798" s="33" t="n">
        <x:v>32.77300299999999</x:v>
      </x:c>
      <x:c r="O798" s="22" t="str">
        <x:v>公顷</x:v>
      </x:c>
      <x:c r="P798" s="22" t="str">
        <x:v>未提供（单期横截面）</x:v>
      </x:c>
      <x:c r="Q798" s="23" t="n">
        <x:v>3777</x:v>
      </x:c>
    </x:row>
    <x:row r="799">
      <x:c r="A799" s="30" t="n">
        <x:v>350500</x:v>
      </x:c>
      <x:c r="B799" s="22" t="str">
        <x:v>泉州市</x:v>
      </x:c>
      <x:c r="C799" s="31" t="n">
        <x:v>350503</x:v>
      </x:c>
      <x:c r="D799" s="22" t="str">
        <x:v>丰泽区</x:v>
      </x:c>
      <x:c r="E799" s="22" t="str">
        <x:v>建设用地</x:v>
      </x:c>
      <x:c r="F799" s="22" t="str">
        <x:v>交通运输用地</x:v>
      </x:c>
      <x:c r="G799" s="32" t="str">
        <x:v>1008</x:v>
      </x:c>
      <x:c r="H799" s="32" t="str">
        <x:v>1008</x:v>
      </x:c>
      <x:c r="I799" s="22" t="str">
        <x:v>港口码头用地</x:v>
      </x:c>
      <x:c r="J799" s="22" t="str">
        <x:v>交通门户</x:v>
      </x:c>
      <x:c r="K799" s="32" t="str">
        <x:v>203</x:v>
      </x:c>
      <x:c r="L799" s="22" t="str">
        <x:v>村庄范围</x:v>
      </x:c>
      <x:c r="M799" s="33" t="n">
        <x:v>334254.08</x:v>
      </x:c>
      <x:c r="N799" s="33" t="n">
        <x:v>33.425408000000004</x:v>
      </x:c>
      <x:c r="O799" s="22" t="str">
        <x:v>公顷</x:v>
      </x:c>
      <x:c r="P799" s="22" t="str">
        <x:v>未提供（单期横截面）</x:v>
      </x:c>
      <x:c r="Q799" s="23" t="n">
        <x:v>3778</x:v>
      </x:c>
    </x:row>
    <x:row r="800">
      <x:c r="A800" s="30" t="n">
        <x:v>350500</x:v>
      </x:c>
      <x:c r="B800" s="22" t="str">
        <x:v>泉州市</x:v>
      </x:c>
      <x:c r="C800" s="31" t="n">
        <x:v>350503</x:v>
      </x:c>
      <x:c r="D800" s="22" t="str">
        <x:v>丰泽区</x:v>
      </x:c>
      <x:c r="E800" s="22" t="str">
        <x:v>建设用地</x:v>
      </x:c>
      <x:c r="F800" s="22" t="str">
        <x:v>水域及水利设施</x:v>
      </x:c>
      <x:c r="G800" s="32" t="str">
        <x:v>1109</x:v>
      </x:c>
      <x:c r="H800" s="32" t="str">
        <x:v>1109</x:v>
      </x:c>
      <x:c r="I800" s="22" t="str">
        <x:v>水工建筑用地</x:v>
      </x:c>
      <x:c r="J800" s="22" t="str">
        <x:v>其他建设</x:v>
      </x:c>
      <x:c r="K800" s="32" t="str">
        <x:v>203</x:v>
      </x:c>
      <x:c r="L800" s="22" t="str">
        <x:v>村庄范围</x:v>
      </x:c>
      <x:c r="M800" s="33" t="n">
        <x:v>42333.32000000001</x:v>
      </x:c>
      <x:c r="N800" s="33" t="n">
        <x:v>4.233332000000001</x:v>
      </x:c>
      <x:c r="O800" s="22" t="str">
        <x:v>公顷</x:v>
      </x:c>
      <x:c r="P800" s="22" t="str">
        <x:v>未提供（单期横截面）</x:v>
      </x:c>
      <x:c r="Q800" s="23" t="n">
        <x:v>3779</x:v>
      </x:c>
    </x:row>
    <x:row r="801">
      <x:c r="A801" s="30" t="n">
        <x:v>350500</x:v>
      </x:c>
      <x:c r="B801" s="22" t="str">
        <x:v>泉州市</x:v>
      </x:c>
      <x:c r="C801" s="31" t="n">
        <x:v>350503</x:v>
      </x:c>
      <x:c r="D801" s="22" t="str">
        <x:v>丰泽区</x:v>
      </x:c>
      <x:c r="E801" s="22" t="str">
        <x:v>建设用地</x:v>
      </x:c>
      <x:c r="F801" s="22" t="str">
        <x:v>其他建设用地</x:v>
      </x:c>
      <x:c r="G801" s="32" t="str">
        <x:v>1201</x:v>
      </x:c>
      <x:c r="H801" s="32" t="str">
        <x:v>1201</x:v>
      </x:c>
      <x:c r="I801" s="22" t="str">
        <x:v>空闲地</x:v>
      </x:c>
      <x:c r="J801" s="22" t="str">
        <x:v>其他建设</x:v>
      </x:c>
      <x:c r="K801" s="32" t="str">
        <x:v>203</x:v>
      </x:c>
      <x:c r="L801" s="22" t="str">
        <x:v>村庄范围</x:v>
      </x:c>
      <x:c r="M801" s="33" t="n">
        <x:v>1771.92</x:v>
      </x:c>
      <x:c r="N801" s="33" t="n">
        <x:v>0.17719200000000002</x:v>
      </x:c>
      <x:c r="O801" s="22" t="str">
        <x:v>公顷</x:v>
      </x:c>
      <x:c r="P801" s="22" t="str">
        <x:v>未提供（单期横截面）</x:v>
      </x:c>
      <x:c r="Q801" s="23" t="n">
        <x:v>3780</x:v>
      </x:c>
    </x:row>
    <x:row r="802">
      <x:c r="A802" s="30" t="n">
        <x:v>350500</x:v>
      </x:c>
      <x:c r="B802" s="22" t="str">
        <x:v>泉州市</x:v>
      </x:c>
      <x:c r="C802" s="31" t="n">
        <x:v>350503</x:v>
      </x:c>
      <x:c r="D802" s="22" t="str">
        <x:v>丰泽区</x:v>
      </x:c>
      <x:c r="E802" s="22" t="str">
        <x:v>建设用地</x:v>
      </x:c>
      <x:c r="F802" s="22" t="str">
        <x:v>工矿仓储用地</x:v>
      </x:c>
      <x:c r="G802" s="32" t="str">
        <x:v>601</x:v>
      </x:c>
      <x:c r="H802" s="32" t="str">
        <x:v>601</x:v>
      </x:c>
      <x:c r="I802" s="22" t="str">
        <x:v>工业用地</x:v>
      </x:c>
      <x:c r="J802" s="22" t="str">
        <x:v>产业功能</x:v>
      </x:c>
      <x:c r="K802" s="32" t="str">
        <x:v>203A</x:v>
      </x:c>
      <x:c r="L802" s="22" t="str">
        <x:v>村庄独立工业用地</x:v>
      </x:c>
      <x:c r="M802" s="33" t="n">
        <x:v>129632.44</x:v>
      </x:c>
      <x:c r="N802" s="33" t="n">
        <x:v>12.963244</x:v>
      </x:c>
      <x:c r="O802" s="22" t="str">
        <x:v>公顷</x:v>
      </x:c>
      <x:c r="P802" s="22" t="str">
        <x:v>未提供（单期横截面）</x:v>
      </x:c>
      <x:c r="Q802" s="23" t="n">
        <x:v>3781</x:v>
      </x:c>
    </x:row>
    <x:row r="803">
      <x:c r="A803" s="30" t="n">
        <x:v>350500</x:v>
      </x:c>
      <x:c r="B803" s="22" t="str">
        <x:v>泉州市</x:v>
      </x:c>
      <x:c r="C803" s="31" t="n">
        <x:v>350503</x:v>
      </x:c>
      <x:c r="D803" s="22" t="str">
        <x:v>丰泽区</x:v>
      </x:c>
      <x:c r="E803" s="22" t="str">
        <x:v>建设用地</x:v>
      </x:c>
      <x:c r="F803" s="22" t="str">
        <x:v>工矿仓储用地</x:v>
      </x:c>
      <x:c r="G803" s="32" t="str">
        <x:v>602</x:v>
      </x:c>
      <x:c r="H803" s="32" t="str">
        <x:v>602</x:v>
      </x:c>
      <x:c r="I803" s="22" t="str">
        <x:v>采矿用地</x:v>
      </x:c>
      <x:c r="J803" s="22" t="str">
        <x:v>产业功能</x:v>
      </x:c>
      <x:c r="K803" s="32" t="str">
        <x:v>204</x:v>
      </x:c>
      <x:c r="L803" s="22" t="str">
        <x:v>盐田及采矿用地</x:v>
      </x:c>
      <x:c r="M803" s="33" t="n">
        <x:v>218819.71000000002</x:v>
      </x:c>
      <x:c r="N803" s="33" t="n">
        <x:v>21.881971000000004</x:v>
      </x:c>
      <x:c r="O803" s="22" t="str">
        <x:v>公顷</x:v>
      </x:c>
      <x:c r="P803" s="22" t="str">
        <x:v>未提供（单期横截面）</x:v>
      </x:c>
      <x:c r="Q803" s="23" t="n">
        <x:v>3782</x:v>
      </x:c>
    </x:row>
    <x:row r="804">
      <x:c r="A804" s="30" t="n">
        <x:v>350500</x:v>
      </x:c>
      <x:c r="B804" s="22" t="str">
        <x:v>泉州市</x:v>
      </x:c>
      <x:c r="C804" s="31" t="n">
        <x:v>350503</x:v>
      </x:c>
      <x:c r="D804" s="22" t="str">
        <x:v>丰泽区</x:v>
      </x:c>
      <x:c r="E804" s="22" t="str">
        <x:v>建设用地</x:v>
      </x:c>
      <x:c r="F804" s="22" t="str">
        <x:v>特殊用地</x:v>
      </x:c>
      <x:c r="G804" s="32" t="str">
        <x:v>9</x:v>
      </x:c>
      <x:c r="H804" s="32" t="str">
        <x:v>9</x:v>
      </x:c>
      <x:c r="I804" s="22" t="str">
        <x:v>特殊用地</x:v>
      </x:c>
      <x:c r="J804" s="22" t="str">
        <x:v>其他建设</x:v>
      </x:c>
      <x:c r="K804" s="32" t="str">
        <x:v>205</x:v>
      </x:c>
      <x:c r="L804" s="22" t="str">
        <x:v>特殊用地</x:v>
      </x:c>
      <x:c r="M804" s="33" t="n">
        <x:v>877140.32</x:v>
      </x:c>
      <x:c r="N804" s="33" t="n">
        <x:v>87.71403199999999</x:v>
      </x:c>
      <x:c r="O804" s="22" t="str">
        <x:v>公顷</x:v>
      </x:c>
      <x:c r="P804" s="22" t="str">
        <x:v>未提供（单期横截面）</x:v>
      </x:c>
      <x:c r="Q804" s="23" t="n">
        <x:v>3783</x:v>
      </x:c>
    </x:row>
    <x:row r="805">
      <x:c r="A805" s="30" t="n">
        <x:v>350500</x:v>
      </x:c>
      <x:c r="B805" s="22" t="str">
        <x:v>泉州市</x:v>
      </x:c>
      <x:c r="C805" s="31" t="n">
        <x:v>350503</x:v>
      </x:c>
      <x:c r="D805" s="22" t="str">
        <x:v>丰泽区</x:v>
      </x:c>
      <x:c r="E805" s="22" t="str">
        <x:v>农用地</x:v>
      </x:c>
      <x:c r="F805" s="22" t="str">
        <x:v>耕地</x:v>
      </x:c>
      <x:c r="G805" s="32" t="str">
        <x:v>101</x:v>
      </x:c>
      <x:c r="H805" s="32" t="str">
        <x:v>101</x:v>
      </x:c>
      <x:c r="I805" s="22" t="str">
        <x:v>水田</x:v>
      </x:c>
      <x:c r="J805" s="22" t="str">
        <x:v>农业生态</x:v>
      </x:c>
      <x:c r="K805" s="32" t="str"/>
      <x:c r="L805" s="22" t="str">
        <x:v>不适用/未标注</x:v>
      </x:c>
      <x:c r="M805" s="33" t="n">
        <x:v>1349725.840000001</x:v>
      </x:c>
      <x:c r="N805" s="33" t="n">
        <x:v>134.9725840000001</x:v>
      </x:c>
      <x:c r="O805" s="22" t="str">
        <x:v>公顷</x:v>
      </x:c>
      <x:c r="P805" s="22" t="str">
        <x:v>未提供（单期横截面）</x:v>
      </x:c>
      <x:c r="Q805" s="23" t="n">
        <x:v>3784</x:v>
      </x:c>
    </x:row>
    <x:row r="806">
      <x:c r="A806" s="30" t="n">
        <x:v>350500</x:v>
      </x:c>
      <x:c r="B806" s="22" t="str">
        <x:v>泉州市</x:v>
      </x:c>
      <x:c r="C806" s="31" t="n">
        <x:v>350503</x:v>
      </x:c>
      <x:c r="D806" s="22" t="str">
        <x:v>丰泽区</x:v>
      </x:c>
      <x:c r="E806" s="22" t="str">
        <x:v>农用地</x:v>
      </x:c>
      <x:c r="F806" s="22" t="str">
        <x:v>耕地</x:v>
      </x:c>
      <x:c r="G806" s="32" t="str">
        <x:v>102</x:v>
      </x:c>
      <x:c r="H806" s="32" t="str">
        <x:v>102</x:v>
      </x:c>
      <x:c r="I806" s="22" t="str">
        <x:v>水浇地</x:v>
      </x:c>
      <x:c r="J806" s="22" t="str">
        <x:v>农业生态</x:v>
      </x:c>
      <x:c r="K806" s="32" t="str"/>
      <x:c r="L806" s="22" t="str">
        <x:v>不适用/未标注</x:v>
      </x:c>
      <x:c r="M806" s="33" t="n">
        <x:v>852350.8999999998</x:v>
      </x:c>
      <x:c r="N806" s="33" t="n">
        <x:v>85.23508999999999</x:v>
      </x:c>
      <x:c r="O806" s="22" t="str">
        <x:v>公顷</x:v>
      </x:c>
      <x:c r="P806" s="22" t="str">
        <x:v>未提供（单期横截面）</x:v>
      </x:c>
      <x:c r="Q806" s="23" t="n">
        <x:v>3785</x:v>
      </x:c>
    </x:row>
    <x:row r="807">
      <x:c r="A807" s="30" t="n">
        <x:v>350500</x:v>
      </x:c>
      <x:c r="B807" s="22" t="str">
        <x:v>泉州市</x:v>
      </x:c>
      <x:c r="C807" s="31" t="n">
        <x:v>350503</x:v>
      </x:c>
      <x:c r="D807" s="22" t="str">
        <x:v>丰泽区</x:v>
      </x:c>
      <x:c r="E807" s="22" t="str">
        <x:v>农用地</x:v>
      </x:c>
      <x:c r="F807" s="22" t="str">
        <x:v>耕地</x:v>
      </x:c>
      <x:c r="G807" s="32" t="str">
        <x:v>103</x:v>
      </x:c>
      <x:c r="H807" s="32" t="str">
        <x:v>103</x:v>
      </x:c>
      <x:c r="I807" s="22" t="str">
        <x:v>旱地</x:v>
      </x:c>
      <x:c r="J807" s="22" t="str">
        <x:v>农业生态</x:v>
      </x:c>
      <x:c r="K807" s="32" t="str"/>
      <x:c r="L807" s="22" t="str">
        <x:v>不适用/未标注</x:v>
      </x:c>
      <x:c r="M807" s="33" t="n">
        <x:v>711642.7099999998</x:v>
      </x:c>
      <x:c r="N807" s="33" t="n">
        <x:v>71.16427099999999</x:v>
      </x:c>
      <x:c r="O807" s="22" t="str">
        <x:v>公顷</x:v>
      </x:c>
      <x:c r="P807" s="22" t="str">
        <x:v>未提供（单期横截面）</x:v>
      </x:c>
      <x:c r="Q807" s="23" t="n">
        <x:v>3786</x:v>
      </x:c>
    </x:row>
    <x:row r="808">
      <x:c r="A808" s="30" t="n">
        <x:v>350500</x:v>
      </x:c>
      <x:c r="B808" s="22" t="str">
        <x:v>泉州市</x:v>
      </x:c>
      <x:c r="C808" s="31" t="n">
        <x:v>350503</x:v>
      </x:c>
      <x:c r="D808" s="22" t="str">
        <x:v>丰泽区</x:v>
      </x:c>
      <x:c r="E808" s="22" t="str">
        <x:v>农用地</x:v>
      </x:c>
      <x:c r="F808" s="22" t="str">
        <x:v>园地</x:v>
      </x:c>
      <x:c r="G808" s="32" t="str">
        <x:v>201</x:v>
      </x:c>
      <x:c r="H808" s="32" t="str">
        <x:v>201</x:v>
      </x:c>
      <x:c r="I808" s="22" t="str">
        <x:v>果园</x:v>
      </x:c>
      <x:c r="J808" s="22" t="str">
        <x:v>农业生态</x:v>
      </x:c>
      <x:c r="K808" s="32" t="str"/>
      <x:c r="L808" s="22" t="str">
        <x:v>不适用/未标注</x:v>
      </x:c>
      <x:c r="M808" s="33" t="n">
        <x:v>8671989.569999997</x:v>
      </x:c>
      <x:c r="N808" s="33" t="n">
        <x:v>867.1989569999996</x:v>
      </x:c>
      <x:c r="O808" s="22" t="str">
        <x:v>公顷</x:v>
      </x:c>
      <x:c r="P808" s="22" t="str">
        <x:v>未提供（单期横截面）</x:v>
      </x:c>
      <x:c r="Q808" s="23" t="n">
        <x:v>3787</x:v>
      </x:c>
    </x:row>
    <x:row r="809">
      <x:c r="A809" s="30" t="n">
        <x:v>350500</x:v>
      </x:c>
      <x:c r="B809" s="22" t="str">
        <x:v>泉州市</x:v>
      </x:c>
      <x:c r="C809" s="31" t="n">
        <x:v>350503</x:v>
      </x:c>
      <x:c r="D809" s="22" t="str">
        <x:v>丰泽区</x:v>
      </x:c>
      <x:c r="E809" s="22" t="str">
        <x:v>农用地</x:v>
      </x:c>
      <x:c r="F809" s="22" t="str">
        <x:v>园地</x:v>
      </x:c>
      <x:c r="G809" s="32" t="str">
        <x:v>0201K</x:v>
      </x:c>
      <x:c r="H809" s="32" t="str">
        <x:v>201</x:v>
      </x:c>
      <x:c r="I809" s="22" t="str">
        <x:v>可调整果园</x:v>
      </x:c>
      <x:c r="J809" s="22" t="str">
        <x:v>农业生态</x:v>
      </x:c>
      <x:c r="K809" s="32" t="str"/>
      <x:c r="L809" s="22" t="str">
        <x:v>不适用/未标注</x:v>
      </x:c>
      <x:c r="M809" s="33" t="n">
        <x:v>466838.0799999999</x:v>
      </x:c>
      <x:c r="N809" s="33" t="n">
        <x:v>46.68380799999999</x:v>
      </x:c>
      <x:c r="O809" s="22" t="str">
        <x:v>公顷</x:v>
      </x:c>
      <x:c r="P809" s="22" t="str">
        <x:v>未提供（单期横截面）</x:v>
      </x:c>
      <x:c r="Q809" s="23" t="n">
        <x:v>3788</x:v>
      </x:c>
    </x:row>
    <x:row r="810">
      <x:c r="A810" s="30" t="n">
        <x:v>350500</x:v>
      </x:c>
      <x:c r="B810" s="22" t="str">
        <x:v>泉州市</x:v>
      </x:c>
      <x:c r="C810" s="31" t="n">
        <x:v>350503</x:v>
      </x:c>
      <x:c r="D810" s="22" t="str">
        <x:v>丰泽区</x:v>
      </x:c>
      <x:c r="E810" s="22" t="str">
        <x:v>农用地</x:v>
      </x:c>
      <x:c r="F810" s="22" t="str">
        <x:v>园地</x:v>
      </x:c>
      <x:c r="G810" s="32" t="str">
        <x:v>202</x:v>
      </x:c>
      <x:c r="H810" s="32" t="str">
        <x:v>202</x:v>
      </x:c>
      <x:c r="I810" s="22" t="str">
        <x:v>茶园</x:v>
      </x:c>
      <x:c r="J810" s="22" t="str">
        <x:v>农业生态</x:v>
      </x:c>
      <x:c r="K810" s="32" t="str"/>
      <x:c r="L810" s="22" t="str">
        <x:v>不适用/未标注</x:v>
      </x:c>
      <x:c r="M810" s="33" t="n">
        <x:v>76129.98</x:v>
      </x:c>
      <x:c r="N810" s="33" t="n">
        <x:v>7.612997999999999</x:v>
      </x:c>
      <x:c r="O810" s="22" t="str">
        <x:v>公顷</x:v>
      </x:c>
      <x:c r="P810" s="22" t="str">
        <x:v>未提供（单期横截面）</x:v>
      </x:c>
      <x:c r="Q810" s="23" t="n">
        <x:v>3789</x:v>
      </x:c>
    </x:row>
    <x:row r="811">
      <x:c r="A811" s="30" t="n">
        <x:v>350500</x:v>
      </x:c>
      <x:c r="B811" s="22" t="str">
        <x:v>泉州市</x:v>
      </x:c>
      <x:c r="C811" s="31" t="n">
        <x:v>350503</x:v>
      </x:c>
      <x:c r="D811" s="22" t="str">
        <x:v>丰泽区</x:v>
      </x:c>
      <x:c r="E811" s="22" t="str">
        <x:v>农用地</x:v>
      </x:c>
      <x:c r="F811" s="22" t="str">
        <x:v>园地</x:v>
      </x:c>
      <x:c r="G811" s="32" t="str">
        <x:v>204</x:v>
      </x:c>
      <x:c r="H811" s="32" t="str">
        <x:v>204</x:v>
      </x:c>
      <x:c r="I811" s="22" t="str">
        <x:v>其他园地</x:v>
      </x:c>
      <x:c r="J811" s="22" t="str">
        <x:v>农业生态</x:v>
      </x:c>
      <x:c r="K811" s="32" t="str"/>
      <x:c r="L811" s="22" t="str">
        <x:v>不适用/未标注</x:v>
      </x:c>
      <x:c r="M811" s="33" t="n">
        <x:v>182392.08000000005</x:v>
      </x:c>
      <x:c r="N811" s="33" t="n">
        <x:v>18.239208000000005</x:v>
      </x:c>
      <x:c r="O811" s="22" t="str">
        <x:v>公顷</x:v>
      </x:c>
      <x:c r="P811" s="22" t="str">
        <x:v>未提供（单期横截面）</x:v>
      </x:c>
      <x:c r="Q811" s="23" t="n">
        <x:v>3790</x:v>
      </x:c>
    </x:row>
    <x:row r="812">
      <x:c r="A812" s="30" t="n">
        <x:v>350500</x:v>
      </x:c>
      <x:c r="B812" s="22" t="str">
        <x:v>泉州市</x:v>
      </x:c>
      <x:c r="C812" s="31" t="n">
        <x:v>350503</x:v>
      </x:c>
      <x:c r="D812" s="22" t="str">
        <x:v>丰泽区</x:v>
      </x:c>
      <x:c r="E812" s="22" t="str">
        <x:v>农用地</x:v>
      </x:c>
      <x:c r="F812" s="22" t="str">
        <x:v>园地</x:v>
      </x:c>
      <x:c r="G812" s="32" t="str">
        <x:v>0204K</x:v>
      </x:c>
      <x:c r="H812" s="32" t="str">
        <x:v>0204</x:v>
      </x:c>
      <x:c r="I812" s="22" t="str">
        <x:v>可调整其他园地</x:v>
      </x:c>
      <x:c r="J812" s="22" t="str">
        <x:v>农业生态</x:v>
      </x:c>
      <x:c r="K812" s="32" t="str"/>
      <x:c r="L812" s="22" t="str">
        <x:v>不适用/未标注</x:v>
      </x:c>
      <x:c r="M812" s="33" t="n">
        <x:v>5629.110000000001</x:v>
      </x:c>
      <x:c r="N812" s="33" t="n">
        <x:v>0.562911</x:v>
      </x:c>
      <x:c r="O812" s="22" t="str">
        <x:v>公顷</x:v>
      </x:c>
      <x:c r="P812" s="22" t="str">
        <x:v>未提供（单期横截面）</x:v>
      </x:c>
      <x:c r="Q812" s="23" t="n">
        <x:v>3791</x:v>
      </x:c>
    </x:row>
    <x:row r="813">
      <x:c r="A813" s="30" t="n">
        <x:v>350500</x:v>
      </x:c>
      <x:c r="B813" s="22" t="str">
        <x:v>泉州市</x:v>
      </x:c>
      <x:c r="C813" s="31" t="n">
        <x:v>350503</x:v>
      </x:c>
      <x:c r="D813" s="22" t="str">
        <x:v>丰泽区</x:v>
      </x:c>
      <x:c r="E813" s="22" t="str">
        <x:v>农用地</x:v>
      </x:c>
      <x:c r="F813" s="22" t="str">
        <x:v>林地</x:v>
      </x:c>
      <x:c r="G813" s="32" t="str">
        <x:v>301</x:v>
      </x:c>
      <x:c r="H813" s="32" t="str">
        <x:v>301</x:v>
      </x:c>
      <x:c r="I813" s="22" t="str">
        <x:v>乔木林地</x:v>
      </x:c>
      <x:c r="J813" s="22" t="str">
        <x:v>农业生态</x:v>
      </x:c>
      <x:c r="K813" s="32" t="str"/>
      <x:c r="L813" s="22" t="str">
        <x:v>不适用/未标注</x:v>
      </x:c>
      <x:c r="M813" s="33" t="n">
        <x:v>23924951.38000001</x:v>
      </x:c>
      <x:c r="N813" s="33" t="n">
        <x:v>2392.495138000001</x:v>
      </x:c>
      <x:c r="O813" s="22" t="str">
        <x:v>公顷</x:v>
      </x:c>
      <x:c r="P813" s="22" t="str">
        <x:v>未提供（单期横截面）</x:v>
      </x:c>
      <x:c r="Q813" s="23" t="n">
        <x:v>3792</x:v>
      </x:c>
    </x:row>
    <x:row r="814">
      <x:c r="A814" s="30" t="n">
        <x:v>350500</x:v>
      </x:c>
      <x:c r="B814" s="22" t="str">
        <x:v>泉州市</x:v>
      </x:c>
      <x:c r="C814" s="31" t="n">
        <x:v>350503</x:v>
      </x:c>
      <x:c r="D814" s="22" t="str">
        <x:v>丰泽区</x:v>
      </x:c>
      <x:c r="E814" s="22" t="str">
        <x:v>农用地</x:v>
      </x:c>
      <x:c r="F814" s="22" t="str">
        <x:v>林地</x:v>
      </x:c>
      <x:c r="G814" s="32" t="str">
        <x:v>0301K</x:v>
      </x:c>
      <x:c r="H814" s="32" t="str">
        <x:v>0301</x:v>
      </x:c>
      <x:c r="I814" s="22" t="str">
        <x:v>可调整乔木林地</x:v>
      </x:c>
      <x:c r="J814" s="22" t="str">
        <x:v>农业生态</x:v>
      </x:c>
      <x:c r="K814" s="32" t="str"/>
      <x:c r="L814" s="22" t="str">
        <x:v>不适用/未标注</x:v>
      </x:c>
      <x:c r="M814" s="33" t="n">
        <x:v>875.29</x:v>
      </x:c>
      <x:c r="N814" s="33" t="n">
        <x:v>0.087529</x:v>
      </x:c>
      <x:c r="O814" s="22" t="str">
        <x:v>公顷</x:v>
      </x:c>
      <x:c r="P814" s="22" t="str">
        <x:v>未提供（单期横截面）</x:v>
      </x:c>
      <x:c r="Q814" s="23" t="n">
        <x:v>3793</x:v>
      </x:c>
    </x:row>
    <x:row r="815">
      <x:c r="A815" s="30" t="n">
        <x:v>350500</x:v>
      </x:c>
      <x:c r="B815" s="22" t="str">
        <x:v>泉州市</x:v>
      </x:c>
      <x:c r="C815" s="31" t="n">
        <x:v>350503</x:v>
      </x:c>
      <x:c r="D815" s="22" t="str">
        <x:v>丰泽区</x:v>
      </x:c>
      <x:c r="E815" s="22" t="str">
        <x:v>农用地</x:v>
      </x:c>
      <x:c r="F815" s="22" t="str">
        <x:v>林地</x:v>
      </x:c>
      <x:c r="G815" s="32" t="str">
        <x:v>303</x:v>
      </x:c>
      <x:c r="H815" s="32" t="str">
        <x:v>303</x:v>
      </x:c>
      <x:c r="I815" s="22" t="str">
        <x:v>红树林地</x:v>
      </x:c>
      <x:c r="J815" s="22" t="str">
        <x:v>农业生态</x:v>
      </x:c>
      <x:c r="K815" s="32" t="str"/>
      <x:c r="L815" s="22" t="str">
        <x:v>不适用/未标注</x:v>
      </x:c>
      <x:c r="M815" s="33" t="n">
        <x:v>215285.47</x:v>
      </x:c>
      <x:c r="N815" s="33" t="n">
        <x:v>21.528547</x:v>
      </x:c>
      <x:c r="O815" s="22" t="str">
        <x:v>公顷</x:v>
      </x:c>
      <x:c r="P815" s="22" t="str">
        <x:v>未提供（单期横截面）</x:v>
      </x:c>
      <x:c r="Q815" s="23" t="n">
        <x:v>3794</x:v>
      </x:c>
    </x:row>
    <x:row r="816">
      <x:c r="A816" s="30" t="n">
        <x:v>350500</x:v>
      </x:c>
      <x:c r="B816" s="22" t="str">
        <x:v>泉州市</x:v>
      </x:c>
      <x:c r="C816" s="31" t="n">
        <x:v>350503</x:v>
      </x:c>
      <x:c r="D816" s="22" t="str">
        <x:v>丰泽区</x:v>
      </x:c>
      <x:c r="E816" s="22" t="str">
        <x:v>农用地</x:v>
      </x:c>
      <x:c r="F816" s="22" t="str">
        <x:v>林地</x:v>
      </x:c>
      <x:c r="G816" s="32" t="str">
        <x:v>305</x:v>
      </x:c>
      <x:c r="H816" s="32" t="str">
        <x:v>305</x:v>
      </x:c>
      <x:c r="I816" s="22" t="str">
        <x:v>灌木林地</x:v>
      </x:c>
      <x:c r="J816" s="22" t="str">
        <x:v>农业生态</x:v>
      </x:c>
      <x:c r="K816" s="32" t="str"/>
      <x:c r="L816" s="22" t="str">
        <x:v>不适用/未标注</x:v>
      </x:c>
      <x:c r="M816" s="33" t="n">
        <x:v>669644.2200000001</x:v>
      </x:c>
      <x:c r="N816" s="33" t="n">
        <x:v>66.96442200000001</x:v>
      </x:c>
      <x:c r="O816" s="22" t="str">
        <x:v>公顷</x:v>
      </x:c>
      <x:c r="P816" s="22" t="str">
        <x:v>未提供（单期横截面）</x:v>
      </x:c>
      <x:c r="Q816" s="23" t="n">
        <x:v>3795</x:v>
      </x:c>
    </x:row>
    <x:row r="817">
      <x:c r="A817" s="30" t="n">
        <x:v>350500</x:v>
      </x:c>
      <x:c r="B817" s="22" t="str">
        <x:v>泉州市</x:v>
      </x:c>
      <x:c r="C817" s="31" t="n">
        <x:v>350503</x:v>
      </x:c>
      <x:c r="D817" s="22" t="str">
        <x:v>丰泽区</x:v>
      </x:c>
      <x:c r="E817" s="22" t="str">
        <x:v>农用地</x:v>
      </x:c>
      <x:c r="F817" s="22" t="str">
        <x:v>林地</x:v>
      </x:c>
      <x:c r="G817" s="32" t="str">
        <x:v>307</x:v>
      </x:c>
      <x:c r="H817" s="32" t="str">
        <x:v>307</x:v>
      </x:c>
      <x:c r="I817" s="22" t="str">
        <x:v>其他林地</x:v>
      </x:c>
      <x:c r="J817" s="22" t="str">
        <x:v>农业生态</x:v>
      </x:c>
      <x:c r="K817" s="32" t="str"/>
      <x:c r="L817" s="22" t="str">
        <x:v>不适用/未标注</x:v>
      </x:c>
      <x:c r="M817" s="33" t="n">
        <x:v>1350330.3299999998</x:v>
      </x:c>
      <x:c r="N817" s="33" t="n">
        <x:v>135.033033</x:v>
      </x:c>
      <x:c r="O817" s="22" t="str">
        <x:v>公顷</x:v>
      </x:c>
      <x:c r="P817" s="22" t="str">
        <x:v>未提供（单期横截面）</x:v>
      </x:c>
      <x:c r="Q817" s="23" t="n">
        <x:v>3796</x:v>
      </x:c>
    </x:row>
    <x:row r="818">
      <x:c r="A818" s="30" t="n">
        <x:v>350500</x:v>
      </x:c>
      <x:c r="B818" s="22" t="str">
        <x:v>泉州市</x:v>
      </x:c>
      <x:c r="C818" s="31" t="n">
        <x:v>350503</x:v>
      </x:c>
      <x:c r="D818" s="22" t="str">
        <x:v>丰泽区</x:v>
      </x:c>
      <x:c r="E818" s="22" t="str">
        <x:v>农用地</x:v>
      </x:c>
      <x:c r="F818" s="22" t="str">
        <x:v>林地</x:v>
      </x:c>
      <x:c r="G818" s="32" t="str">
        <x:v>0307K</x:v>
      </x:c>
      <x:c r="H818" s="32" t="str">
        <x:v>0307</x:v>
      </x:c>
      <x:c r="I818" s="22" t="str">
        <x:v>可调整其他林地</x:v>
      </x:c>
      <x:c r="J818" s="22" t="str">
        <x:v>农业生态</x:v>
      </x:c>
      <x:c r="K818" s="32" t="str"/>
      <x:c r="L818" s="22" t="str">
        <x:v>不适用/未标注</x:v>
      </x:c>
      <x:c r="M818" s="33" t="n">
        <x:v>1554.54</x:v>
      </x:c>
      <x:c r="N818" s="33" t="n">
        <x:v>0.155454</x:v>
      </x:c>
      <x:c r="O818" s="22" t="str">
        <x:v>公顷</x:v>
      </x:c>
      <x:c r="P818" s="22" t="str">
        <x:v>未提供（单期横截面）</x:v>
      </x:c>
      <x:c r="Q818" s="23" t="n">
        <x:v>3797</x:v>
      </x:c>
    </x:row>
    <x:row r="819">
      <x:c r="A819" s="30" t="n">
        <x:v>350500</x:v>
      </x:c>
      <x:c r="B819" s="22" t="str">
        <x:v>泉州市</x:v>
      </x:c>
      <x:c r="C819" s="31" t="n">
        <x:v>350503</x:v>
      </x:c>
      <x:c r="D819" s="22" t="str">
        <x:v>丰泽区</x:v>
      </x:c>
      <x:c r="E819" s="22" t="str">
        <x:v>农用地</x:v>
      </x:c>
      <x:c r="F819" s="22" t="str">
        <x:v>草地</x:v>
      </x:c>
      <x:c r="G819" s="32" t="str">
        <x:v>403</x:v>
      </x:c>
      <x:c r="H819" s="32" t="str">
        <x:v>403</x:v>
      </x:c>
      <x:c r="I819" s="22" t="str">
        <x:v>人工牧草地</x:v>
      </x:c>
      <x:c r="J819" s="22" t="str">
        <x:v>农业生态</x:v>
      </x:c>
      <x:c r="K819" s="32" t="str"/>
      <x:c r="L819" s="22" t="str">
        <x:v>不适用/未标注</x:v>
      </x:c>
      <x:c r="M819" s="33" t="n">
        <x:v>16301.61</x:v>
      </x:c>
      <x:c r="N819" s="33" t="n">
        <x:v>1.630161</x:v>
      </x:c>
      <x:c r="O819" s="22" t="str">
        <x:v>公顷</x:v>
      </x:c>
      <x:c r="P819" s="22" t="str">
        <x:v>未提供（单期横截面）</x:v>
      </x:c>
      <x:c r="Q819" s="23" t="n">
        <x:v>3798</x:v>
      </x:c>
    </x:row>
    <x:row r="820">
      <x:c r="A820" s="30" t="n">
        <x:v>350500</x:v>
      </x:c>
      <x:c r="B820" s="22" t="str">
        <x:v>泉州市</x:v>
      </x:c>
      <x:c r="C820" s="31" t="n">
        <x:v>350503</x:v>
      </x:c>
      <x:c r="D820" s="22" t="str">
        <x:v>丰泽区</x:v>
      </x:c>
      <x:c r="E820" s="22" t="str">
        <x:v>农用地</x:v>
      </x:c>
      <x:c r="F820" s="22" t="str">
        <x:v>其他农用地</x:v>
      </x:c>
      <x:c r="G820" s="32" t="str">
        <x:v>1006</x:v>
      </x:c>
      <x:c r="H820" s="32" t="str">
        <x:v>1006</x:v>
      </x:c>
      <x:c r="I820" s="22" t="str">
        <x:v>农村道路</x:v>
      </x:c>
      <x:c r="J820" s="22" t="str">
        <x:v>农业生态</x:v>
      </x:c>
      <x:c r="K820" s="32" t="str"/>
      <x:c r="L820" s="22" t="str">
        <x:v>不适用/未标注</x:v>
      </x:c>
      <x:c r="M820" s="33" t="n">
        <x:v>512964.6600000001</x:v>
      </x:c>
      <x:c r="N820" s="33" t="n">
        <x:v>51.29646600000001</x:v>
      </x:c>
      <x:c r="O820" s="22" t="str">
        <x:v>公顷</x:v>
      </x:c>
      <x:c r="P820" s="22" t="str">
        <x:v>未提供（单期横截面）</x:v>
      </x:c>
      <x:c r="Q820" s="23" t="n">
        <x:v>3799</x:v>
      </x:c>
    </x:row>
    <x:row r="821">
      <x:c r="A821" s="30" t="n">
        <x:v>350500</x:v>
      </x:c>
      <x:c r="B821" s="22" t="str">
        <x:v>泉州市</x:v>
      </x:c>
      <x:c r="C821" s="31" t="n">
        <x:v>350503</x:v>
      </x:c>
      <x:c r="D821" s="22" t="str">
        <x:v>丰泽区</x:v>
      </x:c>
      <x:c r="E821" s="22" t="str">
        <x:v>农用地</x:v>
      </x:c>
      <x:c r="F821" s="22" t="str">
        <x:v>水域及水利设施</x:v>
      </x:c>
      <x:c r="G821" s="32" t="str">
        <x:v>1103</x:v>
      </x:c>
      <x:c r="H821" s="32" t="str">
        <x:v>1103</x:v>
      </x:c>
      <x:c r="I821" s="22" t="str">
        <x:v>水库水面</x:v>
      </x:c>
      <x:c r="J821" s="22" t="str">
        <x:v>农业生态</x:v>
      </x:c>
      <x:c r="K821" s="32" t="str"/>
      <x:c r="L821" s="22" t="str">
        <x:v>不适用/未标注</x:v>
      </x:c>
      <x:c r="M821" s="33" t="n">
        <x:v>403991.43</x:v>
      </x:c>
      <x:c r="N821" s="33" t="n">
        <x:v>40.399143</x:v>
      </x:c>
      <x:c r="O821" s="22" t="str">
        <x:v>公顷</x:v>
      </x:c>
      <x:c r="P821" s="22" t="str">
        <x:v>未提供（单期横截面）</x:v>
      </x:c>
      <x:c r="Q821" s="23" t="n">
        <x:v>3800</x:v>
      </x:c>
    </x:row>
    <x:row r="822">
      <x:c r="A822" s="30" t="n">
        <x:v>350500</x:v>
      </x:c>
      <x:c r="B822" s="22" t="str">
        <x:v>泉州市</x:v>
      </x:c>
      <x:c r="C822" s="31" t="n">
        <x:v>350503</x:v>
      </x:c>
      <x:c r="D822" s="22" t="str">
        <x:v>丰泽区</x:v>
      </x:c>
      <x:c r="E822" s="22" t="str">
        <x:v>农用地</x:v>
      </x:c>
      <x:c r="F822" s="22" t="str">
        <x:v>水域及水利设施</x:v>
      </x:c>
      <x:c r="G822" s="32" t="str">
        <x:v>1104</x:v>
      </x:c>
      <x:c r="H822" s="32" t="str">
        <x:v>1104</x:v>
      </x:c>
      <x:c r="I822" s="22" t="str">
        <x:v>坑塘水面</x:v>
      </x:c>
      <x:c r="J822" s="22" t="str">
        <x:v>农业生态</x:v>
      </x:c>
      <x:c r="K822" s="32" t="str"/>
      <x:c r="L822" s="22" t="str">
        <x:v>不适用/未标注</x:v>
      </x:c>
      <x:c r="M822" s="33" t="n">
        <x:v>786475.2400000001</x:v>
      </x:c>
      <x:c r="N822" s="33" t="n">
        <x:v>78.647524</x:v>
      </x:c>
      <x:c r="O822" s="22" t="str">
        <x:v>公顷</x:v>
      </x:c>
      <x:c r="P822" s="22" t="str">
        <x:v>未提供（单期横截面）</x:v>
      </x:c>
      <x:c r="Q822" s="23" t="n">
        <x:v>3801</x:v>
      </x:c>
    </x:row>
    <x:row r="823">
      <x:c r="A823" s="30" t="n">
        <x:v>350500</x:v>
      </x:c>
      <x:c r="B823" s="22" t="str">
        <x:v>泉州市</x:v>
      </x:c>
      <x:c r="C823" s="31" t="n">
        <x:v>350503</x:v>
      </x:c>
      <x:c r="D823" s="22" t="str">
        <x:v>丰泽区</x:v>
      </x:c>
      <x:c r="E823" s="22" t="str">
        <x:v>农用地</x:v>
      </x:c>
      <x:c r="F823" s="22" t="str">
        <x:v>水域及水利设施</x:v>
      </x:c>
      <x:c r="G823" s="32" t="str">
        <x:v>1104A</x:v>
      </x:c>
      <x:c r="H823" s="32" t="str">
        <x:v>1104</x:v>
      </x:c>
      <x:c r="I823" s="22" t="str">
        <x:v>养殖坑塘</x:v>
      </x:c>
      <x:c r="J823" s="22" t="str">
        <x:v>农业生态</x:v>
      </x:c>
      <x:c r="K823" s="32" t="str"/>
      <x:c r="L823" s="22" t="str">
        <x:v>不适用/未标注</x:v>
      </x:c>
      <x:c r="M823" s="33" t="n">
        <x:v>678483.7100000001</x:v>
      </x:c>
      <x:c r="N823" s="33" t="n">
        <x:v>67.84837100000001</x:v>
      </x:c>
      <x:c r="O823" s="22" t="str">
        <x:v>公顷</x:v>
      </x:c>
      <x:c r="P823" s="22" t="str">
        <x:v>未提供（单期横截面）</x:v>
      </x:c>
      <x:c r="Q823" s="23" t="n">
        <x:v>3802</x:v>
      </x:c>
    </x:row>
    <x:row r="824">
      <x:c r="A824" s="30" t="n">
        <x:v>350500</x:v>
      </x:c>
      <x:c r="B824" s="22" t="str">
        <x:v>泉州市</x:v>
      </x:c>
      <x:c r="C824" s="31" t="n">
        <x:v>350503</x:v>
      </x:c>
      <x:c r="D824" s="22" t="str">
        <x:v>丰泽区</x:v>
      </x:c>
      <x:c r="E824" s="22" t="str">
        <x:v>农用地</x:v>
      </x:c>
      <x:c r="F824" s="22" t="str">
        <x:v>水域及水利设施</x:v>
      </x:c>
      <x:c r="G824" s="32" t="str">
        <x:v>1104K</x:v>
      </x:c>
      <x:c r="H824" s="32" t="str">
        <x:v>1104</x:v>
      </x:c>
      <x:c r="I824" s="22" t="str">
        <x:v>可调整养殖坑塘</x:v>
      </x:c>
      <x:c r="J824" s="22" t="str">
        <x:v>农业生态</x:v>
      </x:c>
      <x:c r="K824" s="32" t="str"/>
      <x:c r="L824" s="22" t="str">
        <x:v>不适用/未标注</x:v>
      </x:c>
      <x:c r="M824" s="33" t="n">
        <x:v>1020.89</x:v>
      </x:c>
      <x:c r="N824" s="33" t="n">
        <x:v>0.102089</x:v>
      </x:c>
      <x:c r="O824" s="22" t="str">
        <x:v>公顷</x:v>
      </x:c>
      <x:c r="P824" s="22" t="str">
        <x:v>未提供（单期横截面）</x:v>
      </x:c>
      <x:c r="Q824" s="23" t="n">
        <x:v>3803</x:v>
      </x:c>
    </x:row>
    <x:row r="825">
      <x:c r="A825" s="30" t="n">
        <x:v>350500</x:v>
      </x:c>
      <x:c r="B825" s="22" t="str">
        <x:v>泉州市</x:v>
      </x:c>
      <x:c r="C825" s="31" t="n">
        <x:v>350503</x:v>
      </x:c>
      <x:c r="D825" s="22" t="str">
        <x:v>丰泽区</x:v>
      </x:c>
      <x:c r="E825" s="22" t="str">
        <x:v>农用地</x:v>
      </x:c>
      <x:c r="F825" s="22" t="str">
        <x:v>水域及水利设施</x:v>
      </x:c>
      <x:c r="G825" s="32" t="str">
        <x:v>1107</x:v>
      </x:c>
      <x:c r="H825" s="32" t="str">
        <x:v>1107</x:v>
      </x:c>
      <x:c r="I825" s="22" t="str">
        <x:v>沟渠</x:v>
      </x:c>
      <x:c r="J825" s="22" t="str">
        <x:v>农业生态</x:v>
      </x:c>
      <x:c r="K825" s="32" t="str"/>
      <x:c r="L825" s="22" t="str">
        <x:v>不适用/未标注</x:v>
      </x:c>
      <x:c r="M825" s="33" t="n">
        <x:v>76275.52</x:v>
      </x:c>
      <x:c r="N825" s="33" t="n">
        <x:v>7.6275520000000006</x:v>
      </x:c>
      <x:c r="O825" s="22" t="str">
        <x:v>公顷</x:v>
      </x:c>
      <x:c r="P825" s="22" t="str">
        <x:v>未提供（单期横截面）</x:v>
      </x:c>
      <x:c r="Q825" s="23" t="n">
        <x:v>3804</x:v>
      </x:c>
    </x:row>
    <x:row r="826">
      <x:c r="A826" s="30" t="n">
        <x:v>350500</x:v>
      </x:c>
      <x:c r="B826" s="22" t="str">
        <x:v>泉州市</x:v>
      </x:c>
      <x:c r="C826" s="31" t="n">
        <x:v>350503</x:v>
      </x:c>
      <x:c r="D826" s="22" t="str">
        <x:v>丰泽区</x:v>
      </x:c>
      <x:c r="E826" s="22" t="str">
        <x:v>农用地</x:v>
      </x:c>
      <x:c r="F826" s="22" t="str">
        <x:v>水域及水利设施</x:v>
      </x:c>
      <x:c r="G826" s="32" t="str">
        <x:v>1107A</x:v>
      </x:c>
      <x:c r="H826" s="32" t="str">
        <x:v>1107</x:v>
      </x:c>
      <x:c r="I826" s="22" t="str">
        <x:v>干渠</x:v>
      </x:c>
      <x:c r="J826" s="22" t="str">
        <x:v>农业生态</x:v>
      </x:c>
      <x:c r="K826" s="32" t="str"/>
      <x:c r="L826" s="22" t="str">
        <x:v>不适用/未标注</x:v>
      </x:c>
      <x:c r="M826" s="33" t="n">
        <x:v>5113.25</x:v>
      </x:c>
      <x:c r="N826" s="33" t="n">
        <x:v>0.511325</x:v>
      </x:c>
      <x:c r="O826" s="22" t="str">
        <x:v>公顷</x:v>
      </x:c>
      <x:c r="P826" s="22" t="str">
        <x:v>未提供（单期横截面）</x:v>
      </x:c>
      <x:c r="Q826" s="23" t="n">
        <x:v>3805</x:v>
      </x:c>
    </x:row>
    <x:row r="827">
      <x:c r="A827" s="30" t="n">
        <x:v>350500</x:v>
      </x:c>
      <x:c r="B827" s="22" t="str">
        <x:v>泉州市</x:v>
      </x:c>
      <x:c r="C827" s="31" t="n">
        <x:v>350503</x:v>
      </x:c>
      <x:c r="D827" s="22" t="str">
        <x:v>丰泽区</x:v>
      </x:c>
      <x:c r="E827" s="22" t="str">
        <x:v>农用地</x:v>
      </x:c>
      <x:c r="F827" s="22" t="str">
        <x:v>其他农用地</x:v>
      </x:c>
      <x:c r="G827" s="32" t="str">
        <x:v>1202</x:v>
      </x:c>
      <x:c r="H827" s="32" t="str">
        <x:v>1202</x:v>
      </x:c>
      <x:c r="I827" s="22" t="str">
        <x:v>设施农用地</x:v>
      </x:c>
      <x:c r="J827" s="22" t="str">
        <x:v>农业生态</x:v>
      </x:c>
      <x:c r="K827" s="32" t="str"/>
      <x:c r="L827" s="22" t="str">
        <x:v>不适用/未标注</x:v>
      </x:c>
      <x:c r="M827" s="33" t="n">
        <x:v>129447.30999999994</x:v>
      </x:c>
      <x:c r="N827" s="33" t="n">
        <x:v>12.944730999999994</x:v>
      </x:c>
      <x:c r="O827" s="22" t="str">
        <x:v>公顷</x:v>
      </x:c>
      <x:c r="P827" s="22" t="str">
        <x:v>未提供（单期横截面）</x:v>
      </x:c>
      <x:c r="Q827" s="23" t="n">
        <x:v>3806</x:v>
      </x:c>
    </x:row>
    <x:row r="828">
      <x:c r="A828" s="30" t="n">
        <x:v>350500</x:v>
      </x:c>
      <x:c r="B828" s="22" t="str">
        <x:v>泉州市</x:v>
      </x:c>
      <x:c r="C828" s="31" t="n">
        <x:v>350503</x:v>
      </x:c>
      <x:c r="D828" s="22" t="str">
        <x:v>丰泽区</x:v>
      </x:c>
      <x:c r="E828" s="22" t="str">
        <x:v>农用地</x:v>
      </x:c>
      <x:c r="F828" s="22" t="str">
        <x:v>耕地</x:v>
      </x:c>
      <x:c r="G828" s="32" t="str">
        <x:v>101</x:v>
      </x:c>
      <x:c r="H828" s="32" t="str">
        <x:v>101</x:v>
      </x:c>
      <x:c r="I828" s="22" t="str">
        <x:v>水田</x:v>
      </x:c>
      <x:c r="J828" s="22" t="str">
        <x:v>农业生态</x:v>
      </x:c>
      <x:c r="K828" s="32" t="str">
        <x:v>201</x:v>
      </x:c>
      <x:c r="L828" s="22" t="str">
        <x:v>城市范围</x:v>
      </x:c>
      <x:c r="M828" s="33" t="n">
        <x:v>43929.87</x:v>
      </x:c>
      <x:c r="N828" s="33" t="n">
        <x:v>4.392987000000001</x:v>
      </x:c>
      <x:c r="O828" s="22" t="str">
        <x:v>公顷</x:v>
      </x:c>
      <x:c r="P828" s="22" t="str">
        <x:v>未提供（单期横截面）</x:v>
      </x:c>
      <x:c r="Q828" s="23" t="n">
        <x:v>3807</x:v>
      </x:c>
    </x:row>
    <x:row r="829">
      <x:c r="A829" s="30" t="n">
        <x:v>350500</x:v>
      </x:c>
      <x:c r="B829" s="22" t="str">
        <x:v>泉州市</x:v>
      </x:c>
      <x:c r="C829" s="31" t="n">
        <x:v>350503</x:v>
      </x:c>
      <x:c r="D829" s="22" t="str">
        <x:v>丰泽区</x:v>
      </x:c>
      <x:c r="E829" s="22" t="str">
        <x:v>农用地</x:v>
      </x:c>
      <x:c r="F829" s="22" t="str">
        <x:v>耕地</x:v>
      </x:c>
      <x:c r="G829" s="32" t="str">
        <x:v>102</x:v>
      </x:c>
      <x:c r="H829" s="32" t="str">
        <x:v>102</x:v>
      </x:c>
      <x:c r="I829" s="22" t="str">
        <x:v>水浇地</x:v>
      </x:c>
      <x:c r="J829" s="22" t="str">
        <x:v>农业生态</x:v>
      </x:c>
      <x:c r="K829" s="32" t="str">
        <x:v>201</x:v>
      </x:c>
      <x:c r="L829" s="22" t="str">
        <x:v>城市范围</x:v>
      </x:c>
      <x:c r="M829" s="33" t="n">
        <x:v>349850.9199999999</x:v>
      </x:c>
      <x:c r="N829" s="33" t="n">
        <x:v>34.985091999999995</x:v>
      </x:c>
      <x:c r="O829" s="22" t="str">
        <x:v>公顷</x:v>
      </x:c>
      <x:c r="P829" s="22" t="str">
        <x:v>未提供（单期横截面）</x:v>
      </x:c>
      <x:c r="Q829" s="23" t="n">
        <x:v>3808</x:v>
      </x:c>
    </x:row>
    <x:row r="830">
      <x:c r="A830" s="30" t="n">
        <x:v>350500</x:v>
      </x:c>
      <x:c r="B830" s="22" t="str">
        <x:v>泉州市</x:v>
      </x:c>
      <x:c r="C830" s="31" t="n">
        <x:v>350503</x:v>
      </x:c>
      <x:c r="D830" s="22" t="str">
        <x:v>丰泽区</x:v>
      </x:c>
      <x:c r="E830" s="22" t="str">
        <x:v>农用地</x:v>
      </x:c>
      <x:c r="F830" s="22" t="str">
        <x:v>耕地</x:v>
      </x:c>
      <x:c r="G830" s="32" t="str">
        <x:v>103</x:v>
      </x:c>
      <x:c r="H830" s="32" t="str">
        <x:v>103</x:v>
      </x:c>
      <x:c r="I830" s="22" t="str">
        <x:v>旱地</x:v>
      </x:c>
      <x:c r="J830" s="22" t="str">
        <x:v>农业生态</x:v>
      </x:c>
      <x:c r="K830" s="32" t="str">
        <x:v>201</x:v>
      </x:c>
      <x:c r="L830" s="22" t="str">
        <x:v>城市范围</x:v>
      </x:c>
      <x:c r="M830" s="33" t="n">
        <x:v>220254.18999999994</x:v>
      </x:c>
      <x:c r="N830" s="33" t="n">
        <x:v>22.025418999999996</x:v>
      </x:c>
      <x:c r="O830" s="22" t="str">
        <x:v>公顷</x:v>
      </x:c>
      <x:c r="P830" s="22" t="str">
        <x:v>未提供（单期横截面）</x:v>
      </x:c>
      <x:c r="Q830" s="23" t="n">
        <x:v>3809</x:v>
      </x:c>
    </x:row>
    <x:row r="831">
      <x:c r="A831" s="30" t="n">
        <x:v>350500</x:v>
      </x:c>
      <x:c r="B831" s="22" t="str">
        <x:v>泉州市</x:v>
      </x:c>
      <x:c r="C831" s="31" t="n">
        <x:v>350503</x:v>
      </x:c>
      <x:c r="D831" s="22" t="str">
        <x:v>丰泽区</x:v>
      </x:c>
      <x:c r="E831" s="22" t="str">
        <x:v>农用地</x:v>
      </x:c>
      <x:c r="F831" s="22" t="str">
        <x:v>园地</x:v>
      </x:c>
      <x:c r="G831" s="32" t="str">
        <x:v>201</x:v>
      </x:c>
      <x:c r="H831" s="32" t="str">
        <x:v>201</x:v>
      </x:c>
      <x:c r="I831" s="22" t="str">
        <x:v>果园</x:v>
      </x:c>
      <x:c r="J831" s="22" t="str">
        <x:v>农业生态</x:v>
      </x:c>
      <x:c r="K831" s="32" t="str">
        <x:v>201</x:v>
      </x:c>
      <x:c r="L831" s="22" t="str">
        <x:v>城市范围</x:v>
      </x:c>
      <x:c r="M831" s="33" t="n">
        <x:v>751084.5299999999</x:v>
      </x:c>
      <x:c r="N831" s="33" t="n">
        <x:v>75.108453</x:v>
      </x:c>
      <x:c r="O831" s="22" t="str">
        <x:v>公顷</x:v>
      </x:c>
      <x:c r="P831" s="22" t="str">
        <x:v>未提供（单期横截面）</x:v>
      </x:c>
      <x:c r="Q831" s="23" t="n">
        <x:v>3810</x:v>
      </x:c>
    </x:row>
    <x:row r="832">
      <x:c r="A832" s="30" t="n">
        <x:v>350500</x:v>
      </x:c>
      <x:c r="B832" s="22" t="str">
        <x:v>泉州市</x:v>
      </x:c>
      <x:c r="C832" s="31" t="n">
        <x:v>350503</x:v>
      </x:c>
      <x:c r="D832" s="22" t="str">
        <x:v>丰泽区</x:v>
      </x:c>
      <x:c r="E832" s="22" t="str">
        <x:v>农用地</x:v>
      </x:c>
      <x:c r="F832" s="22" t="str">
        <x:v>园地</x:v>
      </x:c>
      <x:c r="G832" s="32" t="str">
        <x:v>0201K</x:v>
      </x:c>
      <x:c r="H832" s="32" t="str">
        <x:v>201</x:v>
      </x:c>
      <x:c r="I832" s="22" t="str">
        <x:v>可调整果园</x:v>
      </x:c>
      <x:c r="J832" s="22" t="str">
        <x:v>农业生态</x:v>
      </x:c>
      <x:c r="K832" s="32" t="str">
        <x:v>201</x:v>
      </x:c>
      <x:c r="L832" s="22" t="str">
        <x:v>城市范围</x:v>
      </x:c>
      <x:c r="M832" s="33" t="n">
        <x:v>11634.6</x:v>
      </x:c>
      <x:c r="N832" s="33" t="n">
        <x:v>1.16346</x:v>
      </x:c>
      <x:c r="O832" s="22" t="str">
        <x:v>公顷</x:v>
      </x:c>
      <x:c r="P832" s="22" t="str">
        <x:v>未提供（单期横截面）</x:v>
      </x:c>
      <x:c r="Q832" s="23" t="n">
        <x:v>3811</x:v>
      </x:c>
    </x:row>
    <x:row r="833">
      <x:c r="A833" s="30" t="n">
        <x:v>350500</x:v>
      </x:c>
      <x:c r="B833" s="22" t="str">
        <x:v>泉州市</x:v>
      </x:c>
      <x:c r="C833" s="31" t="n">
        <x:v>350503</x:v>
      </x:c>
      <x:c r="D833" s="22" t="str">
        <x:v>丰泽区</x:v>
      </x:c>
      <x:c r="E833" s="22" t="str">
        <x:v>农用地</x:v>
      </x:c>
      <x:c r="F833" s="22" t="str">
        <x:v>园地</x:v>
      </x:c>
      <x:c r="G833" s="32" t="str">
        <x:v>204</x:v>
      </x:c>
      <x:c r="H833" s="32" t="str">
        <x:v>204</x:v>
      </x:c>
      <x:c r="I833" s="22" t="str">
        <x:v>其他园地</x:v>
      </x:c>
      <x:c r="J833" s="22" t="str">
        <x:v>农业生态</x:v>
      </x:c>
      <x:c r="K833" s="32" t="str">
        <x:v>201</x:v>
      </x:c>
      <x:c r="L833" s="22" t="str">
        <x:v>城市范围</x:v>
      </x:c>
      <x:c r="M833" s="33" t="n">
        <x:v>61347.060000000005</x:v>
      </x:c>
      <x:c r="N833" s="33" t="n">
        <x:v>6.134706</x:v>
      </x:c>
      <x:c r="O833" s="22" t="str">
        <x:v>公顷</x:v>
      </x:c>
      <x:c r="P833" s="22" t="str">
        <x:v>未提供（单期横截面）</x:v>
      </x:c>
      <x:c r="Q833" s="23" t="n">
        <x:v>3812</x:v>
      </x:c>
    </x:row>
    <x:row r="834">
      <x:c r="A834" s="30" t="n">
        <x:v>350500</x:v>
      </x:c>
      <x:c r="B834" s="22" t="str">
        <x:v>泉州市</x:v>
      </x:c>
      <x:c r="C834" s="31" t="n">
        <x:v>350503</x:v>
      </x:c>
      <x:c r="D834" s="22" t="str">
        <x:v>丰泽区</x:v>
      </x:c>
      <x:c r="E834" s="22" t="str">
        <x:v>农用地</x:v>
      </x:c>
      <x:c r="F834" s="22" t="str">
        <x:v>林地</x:v>
      </x:c>
      <x:c r="G834" s="32" t="str">
        <x:v>301</x:v>
      </x:c>
      <x:c r="H834" s="32" t="str">
        <x:v>301</x:v>
      </x:c>
      <x:c r="I834" s="22" t="str">
        <x:v>乔木林地</x:v>
      </x:c>
      <x:c r="J834" s="22" t="str">
        <x:v>农业生态</x:v>
      </x:c>
      <x:c r="K834" s="32" t="str">
        <x:v>201</x:v>
      </x:c>
      <x:c r="L834" s="22" t="str">
        <x:v>城市范围</x:v>
      </x:c>
      <x:c r="M834" s="33" t="n">
        <x:v>752797.6399999997</x:v>
      </x:c>
      <x:c r="N834" s="33" t="n">
        <x:v>75.27976399999997</x:v>
      </x:c>
      <x:c r="O834" s="22" t="str">
        <x:v>公顷</x:v>
      </x:c>
      <x:c r="P834" s="22" t="str">
        <x:v>未提供（单期横截面）</x:v>
      </x:c>
      <x:c r="Q834" s="23" t="n">
        <x:v>3813</x:v>
      </x:c>
    </x:row>
    <x:row r="835">
      <x:c r="A835" s="30" t="n">
        <x:v>350500</x:v>
      </x:c>
      <x:c r="B835" s="22" t="str">
        <x:v>泉州市</x:v>
      </x:c>
      <x:c r="C835" s="31" t="n">
        <x:v>350503</x:v>
      </x:c>
      <x:c r="D835" s="22" t="str">
        <x:v>丰泽区</x:v>
      </x:c>
      <x:c r="E835" s="22" t="str">
        <x:v>农用地</x:v>
      </x:c>
      <x:c r="F835" s="22" t="str">
        <x:v>林地</x:v>
      </x:c>
      <x:c r="G835" s="32" t="str">
        <x:v>305</x:v>
      </x:c>
      <x:c r="H835" s="32" t="str">
        <x:v>305</x:v>
      </x:c>
      <x:c r="I835" s="22" t="str">
        <x:v>灌木林地</x:v>
      </x:c>
      <x:c r="J835" s="22" t="str">
        <x:v>农业生态</x:v>
      </x:c>
      <x:c r="K835" s="32" t="str">
        <x:v>201</x:v>
      </x:c>
      <x:c r="L835" s="22" t="str">
        <x:v>城市范围</x:v>
      </x:c>
      <x:c r="M835" s="33" t="n">
        <x:v>49561.91</x:v>
      </x:c>
      <x:c r="N835" s="33" t="n">
        <x:v>4.9561910000000005</x:v>
      </x:c>
      <x:c r="O835" s="22" t="str">
        <x:v>公顷</x:v>
      </x:c>
      <x:c r="P835" s="22" t="str">
        <x:v>未提供（单期横截面）</x:v>
      </x:c>
      <x:c r="Q835" s="23" t="n">
        <x:v>3814</x:v>
      </x:c>
    </x:row>
    <x:row r="836">
      <x:c r="A836" s="30" t="n">
        <x:v>350500</x:v>
      </x:c>
      <x:c r="B836" s="22" t="str">
        <x:v>泉州市</x:v>
      </x:c>
      <x:c r="C836" s="31" t="n">
        <x:v>350503</x:v>
      </x:c>
      <x:c r="D836" s="22" t="str">
        <x:v>丰泽区</x:v>
      </x:c>
      <x:c r="E836" s="22" t="str">
        <x:v>农用地</x:v>
      </x:c>
      <x:c r="F836" s="22" t="str">
        <x:v>林地</x:v>
      </x:c>
      <x:c r="G836" s="32" t="str">
        <x:v>307</x:v>
      </x:c>
      <x:c r="H836" s="32" t="str">
        <x:v>307</x:v>
      </x:c>
      <x:c r="I836" s="22" t="str">
        <x:v>其他林地</x:v>
      </x:c>
      <x:c r="J836" s="22" t="str">
        <x:v>农业生态</x:v>
      </x:c>
      <x:c r="K836" s="32" t="str">
        <x:v>201</x:v>
      </x:c>
      <x:c r="L836" s="22" t="str">
        <x:v>城市范围</x:v>
      </x:c>
      <x:c r="M836" s="33" t="n">
        <x:v>129772.59000000001</x:v>
      </x:c>
      <x:c r="N836" s="33" t="n">
        <x:v>12.977259000000002</x:v>
      </x:c>
      <x:c r="O836" s="22" t="str">
        <x:v>公顷</x:v>
      </x:c>
      <x:c r="P836" s="22" t="str">
        <x:v>未提供（单期横截面）</x:v>
      </x:c>
      <x:c r="Q836" s="23" t="n">
        <x:v>3815</x:v>
      </x:c>
    </x:row>
    <x:row r="837">
      <x:c r="A837" s="30" t="n">
        <x:v>350500</x:v>
      </x:c>
      <x:c r="B837" s="22" t="str">
        <x:v>泉州市</x:v>
      </x:c>
      <x:c r="C837" s="31" t="n">
        <x:v>350503</x:v>
      </x:c>
      <x:c r="D837" s="22" t="str">
        <x:v>丰泽区</x:v>
      </x:c>
      <x:c r="E837" s="22" t="str">
        <x:v>农用地</x:v>
      </x:c>
      <x:c r="F837" s="22" t="str">
        <x:v>林地</x:v>
      </x:c>
      <x:c r="G837" s="32" t="str">
        <x:v>0307K</x:v>
      </x:c>
      <x:c r="H837" s="32" t="str">
        <x:v>0307</x:v>
      </x:c>
      <x:c r="I837" s="22" t="str">
        <x:v>可调整其他林地</x:v>
      </x:c>
      <x:c r="J837" s="22" t="str">
        <x:v>农业生态</x:v>
      </x:c>
      <x:c r="K837" s="32" t="str">
        <x:v>201</x:v>
      </x:c>
      <x:c r="L837" s="22" t="str">
        <x:v>城市范围</x:v>
      </x:c>
      <x:c r="M837" s="33" t="n">
        <x:v>2164.62</x:v>
      </x:c>
      <x:c r="N837" s="33" t="n">
        <x:v>0.216462</x:v>
      </x:c>
      <x:c r="O837" s="22" t="str">
        <x:v>公顷</x:v>
      </x:c>
      <x:c r="P837" s="22" t="str">
        <x:v>未提供（单期横截面）</x:v>
      </x:c>
      <x:c r="Q837" s="23" t="n">
        <x:v>3816</x:v>
      </x:c>
    </x:row>
    <x:row r="838">
      <x:c r="A838" s="30" t="n">
        <x:v>350500</x:v>
      </x:c>
      <x:c r="B838" s="22" t="str">
        <x:v>泉州市</x:v>
      </x:c>
      <x:c r="C838" s="31" t="n">
        <x:v>350503</x:v>
      </x:c>
      <x:c r="D838" s="22" t="str">
        <x:v>丰泽区</x:v>
      </x:c>
      <x:c r="E838" s="22" t="str">
        <x:v>农用地</x:v>
      </x:c>
      <x:c r="F838" s="22" t="str">
        <x:v>其他农用地</x:v>
      </x:c>
      <x:c r="G838" s="32" t="str">
        <x:v>1006</x:v>
      </x:c>
      <x:c r="H838" s="32" t="str">
        <x:v>1006</x:v>
      </x:c>
      <x:c r="I838" s="22" t="str">
        <x:v>农村道路</x:v>
      </x:c>
      <x:c r="J838" s="22" t="str">
        <x:v>农业生态</x:v>
      </x:c>
      <x:c r="K838" s="32" t="str">
        <x:v>201</x:v>
      </x:c>
      <x:c r="L838" s="22" t="str">
        <x:v>城市范围</x:v>
      </x:c>
      <x:c r="M838" s="33" t="n">
        <x:v>631.12</x:v>
      </x:c>
      <x:c r="N838" s="33" t="n">
        <x:v>0.063112</x:v>
      </x:c>
      <x:c r="O838" s="22" t="str">
        <x:v>公顷</x:v>
      </x:c>
      <x:c r="P838" s="22" t="str">
        <x:v>未提供（单期横截面）</x:v>
      </x:c>
      <x:c r="Q838" s="23" t="n">
        <x:v>3817</x:v>
      </x:c>
    </x:row>
    <x:row r="839">
      <x:c r="A839" s="30" t="n">
        <x:v>350500</x:v>
      </x:c>
      <x:c r="B839" s="22" t="str">
        <x:v>泉州市</x:v>
      </x:c>
      <x:c r="C839" s="31" t="n">
        <x:v>350503</x:v>
      </x:c>
      <x:c r="D839" s="22" t="str">
        <x:v>丰泽区</x:v>
      </x:c>
      <x:c r="E839" s="22" t="str">
        <x:v>农用地</x:v>
      </x:c>
      <x:c r="F839" s="22" t="str">
        <x:v>水域及水利设施</x:v>
      </x:c>
      <x:c r="G839" s="32" t="str">
        <x:v>1103</x:v>
      </x:c>
      <x:c r="H839" s="32" t="str">
        <x:v>1103</x:v>
      </x:c>
      <x:c r="I839" s="22" t="str">
        <x:v>水库水面</x:v>
      </x:c>
      <x:c r="J839" s="22" t="str">
        <x:v>农业生态</x:v>
      </x:c>
      <x:c r="K839" s="32" t="str">
        <x:v>201</x:v>
      </x:c>
      <x:c r="L839" s="22" t="str">
        <x:v>城市范围</x:v>
      </x:c>
      <x:c r="M839" s="33" t="n">
        <x:v>65715.82</x:v>
      </x:c>
      <x:c r="N839" s="33" t="n">
        <x:v>6.571582</x:v>
      </x:c>
      <x:c r="O839" s="22" t="str">
        <x:v>公顷</x:v>
      </x:c>
      <x:c r="P839" s="22" t="str">
        <x:v>未提供（单期横截面）</x:v>
      </x:c>
      <x:c r="Q839" s="23" t="n">
        <x:v>3818</x:v>
      </x:c>
    </x:row>
    <x:row r="840">
      <x:c r="A840" s="30" t="n">
        <x:v>350500</x:v>
      </x:c>
      <x:c r="B840" s="22" t="str">
        <x:v>泉州市</x:v>
      </x:c>
      <x:c r="C840" s="31" t="n">
        <x:v>350503</x:v>
      </x:c>
      <x:c r="D840" s="22" t="str">
        <x:v>丰泽区</x:v>
      </x:c>
      <x:c r="E840" s="22" t="str">
        <x:v>农用地</x:v>
      </x:c>
      <x:c r="F840" s="22" t="str">
        <x:v>水域及水利设施</x:v>
      </x:c>
      <x:c r="G840" s="32" t="str">
        <x:v>1104</x:v>
      </x:c>
      <x:c r="H840" s="32" t="str">
        <x:v>1104</x:v>
      </x:c>
      <x:c r="I840" s="22" t="str">
        <x:v>坑塘水面</x:v>
      </x:c>
      <x:c r="J840" s="22" t="str">
        <x:v>农业生态</x:v>
      </x:c>
      <x:c r="K840" s="32" t="str">
        <x:v>201</x:v>
      </x:c>
      <x:c r="L840" s="22" t="str">
        <x:v>城市范围</x:v>
      </x:c>
      <x:c r="M840" s="33" t="n">
        <x:v>680658.7800000001</x:v>
      </x:c>
      <x:c r="N840" s="33" t="n">
        <x:v>68.06587800000001</x:v>
      </x:c>
      <x:c r="O840" s="22" t="str">
        <x:v>公顷</x:v>
      </x:c>
      <x:c r="P840" s="22" t="str">
        <x:v>未提供（单期横截面）</x:v>
      </x:c>
      <x:c r="Q840" s="23" t="n">
        <x:v>3819</x:v>
      </x:c>
    </x:row>
    <x:row r="841">
      <x:c r="A841" s="30" t="n">
        <x:v>350500</x:v>
      </x:c>
      <x:c r="B841" s="22" t="str">
        <x:v>泉州市</x:v>
      </x:c>
      <x:c r="C841" s="31" t="n">
        <x:v>350503</x:v>
      </x:c>
      <x:c r="D841" s="22" t="str">
        <x:v>丰泽区</x:v>
      </x:c>
      <x:c r="E841" s="22" t="str">
        <x:v>农用地</x:v>
      </x:c>
      <x:c r="F841" s="22" t="str">
        <x:v>水域及水利设施</x:v>
      </x:c>
      <x:c r="G841" s="32" t="str">
        <x:v>1107</x:v>
      </x:c>
      <x:c r="H841" s="32" t="str">
        <x:v>1107</x:v>
      </x:c>
      <x:c r="I841" s="22" t="str">
        <x:v>沟渠</x:v>
      </x:c>
      <x:c r="J841" s="22" t="str">
        <x:v>农业生态</x:v>
      </x:c>
      <x:c r="K841" s="32" t="str">
        <x:v>201</x:v>
      </x:c>
      <x:c r="L841" s="22" t="str">
        <x:v>城市范围</x:v>
      </x:c>
      <x:c r="M841" s="33" t="n">
        <x:v>46441.16</x:v>
      </x:c>
      <x:c r="N841" s="33" t="n">
        <x:v>4.644116</x:v>
      </x:c>
      <x:c r="O841" s="22" t="str">
        <x:v>公顷</x:v>
      </x:c>
      <x:c r="P841" s="22" t="str">
        <x:v>未提供（单期横截面）</x:v>
      </x:c>
      <x:c r="Q841" s="23" t="n">
        <x:v>3820</x:v>
      </x:c>
    </x:row>
    <x:row r="842">
      <x:c r="A842" s="30" t="n">
        <x:v>350500</x:v>
      </x:c>
      <x:c r="B842" s="22" t="str">
        <x:v>泉州市</x:v>
      </x:c>
      <x:c r="C842" s="31" t="n">
        <x:v>350503</x:v>
      </x:c>
      <x:c r="D842" s="22" t="str">
        <x:v>丰泽区</x:v>
      </x:c>
      <x:c r="E842" s="22" t="str">
        <x:v>农用地</x:v>
      </x:c>
      <x:c r="F842" s="22" t="str">
        <x:v>水域及水利设施</x:v>
      </x:c>
      <x:c r="G842" s="32" t="str">
        <x:v>1107A</x:v>
      </x:c>
      <x:c r="H842" s="32" t="str">
        <x:v>1107</x:v>
      </x:c>
      <x:c r="I842" s="22" t="str">
        <x:v>干渠</x:v>
      </x:c>
      <x:c r="J842" s="22" t="str">
        <x:v>农业生态</x:v>
      </x:c>
      <x:c r="K842" s="32" t="str">
        <x:v>201</x:v>
      </x:c>
      <x:c r="L842" s="22" t="str">
        <x:v>城市范围</x:v>
      </x:c>
      <x:c r="M842" s="33" t="n">
        <x:v>9497.15</x:v>
      </x:c>
      <x:c r="N842" s="33" t="n">
        <x:v>0.949715</x:v>
      </x:c>
      <x:c r="O842" s="22" t="str">
        <x:v>公顷</x:v>
      </x:c>
      <x:c r="P842" s="22" t="str">
        <x:v>未提供（单期横截面）</x:v>
      </x:c>
      <x:c r="Q842" s="23" t="n">
        <x:v>3821</x:v>
      </x:c>
    </x:row>
    <x:row r="843">
      <x:c r="A843" s="30" t="n">
        <x:v>350500</x:v>
      </x:c>
      <x:c r="B843" s="22" t="str">
        <x:v>泉州市</x:v>
      </x:c>
      <x:c r="C843" s="31" t="n">
        <x:v>350503</x:v>
      </x:c>
      <x:c r="D843" s="22" t="str">
        <x:v>丰泽区</x:v>
      </x:c>
      <x:c r="E843" s="22" t="str">
        <x:v>农用地</x:v>
      </x:c>
      <x:c r="F843" s="22" t="str">
        <x:v>其他农用地</x:v>
      </x:c>
      <x:c r="G843" s="32" t="str">
        <x:v>1202</x:v>
      </x:c>
      <x:c r="H843" s="32" t="str">
        <x:v>1202</x:v>
      </x:c>
      <x:c r="I843" s="22" t="str">
        <x:v>设施农用地</x:v>
      </x:c>
      <x:c r="J843" s="22" t="str">
        <x:v>农业生态</x:v>
      </x:c>
      <x:c r="K843" s="32" t="str">
        <x:v>201</x:v>
      </x:c>
      <x:c r="L843" s="22" t="str">
        <x:v>城市范围</x:v>
      </x:c>
      <x:c r="M843" s="33" t="n">
        <x:v>18070.1</x:v>
      </x:c>
      <x:c r="N843" s="33" t="n">
        <x:v>1.8070099999999998</x:v>
      </x:c>
      <x:c r="O843" s="22" t="str">
        <x:v>公顷</x:v>
      </x:c>
      <x:c r="P843" s="22" t="str">
        <x:v>未提供（单期横截面）</x:v>
      </x:c>
      <x:c r="Q843" s="23" t="n">
        <x:v>3822</x:v>
      </x:c>
    </x:row>
    <x:row r="844">
      <x:c r="A844" s="30" t="n">
        <x:v>350500</x:v>
      </x:c>
      <x:c r="B844" s="22" t="str">
        <x:v>泉州市</x:v>
      </x:c>
      <x:c r="C844" s="31" t="n">
        <x:v>350503</x:v>
      </x:c>
      <x:c r="D844" s="22" t="str">
        <x:v>丰泽区</x:v>
      </x:c>
      <x:c r="E844" s="22" t="str">
        <x:v>农用地</x:v>
      </x:c>
      <x:c r="F844" s="22" t="str">
        <x:v>耕地</x:v>
      </x:c>
      <x:c r="G844" s="32" t="str">
        <x:v>101</x:v>
      </x:c>
      <x:c r="H844" s="32" t="str">
        <x:v>101</x:v>
      </x:c>
      <x:c r="I844" s="22" t="str">
        <x:v>水田</x:v>
      </x:c>
      <x:c r="J844" s="22" t="str">
        <x:v>农业生态</x:v>
      </x:c>
      <x:c r="K844" s="32" t="str">
        <x:v>203</x:v>
      </x:c>
      <x:c r="L844" s="22" t="str">
        <x:v>村庄范围</x:v>
      </x:c>
      <x:c r="M844" s="33" t="n">
        <x:v>32240.46</x:v>
      </x:c>
      <x:c r="N844" s="33" t="n">
        <x:v>3.224046</x:v>
      </x:c>
      <x:c r="O844" s="22" t="str">
        <x:v>公顷</x:v>
      </x:c>
      <x:c r="P844" s="22" t="str">
        <x:v>未提供（单期横截面）</x:v>
      </x:c>
      <x:c r="Q844" s="23" t="n">
        <x:v>3823</x:v>
      </x:c>
    </x:row>
    <x:row r="845">
      <x:c r="A845" s="30" t="n">
        <x:v>350500</x:v>
      </x:c>
      <x:c r="B845" s="22" t="str">
        <x:v>泉州市</x:v>
      </x:c>
      <x:c r="C845" s="31" t="n">
        <x:v>350503</x:v>
      </x:c>
      <x:c r="D845" s="22" t="str">
        <x:v>丰泽区</x:v>
      </x:c>
      <x:c r="E845" s="22" t="str">
        <x:v>农用地</x:v>
      </x:c>
      <x:c r="F845" s="22" t="str">
        <x:v>耕地</x:v>
      </x:c>
      <x:c r="G845" s="32" t="str">
        <x:v>102</x:v>
      </x:c>
      <x:c r="H845" s="32" t="str">
        <x:v>102</x:v>
      </x:c>
      <x:c r="I845" s="22" t="str">
        <x:v>水浇地</x:v>
      </x:c>
      <x:c r="J845" s="22" t="str">
        <x:v>农业生态</x:v>
      </x:c>
      <x:c r="K845" s="32" t="str">
        <x:v>203</x:v>
      </x:c>
      <x:c r="L845" s="22" t="str">
        <x:v>村庄范围</x:v>
      </x:c>
      <x:c r="M845" s="33" t="n">
        <x:v>14723.339999999998</x:v>
      </x:c>
      <x:c r="N845" s="33" t="n">
        <x:v>1.4723339999999998</x:v>
      </x:c>
      <x:c r="O845" s="22" t="str">
        <x:v>公顷</x:v>
      </x:c>
      <x:c r="P845" s="22" t="str">
        <x:v>未提供（单期横截面）</x:v>
      </x:c>
      <x:c r="Q845" s="23" t="n">
        <x:v>3824</x:v>
      </x:c>
    </x:row>
    <x:row r="846">
      <x:c r="A846" s="30" t="n">
        <x:v>350500</x:v>
      </x:c>
      <x:c r="B846" s="22" t="str">
        <x:v>泉州市</x:v>
      </x:c>
      <x:c r="C846" s="31" t="n">
        <x:v>350503</x:v>
      </x:c>
      <x:c r="D846" s="22" t="str">
        <x:v>丰泽区</x:v>
      </x:c>
      <x:c r="E846" s="22" t="str">
        <x:v>农用地</x:v>
      </x:c>
      <x:c r="F846" s="22" t="str">
        <x:v>耕地</x:v>
      </x:c>
      <x:c r="G846" s="32" t="str">
        <x:v>103</x:v>
      </x:c>
      <x:c r="H846" s="32" t="str">
        <x:v>103</x:v>
      </x:c>
      <x:c r="I846" s="22" t="str">
        <x:v>旱地</x:v>
      </x:c>
      <x:c r="J846" s="22" t="str">
        <x:v>农业生态</x:v>
      </x:c>
      <x:c r="K846" s="32" t="str">
        <x:v>203</x:v>
      </x:c>
      <x:c r="L846" s="22" t="str">
        <x:v>村庄范围</x:v>
      </x:c>
      <x:c r="M846" s="33" t="n">
        <x:v>14880.88</x:v>
      </x:c>
      <x:c r="N846" s="33" t="n">
        <x:v>1.4880879999999999</x:v>
      </x:c>
      <x:c r="O846" s="22" t="str">
        <x:v>公顷</x:v>
      </x:c>
      <x:c r="P846" s="22" t="str">
        <x:v>未提供（单期横截面）</x:v>
      </x:c>
      <x:c r="Q846" s="23" t="n">
        <x:v>3825</x:v>
      </x:c>
    </x:row>
    <x:row r="847">
      <x:c r="A847" s="30" t="n">
        <x:v>350500</x:v>
      </x:c>
      <x:c r="B847" s="22" t="str">
        <x:v>泉州市</x:v>
      </x:c>
      <x:c r="C847" s="31" t="n">
        <x:v>350503</x:v>
      </x:c>
      <x:c r="D847" s="22" t="str">
        <x:v>丰泽区</x:v>
      </x:c>
      <x:c r="E847" s="22" t="str">
        <x:v>农用地</x:v>
      </x:c>
      <x:c r="F847" s="22" t="str">
        <x:v>园地</x:v>
      </x:c>
      <x:c r="G847" s="32" t="str">
        <x:v>201</x:v>
      </x:c>
      <x:c r="H847" s="32" t="str">
        <x:v>201</x:v>
      </x:c>
      <x:c r="I847" s="22" t="str">
        <x:v>果园</x:v>
      </x:c>
      <x:c r="J847" s="22" t="str">
        <x:v>农业生态</x:v>
      </x:c>
      <x:c r="K847" s="32" t="str">
        <x:v>203</x:v>
      </x:c>
      <x:c r="L847" s="22" t="str">
        <x:v>村庄范围</x:v>
      </x:c>
      <x:c r="M847" s="33" t="n">
        <x:v>151348.04</x:v>
      </x:c>
      <x:c r="N847" s="33" t="n">
        <x:v>15.134804</x:v>
      </x:c>
      <x:c r="O847" s="22" t="str">
        <x:v>公顷</x:v>
      </x:c>
      <x:c r="P847" s="22" t="str">
        <x:v>未提供（单期横截面）</x:v>
      </x:c>
      <x:c r="Q847" s="23" t="n">
        <x:v>3826</x:v>
      </x:c>
    </x:row>
    <x:row r="848">
      <x:c r="A848" s="30" t="n">
        <x:v>350500</x:v>
      </x:c>
      <x:c r="B848" s="22" t="str">
        <x:v>泉州市</x:v>
      </x:c>
      <x:c r="C848" s="31" t="n">
        <x:v>350503</x:v>
      </x:c>
      <x:c r="D848" s="22" t="str">
        <x:v>丰泽区</x:v>
      </x:c>
      <x:c r="E848" s="22" t="str">
        <x:v>农用地</x:v>
      </x:c>
      <x:c r="F848" s="22" t="str">
        <x:v>园地</x:v>
      </x:c>
      <x:c r="G848" s="32" t="str">
        <x:v>0201K</x:v>
      </x:c>
      <x:c r="H848" s="32" t="str">
        <x:v>201</x:v>
      </x:c>
      <x:c r="I848" s="22" t="str">
        <x:v>可调整果园</x:v>
      </x:c>
      <x:c r="J848" s="22" t="str">
        <x:v>农业生态</x:v>
      </x:c>
      <x:c r="K848" s="32" t="str">
        <x:v>203</x:v>
      </x:c>
      <x:c r="L848" s="22" t="str">
        <x:v>村庄范围</x:v>
      </x:c>
      <x:c r="M848" s="33" t="n">
        <x:v>858.15</x:v>
      </x:c>
      <x:c r="N848" s="33" t="n">
        <x:v>0.085815</x:v>
      </x:c>
      <x:c r="O848" s="22" t="str">
        <x:v>公顷</x:v>
      </x:c>
      <x:c r="P848" s="22" t="str">
        <x:v>未提供（单期横截面）</x:v>
      </x:c>
      <x:c r="Q848" s="23" t="n">
        <x:v>3827</x:v>
      </x:c>
    </x:row>
    <x:row r="849">
      <x:c r="A849" s="30" t="n">
        <x:v>350500</x:v>
      </x:c>
      <x:c r="B849" s="22" t="str">
        <x:v>泉州市</x:v>
      </x:c>
      <x:c r="C849" s="31" t="n">
        <x:v>350503</x:v>
      </x:c>
      <x:c r="D849" s="22" t="str">
        <x:v>丰泽区</x:v>
      </x:c>
      <x:c r="E849" s="22" t="str">
        <x:v>农用地</x:v>
      </x:c>
      <x:c r="F849" s="22" t="str">
        <x:v>园地</x:v>
      </x:c>
      <x:c r="G849" s="32" t="str">
        <x:v>204</x:v>
      </x:c>
      <x:c r="H849" s="32" t="str">
        <x:v>204</x:v>
      </x:c>
      <x:c r="I849" s="22" t="str">
        <x:v>其他园地</x:v>
      </x:c>
      <x:c r="J849" s="22" t="str">
        <x:v>农业生态</x:v>
      </x:c>
      <x:c r="K849" s="32" t="str">
        <x:v>203</x:v>
      </x:c>
      <x:c r="L849" s="22" t="str">
        <x:v>村庄范围</x:v>
      </x:c>
      <x:c r="M849" s="33" t="n">
        <x:v>16852.43</x:v>
      </x:c>
      <x:c r="N849" s="33" t="n">
        <x:v>1.685243</x:v>
      </x:c>
      <x:c r="O849" s="22" t="str">
        <x:v>公顷</x:v>
      </x:c>
      <x:c r="P849" s="22" t="str">
        <x:v>未提供（单期横截面）</x:v>
      </x:c>
      <x:c r="Q849" s="23" t="n">
        <x:v>3828</x:v>
      </x:c>
    </x:row>
    <x:row r="850">
      <x:c r="A850" s="30" t="n">
        <x:v>350500</x:v>
      </x:c>
      <x:c r="B850" s="22" t="str">
        <x:v>泉州市</x:v>
      </x:c>
      <x:c r="C850" s="31" t="n">
        <x:v>350503</x:v>
      </x:c>
      <x:c r="D850" s="22" t="str">
        <x:v>丰泽区</x:v>
      </x:c>
      <x:c r="E850" s="22" t="str">
        <x:v>农用地</x:v>
      </x:c>
      <x:c r="F850" s="22" t="str">
        <x:v>林地</x:v>
      </x:c>
      <x:c r="G850" s="32" t="str">
        <x:v>301</x:v>
      </x:c>
      <x:c r="H850" s="32" t="str">
        <x:v>301</x:v>
      </x:c>
      <x:c r="I850" s="22" t="str">
        <x:v>乔木林地</x:v>
      </x:c>
      <x:c r="J850" s="22" t="str">
        <x:v>农业生态</x:v>
      </x:c>
      <x:c r="K850" s="32" t="str">
        <x:v>203</x:v>
      </x:c>
      <x:c r="L850" s="22" t="str">
        <x:v>村庄范围</x:v>
      </x:c>
      <x:c r="M850" s="33" t="n">
        <x:v>27879.999999999996</x:v>
      </x:c>
      <x:c r="N850" s="33" t="n">
        <x:v>2.788</x:v>
      </x:c>
      <x:c r="O850" s="22" t="str">
        <x:v>公顷</x:v>
      </x:c>
      <x:c r="P850" s="22" t="str">
        <x:v>未提供（单期横截面）</x:v>
      </x:c>
      <x:c r="Q850" s="23" t="n">
        <x:v>3829</x:v>
      </x:c>
    </x:row>
    <x:row r="851">
      <x:c r="A851" s="30" t="n">
        <x:v>350500</x:v>
      </x:c>
      <x:c r="B851" s="22" t="str">
        <x:v>泉州市</x:v>
      </x:c>
      <x:c r="C851" s="31" t="n">
        <x:v>350503</x:v>
      </x:c>
      <x:c r="D851" s="22" t="str">
        <x:v>丰泽区</x:v>
      </x:c>
      <x:c r="E851" s="22" t="str">
        <x:v>农用地</x:v>
      </x:c>
      <x:c r="F851" s="22" t="str">
        <x:v>林地</x:v>
      </x:c>
      <x:c r="G851" s="32" t="str">
        <x:v>305</x:v>
      </x:c>
      <x:c r="H851" s="32" t="str">
        <x:v>305</x:v>
      </x:c>
      <x:c r="I851" s="22" t="str">
        <x:v>灌木林地</x:v>
      </x:c>
      <x:c r="J851" s="22" t="str">
        <x:v>农业生态</x:v>
      </x:c>
      <x:c r="K851" s="32" t="str">
        <x:v>203</x:v>
      </x:c>
      <x:c r="L851" s="22" t="str">
        <x:v>村庄范围</x:v>
      </x:c>
      <x:c r="M851" s="33" t="n">
        <x:v>4328.19</x:v>
      </x:c>
      <x:c r="N851" s="33" t="n">
        <x:v>0.43281899999999995</x:v>
      </x:c>
      <x:c r="O851" s="22" t="str">
        <x:v>公顷</x:v>
      </x:c>
      <x:c r="P851" s="22" t="str">
        <x:v>未提供（单期横截面）</x:v>
      </x:c>
      <x:c r="Q851" s="23" t="n">
        <x:v>3830</x:v>
      </x:c>
    </x:row>
    <x:row r="852">
      <x:c r="A852" s="30" t="n">
        <x:v>350500</x:v>
      </x:c>
      <x:c r="B852" s="22" t="str">
        <x:v>泉州市</x:v>
      </x:c>
      <x:c r="C852" s="31" t="n">
        <x:v>350503</x:v>
      </x:c>
      <x:c r="D852" s="22" t="str">
        <x:v>丰泽区</x:v>
      </x:c>
      <x:c r="E852" s="22" t="str">
        <x:v>农用地</x:v>
      </x:c>
      <x:c r="F852" s="22" t="str">
        <x:v>林地</x:v>
      </x:c>
      <x:c r="G852" s="32" t="str">
        <x:v>307</x:v>
      </x:c>
      <x:c r="H852" s="32" t="str">
        <x:v>307</x:v>
      </x:c>
      <x:c r="I852" s="22" t="str">
        <x:v>其他林地</x:v>
      </x:c>
      <x:c r="J852" s="22" t="str">
        <x:v>农业生态</x:v>
      </x:c>
      <x:c r="K852" s="32" t="str">
        <x:v>203</x:v>
      </x:c>
      <x:c r="L852" s="22" t="str">
        <x:v>村庄范围</x:v>
      </x:c>
      <x:c r="M852" s="33" t="n">
        <x:v>9582.359999999999</x:v>
      </x:c>
      <x:c r="N852" s="33" t="n">
        <x:v>0.9582359999999999</x:v>
      </x:c>
      <x:c r="O852" s="22" t="str">
        <x:v>公顷</x:v>
      </x:c>
      <x:c r="P852" s="22" t="str">
        <x:v>未提供（单期横截面）</x:v>
      </x:c>
      <x:c r="Q852" s="23" t="n">
        <x:v>3831</x:v>
      </x:c>
    </x:row>
    <x:row r="853">
      <x:c r="A853" s="30" t="n">
        <x:v>350500</x:v>
      </x:c>
      <x:c r="B853" s="22" t="str">
        <x:v>泉州市</x:v>
      </x:c>
      <x:c r="C853" s="31" t="n">
        <x:v>350503</x:v>
      </x:c>
      <x:c r="D853" s="22" t="str">
        <x:v>丰泽区</x:v>
      </x:c>
      <x:c r="E853" s="22" t="str">
        <x:v>农用地</x:v>
      </x:c>
      <x:c r="F853" s="22" t="str">
        <x:v>水域及水利设施</x:v>
      </x:c>
      <x:c r="G853" s="32" t="str">
        <x:v>1104</x:v>
      </x:c>
      <x:c r="H853" s="32" t="str">
        <x:v>1104</x:v>
      </x:c>
      <x:c r="I853" s="22" t="str">
        <x:v>坑塘水面</x:v>
      </x:c>
      <x:c r="J853" s="22" t="str">
        <x:v>农业生态</x:v>
      </x:c>
      <x:c r="K853" s="32" t="str">
        <x:v>203</x:v>
      </x:c>
      <x:c r="L853" s="22" t="str">
        <x:v>村庄范围</x:v>
      </x:c>
      <x:c r="M853" s="33" t="n">
        <x:v>17240.920000000002</x:v>
      </x:c>
      <x:c r="N853" s="33" t="n">
        <x:v>1.7240920000000002</x:v>
      </x:c>
      <x:c r="O853" s="22" t="str">
        <x:v>公顷</x:v>
      </x:c>
      <x:c r="P853" s="22" t="str">
        <x:v>未提供（单期横截面）</x:v>
      </x:c>
      <x:c r="Q853" s="23" t="n">
        <x:v>3832</x:v>
      </x:c>
    </x:row>
    <x:row r="854">
      <x:c r="A854" s="30" t="n">
        <x:v>350500</x:v>
      </x:c>
      <x:c r="B854" s="22" t="str">
        <x:v>泉州市</x:v>
      </x:c>
      <x:c r="C854" s="31" t="n">
        <x:v>350503</x:v>
      </x:c>
      <x:c r="D854" s="22" t="str">
        <x:v>丰泽区</x:v>
      </x:c>
      <x:c r="E854" s="22" t="str">
        <x:v>农用地</x:v>
      </x:c>
      <x:c r="F854" s="22" t="str">
        <x:v>水域及水利设施</x:v>
      </x:c>
      <x:c r="G854" s="32" t="str">
        <x:v>1107</x:v>
      </x:c>
      <x:c r="H854" s="32" t="str">
        <x:v>1107</x:v>
      </x:c>
      <x:c r="I854" s="22" t="str">
        <x:v>沟渠</x:v>
      </x:c>
      <x:c r="J854" s="22" t="str">
        <x:v>农业生态</x:v>
      </x:c>
      <x:c r="K854" s="32" t="str">
        <x:v>203</x:v>
      </x:c>
      <x:c r="L854" s="22" t="str">
        <x:v>村庄范围</x:v>
      </x:c>
      <x:c r="M854" s="33" t="n">
        <x:v>4961.99</x:v>
      </x:c>
      <x:c r="N854" s="33" t="n">
        <x:v>0.496199</x:v>
      </x:c>
      <x:c r="O854" s="22" t="str">
        <x:v>公顷</x:v>
      </x:c>
      <x:c r="P854" s="22" t="str">
        <x:v>未提供（单期横截面）</x:v>
      </x:c>
      <x:c r="Q854" s="23" t="n">
        <x:v>3833</x:v>
      </x:c>
    </x:row>
    <x:row r="855">
      <x:c r="A855" s="30" t="n">
        <x:v>350500</x:v>
      </x:c>
      <x:c r="B855" s="22" t="str">
        <x:v>泉州市</x:v>
      </x:c>
      <x:c r="C855" s="31" t="n">
        <x:v>350503</x:v>
      </x:c>
      <x:c r="D855" s="22" t="str">
        <x:v>丰泽区</x:v>
      </x:c>
      <x:c r="E855" s="22" t="str">
        <x:v>农用地</x:v>
      </x:c>
      <x:c r="F855" s="22" t="str">
        <x:v>水域及水利设施</x:v>
      </x:c>
      <x:c r="G855" s="32" t="str">
        <x:v>1107A</x:v>
      </x:c>
      <x:c r="H855" s="32" t="str">
        <x:v>1107</x:v>
      </x:c>
      <x:c r="I855" s="22" t="str">
        <x:v>干渠</x:v>
      </x:c>
      <x:c r="J855" s="22" t="str">
        <x:v>农业生态</x:v>
      </x:c>
      <x:c r="K855" s="32" t="str">
        <x:v>203</x:v>
      </x:c>
      <x:c r="L855" s="22" t="str">
        <x:v>村庄范围</x:v>
      </x:c>
      <x:c r="M855" s="33" t="n">
        <x:v>26568.62</x:v>
      </x:c>
      <x:c r="N855" s="33" t="n">
        <x:v>2.656862</x:v>
      </x:c>
      <x:c r="O855" s="22" t="str">
        <x:v>公顷</x:v>
      </x:c>
      <x:c r="P855" s="22" t="str">
        <x:v>未提供（单期横截面）</x:v>
      </x:c>
      <x:c r="Q855" s="23" t="n">
        <x:v>3834</x:v>
      </x:c>
    </x:row>
    <x:row r="856">
      <x:c r="A856" s="30" t="n">
        <x:v>350500</x:v>
      </x:c>
      <x:c r="B856" s="22" t="str">
        <x:v>泉州市</x:v>
      </x:c>
      <x:c r="C856" s="31" t="n">
        <x:v>350503</x:v>
      </x:c>
      <x:c r="D856" s="22" t="str">
        <x:v>丰泽区</x:v>
      </x:c>
      <x:c r="E856" s="22" t="str">
        <x:v>农用地</x:v>
      </x:c>
      <x:c r="F856" s="22" t="str">
        <x:v>其他农用地</x:v>
      </x:c>
      <x:c r="G856" s="32" t="str">
        <x:v>1202</x:v>
      </x:c>
      <x:c r="H856" s="32" t="str">
        <x:v>1202</x:v>
      </x:c>
      <x:c r="I856" s="22" t="str">
        <x:v>设施农用地</x:v>
      </x:c>
      <x:c r="J856" s="22" t="str">
        <x:v>农业生态</x:v>
      </x:c>
      <x:c r="K856" s="32" t="str">
        <x:v>203</x:v>
      </x:c>
      <x:c r="L856" s="22" t="str">
        <x:v>村庄范围</x:v>
      </x:c>
      <x:c r="M856" s="33" t="n">
        <x:v>918.9899999999999</x:v>
      </x:c>
      <x:c r="N856" s="33" t="n">
        <x:v>0.091899</x:v>
      </x:c>
      <x:c r="O856" s="22" t="str">
        <x:v>公顷</x:v>
      </x:c>
      <x:c r="P856" s="22" t="str">
        <x:v>未提供（单期横截面）</x:v>
      </x:c>
      <x:c r="Q856" s="23" t="n">
        <x:v>3835</x:v>
      </x:c>
    </x:row>
    <x:row r="857">
      <x:c r="A857" s="30" t="n">
        <x:v>350500</x:v>
      </x:c>
      <x:c r="B857" s="22" t="str">
        <x:v>泉州市</x:v>
      </x:c>
      <x:c r="C857" s="31" t="n">
        <x:v>350503</x:v>
      </x:c>
      <x:c r="D857" s="22" t="str">
        <x:v>丰泽区</x:v>
      </x:c>
      <x:c r="E857" s="22" t="str">
        <x:v>未利用地</x:v>
      </x:c>
      <x:c r="F857" s="22" t="str">
        <x:v>草地</x:v>
      </x:c>
      <x:c r="G857" s="32" t="str">
        <x:v>404</x:v>
      </x:c>
      <x:c r="H857" s="32" t="str">
        <x:v>404</x:v>
      </x:c>
      <x:c r="I857" s="22" t="str">
        <x:v>其他草地</x:v>
      </x:c>
      <x:c r="J857" s="22" t="str">
        <x:v>农业生态</x:v>
      </x:c>
      <x:c r="K857" s="32" t="str"/>
      <x:c r="L857" s="22" t="str">
        <x:v>不适用/未标注</x:v>
      </x:c>
      <x:c r="M857" s="33" t="n">
        <x:v>835962.0500000003</x:v>
      </x:c>
      <x:c r="N857" s="33" t="n">
        <x:v>83.59620500000003</x:v>
      </x:c>
      <x:c r="O857" s="22" t="str">
        <x:v>公顷</x:v>
      </x:c>
      <x:c r="P857" s="22" t="str">
        <x:v>未提供（单期横截面）</x:v>
      </x:c>
      <x:c r="Q857" s="23" t="n">
        <x:v>3836</x:v>
      </x:c>
    </x:row>
    <x:row r="858">
      <x:c r="A858" s="30" t="n">
        <x:v>350500</x:v>
      </x:c>
      <x:c r="B858" s="22" t="str">
        <x:v>泉州市</x:v>
      </x:c>
      <x:c r="C858" s="31" t="n">
        <x:v>350503</x:v>
      </x:c>
      <x:c r="D858" s="22" t="str">
        <x:v>丰泽区</x:v>
      </x:c>
      <x:c r="E858" s="22" t="str">
        <x:v>未利用地</x:v>
      </x:c>
      <x:c r="F858" s="22" t="str">
        <x:v>水域及水利设施</x:v>
      </x:c>
      <x:c r="G858" s="32" t="str">
        <x:v>1101</x:v>
      </x:c>
      <x:c r="H858" s="32" t="str">
        <x:v>1101</x:v>
      </x:c>
      <x:c r="I858" s="22" t="str">
        <x:v>河流水面</x:v>
      </x:c>
      <x:c r="J858" s="22" t="str">
        <x:v>农业生态</x:v>
      </x:c>
      <x:c r="K858" s="32" t="str"/>
      <x:c r="L858" s="22" t="str">
        <x:v>不适用/未标注</x:v>
      </x:c>
      <x:c r="M858" s="33" t="n">
        <x:v>3733568.1699999976</x:v>
      </x:c>
      <x:c r="N858" s="33" t="n">
        <x:v>373.35681699999975</x:v>
      </x:c>
      <x:c r="O858" s="22" t="str">
        <x:v>公顷</x:v>
      </x:c>
      <x:c r="P858" s="22" t="str">
        <x:v>未提供（单期横截面）</x:v>
      </x:c>
      <x:c r="Q858" s="23" t="n">
        <x:v>3837</x:v>
      </x:c>
    </x:row>
    <x:row r="859">
      <x:c r="A859" s="30" t="n">
        <x:v>350500</x:v>
      </x:c>
      <x:c r="B859" s="22" t="str">
        <x:v>泉州市</x:v>
      </x:c>
      <x:c r="C859" s="31" t="n">
        <x:v>350503</x:v>
      </x:c>
      <x:c r="D859" s="22" t="str">
        <x:v>丰泽区</x:v>
      </x:c>
      <x:c r="E859" s="22" t="str">
        <x:v>未利用地</x:v>
      </x:c>
      <x:c r="F859" s="22" t="str">
        <x:v>水域及水利设施</x:v>
      </x:c>
      <x:c r="G859" s="32" t="str">
        <x:v>1105</x:v>
      </x:c>
      <x:c r="H859" s="32" t="str">
        <x:v>1105</x:v>
      </x:c>
      <x:c r="I859" s="22" t="str">
        <x:v>沿海滩涂</x:v>
      </x:c>
      <x:c r="J859" s="22" t="str">
        <x:v>农业生态</x:v>
      </x:c>
      <x:c r="K859" s="32" t="str"/>
      <x:c r="L859" s="22" t="str">
        <x:v>不适用/未标注</x:v>
      </x:c>
      <x:c r="M859" s="33" t="n">
        <x:v>15211908.59</x:v>
      </x:c>
      <x:c r="N859" s="33" t="n">
        <x:v>1521.190859</x:v>
      </x:c>
      <x:c r="O859" s="22" t="str">
        <x:v>公顷</x:v>
      </x:c>
      <x:c r="P859" s="22" t="str">
        <x:v>未提供（单期横截面）</x:v>
      </x:c>
      <x:c r="Q859" s="23" t="n">
        <x:v>3838</x:v>
      </x:c>
    </x:row>
    <x:row r="860">
      <x:c r="A860" s="30" t="n">
        <x:v>350500</x:v>
      </x:c>
      <x:c r="B860" s="22" t="str">
        <x:v>泉州市</x:v>
      </x:c>
      <x:c r="C860" s="31" t="n">
        <x:v>350503</x:v>
      </x:c>
      <x:c r="D860" s="22" t="str">
        <x:v>丰泽区</x:v>
      </x:c>
      <x:c r="E860" s="22" t="str">
        <x:v>未利用地</x:v>
      </x:c>
      <x:c r="F860" s="22" t="str">
        <x:v>水域及水利设施</x:v>
      </x:c>
      <x:c r="G860" s="32" t="str">
        <x:v>1106</x:v>
      </x:c>
      <x:c r="H860" s="32" t="str">
        <x:v>1106</x:v>
      </x:c>
      <x:c r="I860" s="22" t="str">
        <x:v>内陆滩涂</x:v>
      </x:c>
      <x:c r="J860" s="22" t="str">
        <x:v>农业生态</x:v>
      </x:c>
      <x:c r="K860" s="32" t="str"/>
      <x:c r="L860" s="22" t="str">
        <x:v>不适用/未标注</x:v>
      </x:c>
      <x:c r="M860" s="33" t="n">
        <x:v>796023.1799999999</x:v>
      </x:c>
      <x:c r="N860" s="33" t="n">
        <x:v>79.602318</x:v>
      </x:c>
      <x:c r="O860" s="22" t="str">
        <x:v>公顷</x:v>
      </x:c>
      <x:c r="P860" s="22" t="str">
        <x:v>未提供（单期横截面）</x:v>
      </x:c>
      <x:c r="Q860" s="23" t="n">
        <x:v>3839</x:v>
      </x:c>
    </x:row>
    <x:row r="861">
      <x:c r="A861" s="30" t="n">
        <x:v>350500</x:v>
      </x:c>
      <x:c r="B861" s="22" t="str">
        <x:v>泉州市</x:v>
      </x:c>
      <x:c r="C861" s="31" t="n">
        <x:v>350503</x:v>
      </x:c>
      <x:c r="D861" s="22" t="str">
        <x:v>丰泽区</x:v>
      </x:c>
      <x:c r="E861" s="22" t="str">
        <x:v>未利用地</x:v>
      </x:c>
      <x:c r="F861" s="22" t="str">
        <x:v>未利用地</x:v>
      </x:c>
      <x:c r="G861" s="32" t="str">
        <x:v>1207</x:v>
      </x:c>
      <x:c r="H861" s="32" t="str">
        <x:v>1207</x:v>
      </x:c>
      <x:c r="I861" s="22" t="str">
        <x:v>裸岩石砾地</x:v>
      </x:c>
      <x:c r="J861" s="22" t="str">
        <x:v>未利用地</x:v>
      </x:c>
      <x:c r="K861" s="32" t="str"/>
      <x:c r="L861" s="22" t="str">
        <x:v>不适用/未标注</x:v>
      </x:c>
      <x:c r="M861" s="33" t="n">
        <x:v>245269.52999999997</x:v>
      </x:c>
      <x:c r="N861" s="33" t="n">
        <x:v>24.526952999999995</x:v>
      </x:c>
      <x:c r="O861" s="22" t="str">
        <x:v>公顷</x:v>
      </x:c>
      <x:c r="P861" s="22" t="str">
        <x:v>未提供（单期横截面）</x:v>
      </x:c>
      <x:c r="Q861" s="23" t="n">
        <x:v>3840</x:v>
      </x:c>
    </x:row>
    <x:row r="862">
      <x:c r="A862" s="30" t="n">
        <x:v>350500</x:v>
      </x:c>
      <x:c r="B862" s="22" t="str">
        <x:v>泉州市</x:v>
      </x:c>
      <x:c r="C862" s="31" t="n">
        <x:v>350503</x:v>
      </x:c>
      <x:c r="D862" s="22" t="str">
        <x:v>丰泽区</x:v>
      </x:c>
      <x:c r="E862" s="22" t="str">
        <x:v>未利用地</x:v>
      </x:c>
      <x:c r="F862" s="22" t="str">
        <x:v>草地</x:v>
      </x:c>
      <x:c r="G862" s="32" t="str">
        <x:v>404</x:v>
      </x:c>
      <x:c r="H862" s="32" t="str">
        <x:v>404</x:v>
      </x:c>
      <x:c r="I862" s="22" t="str">
        <x:v>其他草地</x:v>
      </x:c>
      <x:c r="J862" s="22" t="str">
        <x:v>农业生态</x:v>
      </x:c>
      <x:c r="K862" s="32" t="str">
        <x:v>201</x:v>
      </x:c>
      <x:c r="L862" s="22" t="str">
        <x:v>城市范围</x:v>
      </x:c>
      <x:c r="M862" s="33" t="n">
        <x:v>678561.0800000002</x:v>
      </x:c>
      <x:c r="N862" s="33" t="n">
        <x:v>67.85610800000002</x:v>
      </x:c>
      <x:c r="O862" s="22" t="str">
        <x:v>公顷</x:v>
      </x:c>
      <x:c r="P862" s="22" t="str">
        <x:v>未提供（单期横截面）</x:v>
      </x:c>
      <x:c r="Q862" s="23" t="n">
        <x:v>3841</x:v>
      </x:c>
    </x:row>
    <x:row r="863">
      <x:c r="A863" s="30" t="n">
        <x:v>350500</x:v>
      </x:c>
      <x:c r="B863" s="22" t="str">
        <x:v>泉州市</x:v>
      </x:c>
      <x:c r="C863" s="31" t="n">
        <x:v>350503</x:v>
      </x:c>
      <x:c r="D863" s="22" t="str">
        <x:v>丰泽区</x:v>
      </x:c>
      <x:c r="E863" s="22" t="str">
        <x:v>未利用地</x:v>
      </x:c>
      <x:c r="F863" s="22" t="str">
        <x:v>水域及水利设施</x:v>
      </x:c>
      <x:c r="G863" s="32" t="str">
        <x:v>1101</x:v>
      </x:c>
      <x:c r="H863" s="32" t="str">
        <x:v>1101</x:v>
      </x:c>
      <x:c r="I863" s="22" t="str">
        <x:v>河流水面</x:v>
      </x:c>
      <x:c r="J863" s="22" t="str">
        <x:v>农业生态</x:v>
      </x:c>
      <x:c r="K863" s="32" t="str">
        <x:v>201</x:v>
      </x:c>
      <x:c r="L863" s="22" t="str">
        <x:v>城市范围</x:v>
      </x:c>
      <x:c r="M863" s="33" t="n">
        <x:v>12436.890000000001</x:v>
      </x:c>
      <x:c r="N863" s="33" t="n">
        <x:v>1.243689</x:v>
      </x:c>
      <x:c r="O863" s="22" t="str">
        <x:v>公顷</x:v>
      </x:c>
      <x:c r="P863" s="22" t="str">
        <x:v>未提供（单期横截面）</x:v>
      </x:c>
      <x:c r="Q863" s="23" t="n">
        <x:v>3842</x:v>
      </x:c>
    </x:row>
    <x:row r="864">
      <x:c r="A864" s="30" t="n">
        <x:v>350500</x:v>
      </x:c>
      <x:c r="B864" s="22" t="str">
        <x:v>泉州市</x:v>
      </x:c>
      <x:c r="C864" s="31" t="n">
        <x:v>350503</x:v>
      </x:c>
      <x:c r="D864" s="22" t="str">
        <x:v>丰泽区</x:v>
      </x:c>
      <x:c r="E864" s="22" t="str">
        <x:v>未利用地</x:v>
      </x:c>
      <x:c r="F864" s="22" t="str">
        <x:v>水域及水利设施</x:v>
      </x:c>
      <x:c r="G864" s="32" t="str">
        <x:v>1105</x:v>
      </x:c>
      <x:c r="H864" s="32" t="str">
        <x:v>1105</x:v>
      </x:c>
      <x:c r="I864" s="22" t="str">
        <x:v>沿海滩涂</x:v>
      </x:c>
      <x:c r="J864" s="22" t="str">
        <x:v>农业生态</x:v>
      </x:c>
      <x:c r="K864" s="32" t="str">
        <x:v>201</x:v>
      </x:c>
      <x:c r="L864" s="22" t="str">
        <x:v>城市范围</x:v>
      </x:c>
      <x:c r="M864" s="33" t="n">
        <x:v>2203.47</x:v>
      </x:c>
      <x:c r="N864" s="33" t="n">
        <x:v>0.220347</x:v>
      </x:c>
      <x:c r="O864" s="22" t="str">
        <x:v>公顷</x:v>
      </x:c>
      <x:c r="P864" s="22" t="str">
        <x:v>未提供（单期横截面）</x:v>
      </x:c>
      <x:c r="Q864" s="23" t="n">
        <x:v>3843</x:v>
      </x:c>
    </x:row>
    <x:row r="865">
      <x:c r="A865" s="30" t="n">
        <x:v>350500</x:v>
      </x:c>
      <x:c r="B865" s="22" t="str">
        <x:v>泉州市</x:v>
      </x:c>
      <x:c r="C865" s="31" t="n">
        <x:v>350503</x:v>
      </x:c>
      <x:c r="D865" s="22" t="str">
        <x:v>丰泽区</x:v>
      </x:c>
      <x:c r="E865" s="22" t="str">
        <x:v>未利用地</x:v>
      </x:c>
      <x:c r="F865" s="22" t="str">
        <x:v>未利用地</x:v>
      </x:c>
      <x:c r="G865" s="32" t="str">
        <x:v>1207</x:v>
      </x:c>
      <x:c r="H865" s="32" t="str">
        <x:v>1207</x:v>
      </x:c>
      <x:c r="I865" s="22" t="str">
        <x:v>裸岩石砾地</x:v>
      </x:c>
      <x:c r="J865" s="22" t="str">
        <x:v>未利用地</x:v>
      </x:c>
      <x:c r="K865" s="32" t="str">
        <x:v>201</x:v>
      </x:c>
      <x:c r="L865" s="22" t="str">
        <x:v>城市范围</x:v>
      </x:c>
      <x:c r="M865" s="33" t="n">
        <x:v>3647.5</x:v>
      </x:c>
      <x:c r="N865" s="33" t="n">
        <x:v>0.36475</x:v>
      </x:c>
      <x:c r="O865" s="22" t="str">
        <x:v>公顷</x:v>
      </x:c>
      <x:c r="P865" s="22" t="str">
        <x:v>未提供（单期横截面）</x:v>
      </x:c>
      <x:c r="Q865" s="23" t="n">
        <x:v>3844</x:v>
      </x:c>
    </x:row>
    <x:row r="866">
      <x:c r="A866" s="30" t="n">
        <x:v>350500</x:v>
      </x:c>
      <x:c r="B866" s="22" t="str">
        <x:v>泉州市</x:v>
      </x:c>
      <x:c r="C866" s="31" t="n">
        <x:v>350503</x:v>
      </x:c>
      <x:c r="D866" s="22" t="str">
        <x:v>丰泽区</x:v>
      </x:c>
      <x:c r="E866" s="22" t="str">
        <x:v>未利用地</x:v>
      </x:c>
      <x:c r="F866" s="22" t="str">
        <x:v>草地</x:v>
      </x:c>
      <x:c r="G866" s="32" t="str">
        <x:v>404</x:v>
      </x:c>
      <x:c r="H866" s="32" t="str">
        <x:v>404</x:v>
      </x:c>
      <x:c r="I866" s="22" t="str">
        <x:v>其他草地</x:v>
      </x:c>
      <x:c r="J866" s="22" t="str">
        <x:v>农业生态</x:v>
      </x:c>
      <x:c r="K866" s="32" t="str">
        <x:v>203</x:v>
      </x:c>
      <x:c r="L866" s="22" t="str">
        <x:v>村庄范围</x:v>
      </x:c>
      <x:c r="M866" s="33" t="n">
        <x:v>9708.92</x:v>
      </x:c>
      <x:c r="N866" s="33" t="n">
        <x:v>0.970892</x:v>
      </x:c>
      <x:c r="O866" s="22" t="str">
        <x:v>公顷</x:v>
      </x:c>
      <x:c r="P866" s="22" t="str">
        <x:v>未提供（单期横截面）</x:v>
      </x:c>
      <x:c r="Q866" s="23" t="n">
        <x:v>3845</x:v>
      </x:c>
    </x:row>
    <x:row r="867">
      <x:c r="A867" s="30" t="n">
        <x:v>350500</x:v>
      </x:c>
      <x:c r="B867" s="22" t="str">
        <x:v>泉州市</x:v>
      </x:c>
      <x:c r="C867" s="31" t="n">
        <x:v>350503</x:v>
      </x:c>
      <x:c r="D867" s="22" t="str">
        <x:v>丰泽区</x:v>
      </x:c>
      <x:c r="E867" s="22" t="str">
        <x:v>未利用地</x:v>
      </x:c>
      <x:c r="F867" s="22" t="str">
        <x:v>水域及水利设施</x:v>
      </x:c>
      <x:c r="G867" s="32" t="str">
        <x:v>1105</x:v>
      </x:c>
      <x:c r="H867" s="32" t="str">
        <x:v>1105</x:v>
      </x:c>
      <x:c r="I867" s="22" t="str">
        <x:v>沿海滩涂</x:v>
      </x:c>
      <x:c r="J867" s="22" t="str">
        <x:v>农业生态</x:v>
      </x:c>
      <x:c r="K867" s="32" t="str">
        <x:v>203</x:v>
      </x:c>
      <x:c r="L867" s="22" t="str">
        <x:v>村庄范围</x:v>
      </x:c>
      <x:c r="M867" s="33" t="n">
        <x:v>89362.6</x:v>
      </x:c>
      <x:c r="N867" s="33" t="n">
        <x:v>8.93626</x:v>
      </x:c>
      <x:c r="O867" s="22" t="str">
        <x:v>公顷</x:v>
      </x:c>
      <x:c r="P867" s="22" t="str">
        <x:v>未提供（单期横截面）</x:v>
      </x:c>
      <x:c r="Q867" s="23" t="n">
        <x:v>3846</x:v>
      </x:c>
    </x:row>
    <x:row r="868">
      <x:c r="A868" s="30" t="n">
        <x:v>350500</x:v>
      </x:c>
      <x:c r="B868" s="22" t="str">
        <x:v>泉州市</x:v>
      </x:c>
      <x:c r="C868" s="31" t="n">
        <x:v>350504</x:v>
      </x:c>
      <x:c r="D868" s="22" t="str">
        <x:v>洛江区</x:v>
      </x:c>
      <x:c r="E868" s="22" t="str">
        <x:v>建设用地</x:v>
      </x:c>
      <x:c r="F868" s="22" t="str">
        <x:v>交通运输用地</x:v>
      </x:c>
      <x:c r="G868" s="32" t="str">
        <x:v>1001</x:v>
      </x:c>
      <x:c r="H868" s="32" t="str">
        <x:v>1001</x:v>
      </x:c>
      <x:c r="I868" s="22" t="str">
        <x:v>铁路用地</x:v>
      </x:c>
      <x:c r="J868" s="22" t="str">
        <x:v>交通门户</x:v>
      </x:c>
      <x:c r="K868" s="32" t="str"/>
      <x:c r="L868" s="22" t="str">
        <x:v>不适用/未标注</x:v>
      </x:c>
      <x:c r="M868" s="33" t="n">
        <x:v>230064.56999999995</x:v>
      </x:c>
      <x:c r="N868" s="33" t="n">
        <x:v>23.006456999999994</x:v>
      </x:c>
      <x:c r="O868" s="22" t="str">
        <x:v>公顷</x:v>
      </x:c>
      <x:c r="P868" s="22" t="str">
        <x:v>未提供（单期横截面）</x:v>
      </x:c>
      <x:c r="Q868" s="23" t="n">
        <x:v>3847</x:v>
      </x:c>
    </x:row>
    <x:row r="869">
      <x:c r="A869" s="30" t="n">
        <x:v>350500</x:v>
      </x:c>
      <x:c r="B869" s="22" t="str">
        <x:v>泉州市</x:v>
      </x:c>
      <x:c r="C869" s="31" t="n">
        <x:v>350504</x:v>
      </x:c>
      <x:c r="D869" s="22" t="str">
        <x:v>洛江区</x:v>
      </x:c>
      <x:c r="E869" s="22" t="str">
        <x:v>建设用地</x:v>
      </x:c>
      <x:c r="F869" s="22" t="str">
        <x:v>交通运输用地</x:v>
      </x:c>
      <x:c r="G869" s="32" t="str">
        <x:v>1003</x:v>
      </x:c>
      <x:c r="H869" s="32" t="str">
        <x:v>1003</x:v>
      </x:c>
      <x:c r="I869" s="22" t="str">
        <x:v>公路用地</x:v>
      </x:c>
      <x:c r="J869" s="22" t="str">
        <x:v>交通门户</x:v>
      </x:c>
      <x:c r="K869" s="32" t="str"/>
      <x:c r="L869" s="22" t="str">
        <x:v>不适用/未标注</x:v>
      </x:c>
      <x:c r="M869" s="33" t="n">
        <x:v>6926935.8400000045</x:v>
      </x:c>
      <x:c r="N869" s="33" t="n">
        <x:v>692.6935840000004</x:v>
      </x:c>
      <x:c r="O869" s="22" t="str">
        <x:v>公顷</x:v>
      </x:c>
      <x:c r="P869" s="22" t="str">
        <x:v>未提供（单期横截面）</x:v>
      </x:c>
      <x:c r="Q869" s="23" t="n">
        <x:v>3848</x:v>
      </x:c>
    </x:row>
    <x:row r="870">
      <x:c r="A870" s="30" t="n">
        <x:v>350500</x:v>
      </x:c>
      <x:c r="B870" s="22" t="str">
        <x:v>泉州市</x:v>
      </x:c>
      <x:c r="C870" s="31" t="n">
        <x:v>350504</x:v>
      </x:c>
      <x:c r="D870" s="22" t="str">
        <x:v>洛江区</x:v>
      </x:c>
      <x:c r="E870" s="22" t="str">
        <x:v>建设用地</x:v>
      </x:c>
      <x:c r="F870" s="22" t="str">
        <x:v>交通运输用地</x:v>
      </x:c>
      <x:c r="G870" s="32" t="str">
        <x:v>1009</x:v>
      </x:c>
      <x:c r="H870" s="32" t="str">
        <x:v>1009</x:v>
      </x:c>
      <x:c r="I870" s="22" t="str">
        <x:v>管道运输用地</x:v>
      </x:c>
      <x:c r="J870" s="22" t="str">
        <x:v>交通门户</x:v>
      </x:c>
      <x:c r="K870" s="32" t="str"/>
      <x:c r="L870" s="22" t="str">
        <x:v>不适用/未标注</x:v>
      </x:c>
      <x:c r="M870" s="33" t="n">
        <x:v>11103.58</x:v>
      </x:c>
      <x:c r="N870" s="33" t="n">
        <x:v>1.110358</x:v>
      </x:c>
      <x:c r="O870" s="22" t="str">
        <x:v>公顷</x:v>
      </x:c>
      <x:c r="P870" s="22" t="str">
        <x:v>未提供（单期横截面）</x:v>
      </x:c>
      <x:c r="Q870" s="23" t="n">
        <x:v>3849</x:v>
      </x:c>
    </x:row>
    <x:row r="871">
      <x:c r="A871" s="30" t="n">
        <x:v>350500</x:v>
      </x:c>
      <x:c r="B871" s="22" t="str">
        <x:v>泉州市</x:v>
      </x:c>
      <x:c r="C871" s="31" t="n">
        <x:v>350504</x:v>
      </x:c>
      <x:c r="D871" s="22" t="str">
        <x:v>洛江区</x:v>
      </x:c>
      <x:c r="E871" s="22" t="str">
        <x:v>建设用地</x:v>
      </x:c>
      <x:c r="F871" s="22" t="str">
        <x:v>水域及水利设施</x:v>
      </x:c>
      <x:c r="G871" s="32" t="str">
        <x:v>1109</x:v>
      </x:c>
      <x:c r="H871" s="32" t="str">
        <x:v>1109</x:v>
      </x:c>
      <x:c r="I871" s="22" t="str">
        <x:v>水工建筑用地</x:v>
      </x:c>
      <x:c r="J871" s="22" t="str">
        <x:v>其他建设</x:v>
      </x:c>
      <x:c r="K871" s="32" t="str"/>
      <x:c r="L871" s="22" t="str">
        <x:v>不适用/未标注</x:v>
      </x:c>
      <x:c r="M871" s="33" t="n">
        <x:v>588966.7199999999</x:v>
      </x:c>
      <x:c r="N871" s="33" t="n">
        <x:v>58.89667199999999</x:v>
      </x:c>
      <x:c r="O871" s="22" t="str">
        <x:v>公顷</x:v>
      </x:c>
      <x:c r="P871" s="22" t="str">
        <x:v>未提供（单期横截面）</x:v>
      </x:c>
      <x:c r="Q871" s="23" t="n">
        <x:v>3850</x:v>
      </x:c>
    </x:row>
    <x:row r="872">
      <x:c r="A872" s="30" t="n">
        <x:v>350500</x:v>
      </x:c>
      <x:c r="B872" s="22" t="str">
        <x:v>泉州市</x:v>
      </x:c>
      <x:c r="C872" s="31" t="n">
        <x:v>350504</x:v>
      </x:c>
      <x:c r="D872" s="22" t="str">
        <x:v>洛江区</x:v>
      </x:c>
      <x:c r="E872" s="22" t="str">
        <x:v>建设用地</x:v>
      </x:c>
      <x:c r="F872" s="22" t="str">
        <x:v>工矿仓储用地</x:v>
      </x:c>
      <x:c r="G872" s="32" t="str">
        <x:v>508</x:v>
      </x:c>
      <x:c r="H872" s="32" t="str">
        <x:v>508</x:v>
      </x:c>
      <x:c r="I872" s="22" t="str">
        <x:v>物流仓储用地</x:v>
      </x:c>
      <x:c r="J872" s="22" t="str">
        <x:v>产业功能</x:v>
      </x:c>
      <x:c r="K872" s="32" t="str">
        <x:v>201</x:v>
      </x:c>
      <x:c r="L872" s="22" t="str">
        <x:v>城市范围</x:v>
      </x:c>
      <x:c r="M872" s="33" t="n">
        <x:v>107387.23000000003</x:v>
      </x:c>
      <x:c r="N872" s="33" t="n">
        <x:v>10.738723000000002</x:v>
      </x:c>
      <x:c r="O872" s="22" t="str">
        <x:v>公顷</x:v>
      </x:c>
      <x:c r="P872" s="22" t="str">
        <x:v>未提供（单期横截面）</x:v>
      </x:c>
      <x:c r="Q872" s="23" t="n">
        <x:v>3851</x:v>
      </x:c>
    </x:row>
    <x:row r="873">
      <x:c r="A873" s="30" t="n">
        <x:v>350500</x:v>
      </x:c>
      <x:c r="B873" s="22" t="str">
        <x:v>泉州市</x:v>
      </x:c>
      <x:c r="C873" s="31" t="n">
        <x:v>350504</x:v>
      </x:c>
      <x:c r="D873" s="22" t="str">
        <x:v>洛江区</x:v>
      </x:c>
      <x:c r="E873" s="22" t="str">
        <x:v>建设用地</x:v>
      </x:c>
      <x:c r="F873" s="22" t="str">
        <x:v>商业服务业用地</x:v>
      </x:c>
      <x:c r="G873" s="32" t="str">
        <x:v>05H1</x:v>
      </x:c>
      <x:c r="H873" s="32" t="str">
        <x:v>05H1</x:v>
      </x:c>
      <x:c r="I873" s="22" t="str">
        <x:v>商业服务业设施用地</x:v>
      </x:c>
      <x:c r="J873" s="22" t="str">
        <x:v>商业服务</x:v>
      </x:c>
      <x:c r="K873" s="32" t="str">
        <x:v>201</x:v>
      </x:c>
      <x:c r="L873" s="22" t="str">
        <x:v>城市范围</x:v>
      </x:c>
      <x:c r="M873" s="33" t="n">
        <x:v>383325.6799999999</x:v>
      </x:c>
      <x:c r="N873" s="33" t="n">
        <x:v>38.33256799999999</x:v>
      </x:c>
      <x:c r="O873" s="22" t="str">
        <x:v>公顷</x:v>
      </x:c>
      <x:c r="P873" s="22" t="str">
        <x:v>未提供（单期横截面）</x:v>
      </x:c>
      <x:c r="Q873" s="23" t="n">
        <x:v>3852</x:v>
      </x:c>
    </x:row>
    <x:row r="874">
      <x:c r="A874" s="30" t="n">
        <x:v>350500</x:v>
      </x:c>
      <x:c r="B874" s="22" t="str">
        <x:v>泉州市</x:v>
      </x:c>
      <x:c r="C874" s="31" t="n">
        <x:v>350504</x:v>
      </x:c>
      <x:c r="D874" s="22" t="str">
        <x:v>洛江区</x:v>
      </x:c>
      <x:c r="E874" s="22" t="str">
        <x:v>建设用地</x:v>
      </x:c>
      <x:c r="F874" s="22" t="str">
        <x:v>工矿仓储用地</x:v>
      </x:c>
      <x:c r="G874" s="32" t="str">
        <x:v>601</x:v>
      </x:c>
      <x:c r="H874" s="32" t="str">
        <x:v>601</x:v>
      </x:c>
      <x:c r="I874" s="22" t="str">
        <x:v>工业用地</x:v>
      </x:c>
      <x:c r="J874" s="22" t="str">
        <x:v>产业功能</x:v>
      </x:c>
      <x:c r="K874" s="32" t="str">
        <x:v>201</x:v>
      </x:c>
      <x:c r="L874" s="22" t="str">
        <x:v>城市范围</x:v>
      </x:c>
      <x:c r="M874" s="33" t="n">
        <x:v>2118732.32</x:v>
      </x:c>
      <x:c r="N874" s="33" t="n">
        <x:v>211.87323199999997</x:v>
      </x:c>
      <x:c r="O874" s="22" t="str">
        <x:v>公顷</x:v>
      </x:c>
      <x:c r="P874" s="22" t="str">
        <x:v>未提供（单期横截面）</x:v>
      </x:c>
      <x:c r="Q874" s="23" t="n">
        <x:v>3853</x:v>
      </x:c>
    </x:row>
    <x:row r="875">
      <x:c r="A875" s="30" t="n">
        <x:v>350500</x:v>
      </x:c>
      <x:c r="B875" s="22" t="str">
        <x:v>泉州市</x:v>
      </x:c>
      <x:c r="C875" s="31" t="n">
        <x:v>350504</x:v>
      </x:c>
      <x:c r="D875" s="22" t="str">
        <x:v>洛江区</x:v>
      </x:c>
      <x:c r="E875" s="22" t="str">
        <x:v>建设用地</x:v>
      </x:c>
      <x:c r="F875" s="22" t="str">
        <x:v>居住用地</x:v>
      </x:c>
      <x:c r="G875" s="32" t="str">
        <x:v>701</x:v>
      </x:c>
      <x:c r="H875" s="32" t="str">
        <x:v>701</x:v>
      </x:c>
      <x:c r="I875" s="22" t="str">
        <x:v>城镇住宅用地</x:v>
      </x:c>
      <x:c r="J875" s="22" t="str">
        <x:v>居住功能</x:v>
      </x:c>
      <x:c r="K875" s="32" t="str">
        <x:v>201</x:v>
      </x:c>
      <x:c r="L875" s="22" t="str">
        <x:v>城市范围</x:v>
      </x:c>
      <x:c r="M875" s="33" t="n">
        <x:v>3118645.0600000005</x:v>
      </x:c>
      <x:c r="N875" s="33" t="n">
        <x:v>311.86450600000006</x:v>
      </x:c>
      <x:c r="O875" s="22" t="str">
        <x:v>公顷</x:v>
      </x:c>
      <x:c r="P875" s="22" t="str">
        <x:v>未提供（单期横截面）</x:v>
      </x:c>
      <x:c r="Q875" s="23" t="n">
        <x:v>3854</x:v>
      </x:c>
    </x:row>
    <x:row r="876">
      <x:c r="A876" s="30" t="n">
        <x:v>350500</x:v>
      </x:c>
      <x:c r="B876" s="22" t="str">
        <x:v>泉州市</x:v>
      </x:c>
      <x:c r="C876" s="31" t="n">
        <x:v>350504</x:v>
      </x:c>
      <x:c r="D876" s="22" t="str">
        <x:v>洛江区</x:v>
      </x:c>
      <x:c r="E876" s="22" t="str">
        <x:v>建设用地</x:v>
      </x:c>
      <x:c r="F876" s="22" t="str">
        <x:v>居住用地</x:v>
      </x:c>
      <x:c r="G876" s="32" t="str">
        <x:v>702</x:v>
      </x:c>
      <x:c r="H876" s="32" t="str">
        <x:v>702</x:v>
      </x:c>
      <x:c r="I876" s="22" t="str">
        <x:v>农村宅基地</x:v>
      </x:c>
      <x:c r="J876" s="22" t="str">
        <x:v>居住功能</x:v>
      </x:c>
      <x:c r="K876" s="32" t="str">
        <x:v>201</x:v>
      </x:c>
      <x:c r="L876" s="22" t="str">
        <x:v>城市范围</x:v>
      </x:c>
      <x:c r="M876" s="33" t="n">
        <x:v>141712.77</x:v>
      </x:c>
      <x:c r="N876" s="33" t="n">
        <x:v>14.171276999999998</x:v>
      </x:c>
      <x:c r="O876" s="22" t="str">
        <x:v>公顷</x:v>
      </x:c>
      <x:c r="P876" s="22" t="str">
        <x:v>未提供（单期横截面）</x:v>
      </x:c>
      <x:c r="Q876" s="23" t="n">
        <x:v>3855</x:v>
      </x:c>
    </x:row>
    <x:row r="877">
      <x:c r="A877" s="30" t="n">
        <x:v>350500</x:v>
      </x:c>
      <x:c r="B877" s="22" t="str">
        <x:v>泉州市</x:v>
      </x:c>
      <x:c r="C877" s="31" t="n">
        <x:v>350504</x:v>
      </x:c>
      <x:c r="D877" s="22" t="str">
        <x:v>洛江区</x:v>
      </x:c>
      <x:c r="E877" s="22" t="str">
        <x:v>建设用地</x:v>
      </x:c>
      <x:c r="F877" s="22" t="str">
        <x:v>公用设施用地</x:v>
      </x:c>
      <x:c r="G877" s="32" t="str">
        <x:v>809</x:v>
      </x:c>
      <x:c r="H877" s="32" t="str">
        <x:v>809</x:v>
      </x:c>
      <x:c r="I877" s="22" t="str">
        <x:v>公用设施用地</x:v>
      </x:c>
      <x:c r="J877" s="22" t="str">
        <x:v>其他建设</x:v>
      </x:c>
      <x:c r="K877" s="32" t="str">
        <x:v>201</x:v>
      </x:c>
      <x:c r="L877" s="22" t="str">
        <x:v>城市范围</x:v>
      </x:c>
      <x:c r="M877" s="33" t="n">
        <x:v>295291.86</x:v>
      </x:c>
      <x:c r="N877" s="33" t="n">
        <x:v>29.529186</x:v>
      </x:c>
      <x:c r="O877" s="22" t="str">
        <x:v>公顷</x:v>
      </x:c>
      <x:c r="P877" s="22" t="str">
        <x:v>未提供（单期横截面）</x:v>
      </x:c>
      <x:c r="Q877" s="23" t="n">
        <x:v>3856</x:v>
      </x:c>
    </x:row>
    <x:row r="878">
      <x:c r="A878" s="30" t="n">
        <x:v>350500</x:v>
      </x:c>
      <x:c r="B878" s="22" t="str">
        <x:v>泉州市</x:v>
      </x:c>
      <x:c r="C878" s="31" t="n">
        <x:v>350504</x:v>
      </x:c>
      <x:c r="D878" s="22" t="str">
        <x:v>洛江区</x:v>
      </x:c>
      <x:c r="E878" s="22" t="str">
        <x:v>建设用地</x:v>
      </x:c>
      <x:c r="F878" s="22" t="str">
        <x:v>绿地与广场用地</x:v>
      </x:c>
      <x:c r="G878" s="32" t="str">
        <x:v>810</x:v>
      </x:c>
      <x:c r="H878" s="32" t="str">
        <x:v>810</x:v>
      </x:c>
      <x:c r="I878" s="22" t="str">
        <x:v>公园与绿地</x:v>
      </x:c>
      <x:c r="J878" s="22" t="str">
        <x:v>公共空间</x:v>
      </x:c>
      <x:c r="K878" s="32" t="str">
        <x:v>201</x:v>
      </x:c>
      <x:c r="L878" s="22" t="str">
        <x:v>城市范围</x:v>
      </x:c>
      <x:c r="M878" s="33" t="n">
        <x:v>46919.270000000004</x:v>
      </x:c>
      <x:c r="N878" s="33" t="n">
        <x:v>4.691927000000001</x:v>
      </x:c>
      <x:c r="O878" s="22" t="str">
        <x:v>公顷</x:v>
      </x:c>
      <x:c r="P878" s="22" t="str">
        <x:v>未提供（单期横截面）</x:v>
      </x:c>
      <x:c r="Q878" s="23" t="n">
        <x:v>3857</x:v>
      </x:c>
    </x:row>
    <x:row r="879">
      <x:c r="A879" s="30" t="n">
        <x:v>350500</x:v>
      </x:c>
      <x:c r="B879" s="22" t="str">
        <x:v>泉州市</x:v>
      </x:c>
      <x:c r="C879" s="31" t="n">
        <x:v>350504</x:v>
      </x:c>
      <x:c r="D879" s="22" t="str">
        <x:v>洛江区</x:v>
      </x:c>
      <x:c r="E879" s="22" t="str">
        <x:v>建设用地</x:v>
      </x:c>
      <x:c r="F879" s="22" t="str">
        <x:v>公共管理与公共服务用地</x:v>
      </x:c>
      <x:c r="G879" s="32" t="str">
        <x:v>08H1</x:v>
      </x:c>
      <x:c r="H879" s="32" t="str">
        <x:v>08H1</x:v>
      </x:c>
      <x:c r="I879" s="22" t="str">
        <x:v>机关团体新闻出版用地</x:v>
      </x:c>
      <x:c r="J879" s="22" t="str">
        <x:v>公共服务</x:v>
      </x:c>
      <x:c r="K879" s="32" t="str">
        <x:v>201</x:v>
      </x:c>
      <x:c r="L879" s="22" t="str">
        <x:v>城市范围</x:v>
      </x:c>
      <x:c r="M879" s="33" t="n">
        <x:v>91930.51</x:v>
      </x:c>
      <x:c r="N879" s="33" t="n">
        <x:v>9.193050999999999</x:v>
      </x:c>
      <x:c r="O879" s="22" t="str">
        <x:v>公顷</x:v>
      </x:c>
      <x:c r="P879" s="22" t="str">
        <x:v>未提供（单期横截面）</x:v>
      </x:c>
      <x:c r="Q879" s="23" t="n">
        <x:v>3858</x:v>
      </x:c>
    </x:row>
    <x:row r="880">
      <x:c r="A880" s="30" t="n">
        <x:v>350500</x:v>
      </x:c>
      <x:c r="B880" s="22" t="str">
        <x:v>泉州市</x:v>
      </x:c>
      <x:c r="C880" s="31" t="n">
        <x:v>350504</x:v>
      </x:c>
      <x:c r="D880" s="22" t="str">
        <x:v>洛江区</x:v>
      </x:c>
      <x:c r="E880" s="22" t="str">
        <x:v>建设用地</x:v>
      </x:c>
      <x:c r="F880" s="22" t="str">
        <x:v>公共管理与公共服务用地</x:v>
      </x:c>
      <x:c r="G880" s="32" t="str">
        <x:v>08H2</x:v>
      </x:c>
      <x:c r="H880" s="32" t="str">
        <x:v>08H2</x:v>
      </x:c>
      <x:c r="I880" s="22" t="str">
        <x:v>科教文卫用地</x:v>
      </x:c>
      <x:c r="J880" s="22" t="str">
        <x:v>公共服务</x:v>
      </x:c>
      <x:c r="K880" s="32" t="str">
        <x:v>201</x:v>
      </x:c>
      <x:c r="L880" s="22" t="str">
        <x:v>城市范围</x:v>
      </x:c>
      <x:c r="M880" s="33" t="n">
        <x:v>486321.89999999997</x:v>
      </x:c>
      <x:c r="N880" s="33" t="n">
        <x:v>48.632189999999994</x:v>
      </x:c>
      <x:c r="O880" s="22" t="str">
        <x:v>公顷</x:v>
      </x:c>
      <x:c r="P880" s="22" t="str">
        <x:v>未提供（单期横截面）</x:v>
      </x:c>
      <x:c r="Q880" s="23" t="n">
        <x:v>3859</x:v>
      </x:c>
    </x:row>
    <x:row r="881">
      <x:c r="A881" s="30" t="n">
        <x:v>350500</x:v>
      </x:c>
      <x:c r="B881" s="22" t="str">
        <x:v>泉州市</x:v>
      </x:c>
      <x:c r="C881" s="31" t="n">
        <x:v>350504</x:v>
      </x:c>
      <x:c r="D881" s="22" t="str">
        <x:v>洛江区</x:v>
      </x:c>
      <x:c r="E881" s="22" t="str">
        <x:v>建设用地</x:v>
      </x:c>
      <x:c r="F881" s="22" t="str">
        <x:v>特殊用地</x:v>
      </x:c>
      <x:c r="G881" s="32" t="str">
        <x:v>9</x:v>
      </x:c>
      <x:c r="H881" s="32" t="str">
        <x:v>9</x:v>
      </x:c>
      <x:c r="I881" s="22" t="str">
        <x:v>特殊用地</x:v>
      </x:c>
      <x:c r="J881" s="22" t="str">
        <x:v>其他建设</x:v>
      </x:c>
      <x:c r="K881" s="32" t="str">
        <x:v>201</x:v>
      </x:c>
      <x:c r="L881" s="22" t="str">
        <x:v>城市范围</x:v>
      </x:c>
      <x:c r="M881" s="33" t="n">
        <x:v>14335.490000000002</x:v>
      </x:c>
      <x:c r="N881" s="33" t="n">
        <x:v>1.4335490000000002</x:v>
      </x:c>
      <x:c r="O881" s="22" t="str">
        <x:v>公顷</x:v>
      </x:c>
      <x:c r="P881" s="22" t="str">
        <x:v>未提供（单期横截面）</x:v>
      </x:c>
      <x:c r="Q881" s="23" t="n">
        <x:v>3860</x:v>
      </x:c>
    </x:row>
    <x:row r="882">
      <x:c r="A882" s="30" t="n">
        <x:v>350500</x:v>
      </x:c>
      <x:c r="B882" s="22" t="str">
        <x:v>泉州市</x:v>
      </x:c>
      <x:c r="C882" s="31" t="n">
        <x:v>350504</x:v>
      </x:c>
      <x:c r="D882" s="22" t="str">
        <x:v>洛江区</x:v>
      </x:c>
      <x:c r="E882" s="22" t="str">
        <x:v>建设用地</x:v>
      </x:c>
      <x:c r="F882" s="22" t="str">
        <x:v>交通运输用地</x:v>
      </x:c>
      <x:c r="G882" s="32" t="str">
        <x:v>1004</x:v>
      </x:c>
      <x:c r="H882" s="32" t="str">
        <x:v>1004</x:v>
      </x:c>
      <x:c r="I882" s="22" t="str">
        <x:v>城镇村道路用地</x:v>
      </x:c>
      <x:c r="J882" s="22" t="str">
        <x:v>交通门户</x:v>
      </x:c>
      <x:c r="K882" s="32" t="str">
        <x:v>201</x:v>
      </x:c>
      <x:c r="L882" s="22" t="str">
        <x:v>城市范围</x:v>
      </x:c>
      <x:c r="M882" s="33" t="n">
        <x:v>609941.8399999999</x:v>
      </x:c>
      <x:c r="N882" s="33" t="n">
        <x:v>60.99418399999998</x:v>
      </x:c>
      <x:c r="O882" s="22" t="str">
        <x:v>公顷</x:v>
      </x:c>
      <x:c r="P882" s="22" t="str">
        <x:v>未提供（单期横截面）</x:v>
      </x:c>
      <x:c r="Q882" s="23" t="n">
        <x:v>3861</x:v>
      </x:c>
    </x:row>
    <x:row r="883">
      <x:c r="A883" s="30" t="n">
        <x:v>350500</x:v>
      </x:c>
      <x:c r="B883" s="22" t="str">
        <x:v>泉州市</x:v>
      </x:c>
      <x:c r="C883" s="31" t="n">
        <x:v>350504</x:v>
      </x:c>
      <x:c r="D883" s="22" t="str">
        <x:v>洛江区</x:v>
      </x:c>
      <x:c r="E883" s="22" t="str">
        <x:v>建设用地</x:v>
      </x:c>
      <x:c r="F883" s="22" t="str">
        <x:v>交通运输用地</x:v>
      </x:c>
      <x:c r="G883" s="32" t="str">
        <x:v>1005</x:v>
      </x:c>
      <x:c r="H883" s="32" t="str">
        <x:v>1005</x:v>
      </x:c>
      <x:c r="I883" s="22" t="str">
        <x:v>交通服务场站用地</x:v>
      </x:c>
      <x:c r="J883" s="22" t="str">
        <x:v>交通门户</x:v>
      </x:c>
      <x:c r="K883" s="32" t="str">
        <x:v>201</x:v>
      </x:c>
      <x:c r="L883" s="22" t="str">
        <x:v>城市范围</x:v>
      </x:c>
      <x:c r="M883" s="33" t="n">
        <x:v>44389.28999999999</x:v>
      </x:c>
      <x:c r="N883" s="33" t="n">
        <x:v>4.438928999999999</x:v>
      </x:c>
      <x:c r="O883" s="22" t="str">
        <x:v>公顷</x:v>
      </x:c>
      <x:c r="P883" s="22" t="str">
        <x:v>未提供（单期横截面）</x:v>
      </x:c>
      <x:c r="Q883" s="23" t="n">
        <x:v>3862</x:v>
      </x:c>
    </x:row>
    <x:row r="884">
      <x:c r="A884" s="30" t="n">
        <x:v>350500</x:v>
      </x:c>
      <x:c r="B884" s="22" t="str">
        <x:v>泉州市</x:v>
      </x:c>
      <x:c r="C884" s="31" t="n">
        <x:v>350504</x:v>
      </x:c>
      <x:c r="D884" s="22" t="str">
        <x:v>洛江区</x:v>
      </x:c>
      <x:c r="E884" s="22" t="str">
        <x:v>建设用地</x:v>
      </x:c>
      <x:c r="F884" s="22" t="str">
        <x:v>水域及水利设施</x:v>
      </x:c>
      <x:c r="G884" s="32" t="str">
        <x:v>1109</x:v>
      </x:c>
      <x:c r="H884" s="32" t="str">
        <x:v>1109</x:v>
      </x:c>
      <x:c r="I884" s="22" t="str">
        <x:v>水工建筑用地</x:v>
      </x:c>
      <x:c r="J884" s="22" t="str">
        <x:v>其他建设</x:v>
      </x:c>
      <x:c r="K884" s="32" t="str">
        <x:v>201</x:v>
      </x:c>
      <x:c r="L884" s="22" t="str">
        <x:v>城市范围</x:v>
      </x:c>
      <x:c r="M884" s="33" t="n">
        <x:v>12793.349999999999</x:v>
      </x:c>
      <x:c r="N884" s="33" t="n">
        <x:v>1.2793349999999999</x:v>
      </x:c>
      <x:c r="O884" s="22" t="str">
        <x:v>公顷</x:v>
      </x:c>
      <x:c r="P884" s="22" t="str">
        <x:v>未提供（单期横截面）</x:v>
      </x:c>
      <x:c r="Q884" s="23" t="n">
        <x:v>3863</x:v>
      </x:c>
    </x:row>
    <x:row r="885">
      <x:c r="A885" s="30" t="n">
        <x:v>350500</x:v>
      </x:c>
      <x:c r="B885" s="22" t="str">
        <x:v>泉州市</x:v>
      </x:c>
      <x:c r="C885" s="31" t="n">
        <x:v>350504</x:v>
      </x:c>
      <x:c r="D885" s="22" t="str">
        <x:v>洛江区</x:v>
      </x:c>
      <x:c r="E885" s="22" t="str">
        <x:v>建设用地</x:v>
      </x:c>
      <x:c r="F885" s="22" t="str">
        <x:v>工矿仓储用地</x:v>
      </x:c>
      <x:c r="G885" s="32" t="str">
        <x:v>601</x:v>
      </x:c>
      <x:c r="H885" s="32" t="str">
        <x:v>601</x:v>
      </x:c>
      <x:c r="I885" s="22" t="str">
        <x:v>工业用地</x:v>
      </x:c>
      <x:c r="J885" s="22" t="str">
        <x:v>产业功能</x:v>
      </x:c>
      <x:c r="K885" s="32" t="str">
        <x:v>201A</x:v>
      </x:c>
      <x:c r="L885" s="22" t="str">
        <x:v>城市独立工业用地</x:v>
      </x:c>
      <x:c r="M885" s="33" t="n">
        <x:v>12023.189999999999</x:v>
      </x:c>
      <x:c r="N885" s="33" t="n">
        <x:v>1.202319</x:v>
      </x:c>
      <x:c r="O885" s="22" t="str">
        <x:v>公顷</x:v>
      </x:c>
      <x:c r="P885" s="22" t="str">
        <x:v>未提供（单期横截面）</x:v>
      </x:c>
      <x:c r="Q885" s="23" t="n">
        <x:v>3864</x:v>
      </x:c>
    </x:row>
    <x:row r="886">
      <x:c r="A886" s="30" t="n">
        <x:v>350500</x:v>
      </x:c>
      <x:c r="B886" s="22" t="str">
        <x:v>泉州市</x:v>
      </x:c>
      <x:c r="C886" s="31" t="n">
        <x:v>350504</x:v>
      </x:c>
      <x:c r="D886" s="22" t="str">
        <x:v>洛江区</x:v>
      </x:c>
      <x:c r="E886" s="22" t="str">
        <x:v>建设用地</x:v>
      </x:c>
      <x:c r="F886" s="22" t="str">
        <x:v>工矿仓储用地</x:v>
      </x:c>
      <x:c r="G886" s="32" t="str">
        <x:v>508</x:v>
      </x:c>
      <x:c r="H886" s="32" t="str">
        <x:v>508</x:v>
      </x:c>
      <x:c r="I886" s="22" t="str">
        <x:v>物流仓储用地</x:v>
      </x:c>
      <x:c r="J886" s="22" t="str">
        <x:v>产业功能</x:v>
      </x:c>
      <x:c r="K886" s="32" t="str">
        <x:v>202</x:v>
      </x:c>
      <x:c r="L886" s="22" t="str">
        <x:v>建制镇范围</x:v>
      </x:c>
      <x:c r="M886" s="33" t="n">
        <x:v>156997.61000000002</x:v>
      </x:c>
      <x:c r="N886" s="33" t="n">
        <x:v>15.699761000000002</x:v>
      </x:c>
      <x:c r="O886" s="22" t="str">
        <x:v>公顷</x:v>
      </x:c>
      <x:c r="P886" s="22" t="str">
        <x:v>未提供（单期横截面）</x:v>
      </x:c>
      <x:c r="Q886" s="23" t="n">
        <x:v>3865</x:v>
      </x:c>
    </x:row>
    <x:row r="887">
      <x:c r="A887" s="30" t="n">
        <x:v>350500</x:v>
      </x:c>
      <x:c r="B887" s="22" t="str">
        <x:v>泉州市</x:v>
      </x:c>
      <x:c r="C887" s="31" t="n">
        <x:v>350504</x:v>
      </x:c>
      <x:c r="D887" s="22" t="str">
        <x:v>洛江区</x:v>
      </x:c>
      <x:c r="E887" s="22" t="str">
        <x:v>建设用地</x:v>
      </x:c>
      <x:c r="F887" s="22" t="str">
        <x:v>商业服务业用地</x:v>
      </x:c>
      <x:c r="G887" s="32" t="str">
        <x:v>05H1</x:v>
      </x:c>
      <x:c r="H887" s="32" t="str">
        <x:v>05H1</x:v>
      </x:c>
      <x:c r="I887" s="22" t="str">
        <x:v>商业服务业设施用地</x:v>
      </x:c>
      <x:c r="J887" s="22" t="str">
        <x:v>商业服务</x:v>
      </x:c>
      <x:c r="K887" s="32" t="str">
        <x:v>202</x:v>
      </x:c>
      <x:c r="L887" s="22" t="str">
        <x:v>建制镇范围</x:v>
      </x:c>
      <x:c r="M887" s="33" t="n">
        <x:v>358357.8300000001</x:v>
      </x:c>
      <x:c r="N887" s="33" t="n">
        <x:v>35.835783000000006</x:v>
      </x:c>
      <x:c r="O887" s="22" t="str">
        <x:v>公顷</x:v>
      </x:c>
      <x:c r="P887" s="22" t="str">
        <x:v>未提供（单期横截面）</x:v>
      </x:c>
      <x:c r="Q887" s="23" t="n">
        <x:v>3866</x:v>
      </x:c>
    </x:row>
    <x:row r="888">
      <x:c r="A888" s="30" t="n">
        <x:v>350500</x:v>
      </x:c>
      <x:c r="B888" s="22" t="str">
        <x:v>泉州市</x:v>
      </x:c>
      <x:c r="C888" s="31" t="n">
        <x:v>350504</x:v>
      </x:c>
      <x:c r="D888" s="22" t="str">
        <x:v>洛江区</x:v>
      </x:c>
      <x:c r="E888" s="22" t="str">
        <x:v>建设用地</x:v>
      </x:c>
      <x:c r="F888" s="22" t="str">
        <x:v>工矿仓储用地</x:v>
      </x:c>
      <x:c r="G888" s="32" t="str">
        <x:v>601</x:v>
      </x:c>
      <x:c r="H888" s="32" t="str">
        <x:v>601</x:v>
      </x:c>
      <x:c r="I888" s="22" t="str">
        <x:v>工业用地</x:v>
      </x:c>
      <x:c r="J888" s="22" t="str">
        <x:v>产业功能</x:v>
      </x:c>
      <x:c r="K888" s="32" t="str">
        <x:v>202</x:v>
      </x:c>
      <x:c r="L888" s="22" t="str">
        <x:v>建制镇范围</x:v>
      </x:c>
      <x:c r="M888" s="33" t="n">
        <x:v>5281942.84</x:v>
      </x:c>
      <x:c r="N888" s="33" t="n">
        <x:v>528.194284</x:v>
      </x:c>
      <x:c r="O888" s="22" t="str">
        <x:v>公顷</x:v>
      </x:c>
      <x:c r="P888" s="22" t="str">
        <x:v>未提供（单期横截面）</x:v>
      </x:c>
      <x:c r="Q888" s="23" t="n">
        <x:v>3867</x:v>
      </x:c>
    </x:row>
    <x:row r="889">
      <x:c r="A889" s="30" t="n">
        <x:v>350500</x:v>
      </x:c>
      <x:c r="B889" s="22" t="str">
        <x:v>泉州市</x:v>
      </x:c>
      <x:c r="C889" s="31" t="n">
        <x:v>350504</x:v>
      </x:c>
      <x:c r="D889" s="22" t="str">
        <x:v>洛江区</x:v>
      </x:c>
      <x:c r="E889" s="22" t="str">
        <x:v>建设用地</x:v>
      </x:c>
      <x:c r="F889" s="22" t="str">
        <x:v>居住用地</x:v>
      </x:c>
      <x:c r="G889" s="32" t="str">
        <x:v>701</x:v>
      </x:c>
      <x:c r="H889" s="32" t="str">
        <x:v>701</x:v>
      </x:c>
      <x:c r="I889" s="22" t="str">
        <x:v>城镇住宅用地</x:v>
      </x:c>
      <x:c r="J889" s="22" t="str">
        <x:v>居住功能</x:v>
      </x:c>
      <x:c r="K889" s="32" t="str">
        <x:v>202</x:v>
      </x:c>
      <x:c r="L889" s="22" t="str">
        <x:v>建制镇范围</x:v>
      </x:c>
      <x:c r="M889" s="33" t="n">
        <x:v>3782387.1300000004</x:v>
      </x:c>
      <x:c r="N889" s="33" t="n">
        <x:v>378.238713</x:v>
      </x:c>
      <x:c r="O889" s="22" t="str">
        <x:v>公顷</x:v>
      </x:c>
      <x:c r="P889" s="22" t="str">
        <x:v>未提供（单期横截面）</x:v>
      </x:c>
      <x:c r="Q889" s="23" t="n">
        <x:v>3868</x:v>
      </x:c>
    </x:row>
    <x:row r="890">
      <x:c r="A890" s="30" t="n">
        <x:v>350500</x:v>
      </x:c>
      <x:c r="B890" s="22" t="str">
        <x:v>泉州市</x:v>
      </x:c>
      <x:c r="C890" s="31" t="n">
        <x:v>350504</x:v>
      </x:c>
      <x:c r="D890" s="22" t="str">
        <x:v>洛江区</x:v>
      </x:c>
      <x:c r="E890" s="22" t="str">
        <x:v>建设用地</x:v>
      </x:c>
      <x:c r="F890" s="22" t="str">
        <x:v>居住用地</x:v>
      </x:c>
      <x:c r="G890" s="32" t="str">
        <x:v>702</x:v>
      </x:c>
      <x:c r="H890" s="32" t="str">
        <x:v>702</x:v>
      </x:c>
      <x:c r="I890" s="22" t="str">
        <x:v>农村宅基地</x:v>
      </x:c>
      <x:c r="J890" s="22" t="str">
        <x:v>居住功能</x:v>
      </x:c>
      <x:c r="K890" s="32" t="str">
        <x:v>202</x:v>
      </x:c>
      <x:c r="L890" s="22" t="str">
        <x:v>建制镇范围</x:v>
      </x:c>
      <x:c r="M890" s="33" t="n">
        <x:v>1199948.11</x:v>
      </x:c>
      <x:c r="N890" s="33" t="n">
        <x:v>119.99481100000001</x:v>
      </x:c>
      <x:c r="O890" s="22" t="str">
        <x:v>公顷</x:v>
      </x:c>
      <x:c r="P890" s="22" t="str">
        <x:v>未提供（单期横截面）</x:v>
      </x:c>
      <x:c r="Q890" s="23" t="n">
        <x:v>3869</x:v>
      </x:c>
    </x:row>
    <x:row r="891">
      <x:c r="A891" s="30" t="n">
        <x:v>350500</x:v>
      </x:c>
      <x:c r="B891" s="22" t="str">
        <x:v>泉州市</x:v>
      </x:c>
      <x:c r="C891" s="31" t="n">
        <x:v>350504</x:v>
      </x:c>
      <x:c r="D891" s="22" t="str">
        <x:v>洛江区</x:v>
      </x:c>
      <x:c r="E891" s="22" t="str">
        <x:v>建设用地</x:v>
      </x:c>
      <x:c r="F891" s="22" t="str">
        <x:v>公用设施用地</x:v>
      </x:c>
      <x:c r="G891" s="32" t="str">
        <x:v>809</x:v>
      </x:c>
      <x:c r="H891" s="32" t="str">
        <x:v>809</x:v>
      </x:c>
      <x:c r="I891" s="22" t="str">
        <x:v>公用设施用地</x:v>
      </x:c>
      <x:c r="J891" s="22" t="str">
        <x:v>其他建设</x:v>
      </x:c>
      <x:c r="K891" s="32" t="str">
        <x:v>202</x:v>
      </x:c>
      <x:c r="L891" s="22" t="str">
        <x:v>建制镇范围</x:v>
      </x:c>
      <x:c r="M891" s="33" t="n">
        <x:v>59143.18000000001</x:v>
      </x:c>
      <x:c r="N891" s="33" t="n">
        <x:v>5.914318000000001</x:v>
      </x:c>
      <x:c r="O891" s="22" t="str">
        <x:v>公顷</x:v>
      </x:c>
      <x:c r="P891" s="22" t="str">
        <x:v>未提供（单期横截面）</x:v>
      </x:c>
      <x:c r="Q891" s="23" t="n">
        <x:v>3870</x:v>
      </x:c>
    </x:row>
    <x:row r="892">
      <x:c r="A892" s="30" t="n">
        <x:v>350500</x:v>
      </x:c>
      <x:c r="B892" s="22" t="str">
        <x:v>泉州市</x:v>
      </x:c>
      <x:c r="C892" s="31" t="n">
        <x:v>350504</x:v>
      </x:c>
      <x:c r="D892" s="22" t="str">
        <x:v>洛江区</x:v>
      </x:c>
      <x:c r="E892" s="22" t="str">
        <x:v>建设用地</x:v>
      </x:c>
      <x:c r="F892" s="22" t="str">
        <x:v>绿地与广场用地</x:v>
      </x:c>
      <x:c r="G892" s="32" t="str">
        <x:v>810</x:v>
      </x:c>
      <x:c r="H892" s="32" t="str">
        <x:v>810</x:v>
      </x:c>
      <x:c r="I892" s="22" t="str">
        <x:v>公园与绿地</x:v>
      </x:c>
      <x:c r="J892" s="22" t="str">
        <x:v>公共空间</x:v>
      </x:c>
      <x:c r="K892" s="32" t="str">
        <x:v>202</x:v>
      </x:c>
      <x:c r="L892" s="22" t="str">
        <x:v>建制镇范围</x:v>
      </x:c>
      <x:c r="M892" s="33" t="n">
        <x:v>21865.73</x:v>
      </x:c>
      <x:c r="N892" s="33" t="n">
        <x:v>2.186573</x:v>
      </x:c>
      <x:c r="O892" s="22" t="str">
        <x:v>公顷</x:v>
      </x:c>
      <x:c r="P892" s="22" t="str">
        <x:v>未提供（单期横截面）</x:v>
      </x:c>
      <x:c r="Q892" s="23" t="n">
        <x:v>3871</x:v>
      </x:c>
    </x:row>
    <x:row r="893">
      <x:c r="A893" s="30" t="n">
        <x:v>350500</x:v>
      </x:c>
      <x:c r="B893" s="22" t="str">
        <x:v>泉州市</x:v>
      </x:c>
      <x:c r="C893" s="31" t="n">
        <x:v>350504</x:v>
      </x:c>
      <x:c r="D893" s="22" t="str">
        <x:v>洛江区</x:v>
      </x:c>
      <x:c r="E893" s="22" t="str">
        <x:v>建设用地</x:v>
      </x:c>
      <x:c r="F893" s="22" t="str">
        <x:v>公共管理与公共服务用地</x:v>
      </x:c>
      <x:c r="G893" s="32" t="str">
        <x:v>08H1</x:v>
      </x:c>
      <x:c r="H893" s="32" t="str">
        <x:v>08H1</x:v>
      </x:c>
      <x:c r="I893" s="22" t="str">
        <x:v>机关团体新闻出版用地</x:v>
      </x:c>
      <x:c r="J893" s="22" t="str">
        <x:v>公共服务</x:v>
      </x:c>
      <x:c r="K893" s="32" t="str">
        <x:v>202</x:v>
      </x:c>
      <x:c r="L893" s="22" t="str">
        <x:v>建制镇范围</x:v>
      </x:c>
      <x:c r="M893" s="33" t="n">
        <x:v>119388.22999999997</x:v>
      </x:c>
      <x:c r="N893" s="33" t="n">
        <x:v>11.938822999999998</x:v>
      </x:c>
      <x:c r="O893" s="22" t="str">
        <x:v>公顷</x:v>
      </x:c>
      <x:c r="P893" s="22" t="str">
        <x:v>未提供（单期横截面）</x:v>
      </x:c>
      <x:c r="Q893" s="23" t="n">
        <x:v>3872</x:v>
      </x:c>
    </x:row>
    <x:row r="894">
      <x:c r="A894" s="30" t="n">
        <x:v>350500</x:v>
      </x:c>
      <x:c r="B894" s="22" t="str">
        <x:v>泉州市</x:v>
      </x:c>
      <x:c r="C894" s="31" t="n">
        <x:v>350504</x:v>
      </x:c>
      <x:c r="D894" s="22" t="str">
        <x:v>洛江区</x:v>
      </x:c>
      <x:c r="E894" s="22" t="str">
        <x:v>建设用地</x:v>
      </x:c>
      <x:c r="F894" s="22" t="str">
        <x:v>公共管理与公共服务用地</x:v>
      </x:c>
      <x:c r="G894" s="32" t="str">
        <x:v>08H2</x:v>
      </x:c>
      <x:c r="H894" s="32" t="str">
        <x:v>08H2</x:v>
      </x:c>
      <x:c r="I894" s="22" t="str">
        <x:v>科教文卫用地</x:v>
      </x:c>
      <x:c r="J894" s="22" t="str">
        <x:v>公共服务</x:v>
      </x:c>
      <x:c r="K894" s="32" t="str">
        <x:v>202</x:v>
      </x:c>
      <x:c r="L894" s="22" t="str">
        <x:v>建制镇范围</x:v>
      </x:c>
      <x:c r="M894" s="33" t="n">
        <x:v>1198083.5299999998</x:v>
      </x:c>
      <x:c r="N894" s="33" t="n">
        <x:v>119.80835299999998</x:v>
      </x:c>
      <x:c r="O894" s="22" t="str">
        <x:v>公顷</x:v>
      </x:c>
      <x:c r="P894" s="22" t="str">
        <x:v>未提供（单期横截面）</x:v>
      </x:c>
      <x:c r="Q894" s="23" t="n">
        <x:v>3873</x:v>
      </x:c>
    </x:row>
    <x:row r="895">
      <x:c r="A895" s="30" t="n">
        <x:v>350500</x:v>
      </x:c>
      <x:c r="B895" s="22" t="str">
        <x:v>泉州市</x:v>
      </x:c>
      <x:c r="C895" s="31" t="n">
        <x:v>350504</x:v>
      </x:c>
      <x:c r="D895" s="22" t="str">
        <x:v>洛江区</x:v>
      </x:c>
      <x:c r="E895" s="22" t="str">
        <x:v>建设用地</x:v>
      </x:c>
      <x:c r="F895" s="22" t="str">
        <x:v>公共管理与公共服务用地</x:v>
      </x:c>
      <x:c r="G895" s="32" t="str">
        <x:v>08H2A</x:v>
      </x:c>
      <x:c r="H895" s="32" t="str">
        <x:v>08H2</x:v>
      </x:c>
      <x:c r="I895" s="22" t="str">
        <x:v>高教用地</x:v>
      </x:c>
      <x:c r="J895" s="22" t="str">
        <x:v>公共服务</x:v>
      </x:c>
      <x:c r="K895" s="32" t="str">
        <x:v>202</x:v>
      </x:c>
      <x:c r="L895" s="22" t="str">
        <x:v>建制镇范围</x:v>
      </x:c>
      <x:c r="M895" s="33" t="n">
        <x:v>1006455.84</x:v>
      </x:c>
      <x:c r="N895" s="33" t="n">
        <x:v>100.645584</x:v>
      </x:c>
      <x:c r="O895" s="22" t="str">
        <x:v>公顷</x:v>
      </x:c>
      <x:c r="P895" s="22" t="str">
        <x:v>未提供（单期横截面）</x:v>
      </x:c>
      <x:c r="Q895" s="23" t="n">
        <x:v>3874</x:v>
      </x:c>
    </x:row>
    <x:row r="896">
      <x:c r="A896" s="30" t="n">
        <x:v>350500</x:v>
      </x:c>
      <x:c r="B896" s="22" t="str">
        <x:v>泉州市</x:v>
      </x:c>
      <x:c r="C896" s="31" t="n">
        <x:v>350504</x:v>
      </x:c>
      <x:c r="D896" s="22" t="str">
        <x:v>洛江区</x:v>
      </x:c>
      <x:c r="E896" s="22" t="str">
        <x:v>建设用地</x:v>
      </x:c>
      <x:c r="F896" s="22" t="str">
        <x:v>特殊用地</x:v>
      </x:c>
      <x:c r="G896" s="32" t="str">
        <x:v>9</x:v>
      </x:c>
      <x:c r="H896" s="32" t="str">
        <x:v>9</x:v>
      </x:c>
      <x:c r="I896" s="22" t="str">
        <x:v>特殊用地</x:v>
      </x:c>
      <x:c r="J896" s="22" t="str">
        <x:v>其他建设</x:v>
      </x:c>
      <x:c r="K896" s="32" t="str">
        <x:v>202</x:v>
      </x:c>
      <x:c r="L896" s="22" t="str">
        <x:v>建制镇范围</x:v>
      </x:c>
      <x:c r="M896" s="33" t="n">
        <x:v>75804.99</x:v>
      </x:c>
      <x:c r="N896" s="33" t="n">
        <x:v>7.5804990000000005</x:v>
      </x:c>
      <x:c r="O896" s="22" t="str">
        <x:v>公顷</x:v>
      </x:c>
      <x:c r="P896" s="22" t="str">
        <x:v>未提供（单期横截面）</x:v>
      </x:c>
      <x:c r="Q896" s="23" t="n">
        <x:v>3875</x:v>
      </x:c>
    </x:row>
    <x:row r="897">
      <x:c r="A897" s="30" t="n">
        <x:v>350500</x:v>
      </x:c>
      <x:c r="B897" s="22" t="str">
        <x:v>泉州市</x:v>
      </x:c>
      <x:c r="C897" s="31" t="n">
        <x:v>350504</x:v>
      </x:c>
      <x:c r="D897" s="22" t="str">
        <x:v>洛江区</x:v>
      </x:c>
      <x:c r="E897" s="22" t="str">
        <x:v>建设用地</x:v>
      </x:c>
      <x:c r="F897" s="22" t="str">
        <x:v>交通运输用地</x:v>
      </x:c>
      <x:c r="G897" s="32" t="str">
        <x:v>1001</x:v>
      </x:c>
      <x:c r="H897" s="32" t="str">
        <x:v>1001</x:v>
      </x:c>
      <x:c r="I897" s="22" t="str">
        <x:v>铁路用地</x:v>
      </x:c>
      <x:c r="J897" s="22" t="str">
        <x:v>交通门户</x:v>
      </x:c>
      <x:c r="K897" s="32" t="str">
        <x:v>202</x:v>
      </x:c>
      <x:c r="L897" s="22" t="str">
        <x:v>建制镇范围</x:v>
      </x:c>
      <x:c r="M897" s="33" t="n">
        <x:v>4158.3</x:v>
      </x:c>
      <x:c r="N897" s="33" t="n">
        <x:v>0.41583000000000003</x:v>
      </x:c>
      <x:c r="O897" s="22" t="str">
        <x:v>公顷</x:v>
      </x:c>
      <x:c r="P897" s="22" t="str">
        <x:v>未提供（单期横截面）</x:v>
      </x:c>
      <x:c r="Q897" s="23" t="n">
        <x:v>3876</x:v>
      </x:c>
    </x:row>
    <x:row r="898">
      <x:c r="A898" s="30" t="n">
        <x:v>350500</x:v>
      </x:c>
      <x:c r="B898" s="22" t="str">
        <x:v>泉州市</x:v>
      </x:c>
      <x:c r="C898" s="31" t="n">
        <x:v>350504</x:v>
      </x:c>
      <x:c r="D898" s="22" t="str">
        <x:v>洛江区</x:v>
      </x:c>
      <x:c r="E898" s="22" t="str">
        <x:v>建设用地</x:v>
      </x:c>
      <x:c r="F898" s="22" t="str">
        <x:v>交通运输用地</x:v>
      </x:c>
      <x:c r="G898" s="32" t="str">
        <x:v>1004</x:v>
      </x:c>
      <x:c r="H898" s="32" t="str">
        <x:v>1004</x:v>
      </x:c>
      <x:c r="I898" s="22" t="str">
        <x:v>城镇村道路用地</x:v>
      </x:c>
      <x:c r="J898" s="22" t="str">
        <x:v>交通门户</x:v>
      </x:c>
      <x:c r="K898" s="32" t="str">
        <x:v>202</x:v>
      </x:c>
      <x:c r="L898" s="22" t="str">
        <x:v>建制镇范围</x:v>
      </x:c>
      <x:c r="M898" s="33" t="n">
        <x:v>475251.38999999955</x:v>
      </x:c>
      <x:c r="N898" s="33" t="n">
        <x:v>47.52513899999995</x:v>
      </x:c>
      <x:c r="O898" s="22" t="str">
        <x:v>公顷</x:v>
      </x:c>
      <x:c r="P898" s="22" t="str">
        <x:v>未提供（单期横截面）</x:v>
      </x:c>
      <x:c r="Q898" s="23" t="n">
        <x:v>3877</x:v>
      </x:c>
    </x:row>
    <x:row r="899">
      <x:c r="A899" s="30" t="n">
        <x:v>350500</x:v>
      </x:c>
      <x:c r="B899" s="22" t="str">
        <x:v>泉州市</x:v>
      </x:c>
      <x:c r="C899" s="31" t="n">
        <x:v>350504</x:v>
      </x:c>
      <x:c r="D899" s="22" t="str">
        <x:v>洛江区</x:v>
      </x:c>
      <x:c r="E899" s="22" t="str">
        <x:v>建设用地</x:v>
      </x:c>
      <x:c r="F899" s="22" t="str">
        <x:v>交通运输用地</x:v>
      </x:c>
      <x:c r="G899" s="32" t="str">
        <x:v>1005</x:v>
      </x:c>
      <x:c r="H899" s="32" t="str">
        <x:v>1005</x:v>
      </x:c>
      <x:c r="I899" s="22" t="str">
        <x:v>交通服务场站用地</x:v>
      </x:c>
      <x:c r="J899" s="22" t="str">
        <x:v>交通门户</x:v>
      </x:c>
      <x:c r="K899" s="32" t="str">
        <x:v>202</x:v>
      </x:c>
      <x:c r="L899" s="22" t="str">
        <x:v>建制镇范围</x:v>
      </x:c>
      <x:c r="M899" s="33" t="n">
        <x:v>111286.12000000002</x:v>
      </x:c>
      <x:c r="N899" s="33" t="n">
        <x:v>11.128612000000002</x:v>
      </x:c>
      <x:c r="O899" s="22" t="str">
        <x:v>公顷</x:v>
      </x:c>
      <x:c r="P899" s="22" t="str">
        <x:v>未提供（单期横截面）</x:v>
      </x:c>
      <x:c r="Q899" s="23" t="n">
        <x:v>3878</x:v>
      </x:c>
    </x:row>
    <x:row r="900">
      <x:c r="A900" s="30" t="n">
        <x:v>350500</x:v>
      </x:c>
      <x:c r="B900" s="22" t="str">
        <x:v>泉州市</x:v>
      </x:c>
      <x:c r="C900" s="31" t="n">
        <x:v>350504</x:v>
      </x:c>
      <x:c r="D900" s="22" t="str">
        <x:v>洛江区</x:v>
      </x:c>
      <x:c r="E900" s="22" t="str">
        <x:v>建设用地</x:v>
      </x:c>
      <x:c r="F900" s="22" t="str">
        <x:v>水域及水利设施</x:v>
      </x:c>
      <x:c r="G900" s="32" t="str">
        <x:v>1109</x:v>
      </x:c>
      <x:c r="H900" s="32" t="str">
        <x:v>1109</x:v>
      </x:c>
      <x:c r="I900" s="22" t="str">
        <x:v>水工建筑用地</x:v>
      </x:c>
      <x:c r="J900" s="22" t="str">
        <x:v>其他建设</x:v>
      </x:c>
      <x:c r="K900" s="32" t="str">
        <x:v>202</x:v>
      </x:c>
      <x:c r="L900" s="22" t="str">
        <x:v>建制镇范围</x:v>
      </x:c>
      <x:c r="M900" s="33" t="n">
        <x:v>951.15</x:v>
      </x:c>
      <x:c r="N900" s="33" t="n">
        <x:v>0.09511499999999999</x:v>
      </x:c>
      <x:c r="O900" s="22" t="str">
        <x:v>公顷</x:v>
      </x:c>
      <x:c r="P900" s="22" t="str">
        <x:v>未提供（单期横截面）</x:v>
      </x:c>
      <x:c r="Q900" s="23" t="n">
        <x:v>3879</x:v>
      </x:c>
    </x:row>
    <x:row r="901">
      <x:c r="A901" s="30" t="n">
        <x:v>350500</x:v>
      </x:c>
      <x:c r="B901" s="22" t="str">
        <x:v>泉州市</x:v>
      </x:c>
      <x:c r="C901" s="31" t="n">
        <x:v>350504</x:v>
      </x:c>
      <x:c r="D901" s="22" t="str">
        <x:v>洛江区</x:v>
      </x:c>
      <x:c r="E901" s="22" t="str">
        <x:v>建设用地</x:v>
      </x:c>
      <x:c r="F901" s="22" t="str">
        <x:v>其他建设用地</x:v>
      </x:c>
      <x:c r="G901" s="32" t="str">
        <x:v>1201</x:v>
      </x:c>
      <x:c r="H901" s="32" t="str">
        <x:v>1201</x:v>
      </x:c>
      <x:c r="I901" s="22" t="str">
        <x:v>空闲地</x:v>
      </x:c>
      <x:c r="J901" s="22" t="str">
        <x:v>其他建设</x:v>
      </x:c>
      <x:c r="K901" s="32" t="str">
        <x:v>202</x:v>
      </x:c>
      <x:c r="L901" s="22" t="str">
        <x:v>建制镇范围</x:v>
      </x:c>
      <x:c r="M901" s="33" t="n">
        <x:v>3420.35</x:v>
      </x:c>
      <x:c r="N901" s="33" t="n">
        <x:v>0.342035</x:v>
      </x:c>
      <x:c r="O901" s="22" t="str">
        <x:v>公顷</x:v>
      </x:c>
      <x:c r="P901" s="22" t="str">
        <x:v>未提供（单期横截面）</x:v>
      </x:c>
      <x:c r="Q901" s="23" t="n">
        <x:v>3880</x:v>
      </x:c>
    </x:row>
    <x:row r="902">
      <x:c r="A902" s="30" t="n">
        <x:v>350500</x:v>
      </x:c>
      <x:c r="B902" s="22" t="str">
        <x:v>泉州市</x:v>
      </x:c>
      <x:c r="C902" s="31" t="n">
        <x:v>350504</x:v>
      </x:c>
      <x:c r="D902" s="22" t="str">
        <x:v>洛江区</x:v>
      </x:c>
      <x:c r="E902" s="22" t="str">
        <x:v>建设用地</x:v>
      </x:c>
      <x:c r="F902" s="22" t="str">
        <x:v>工矿仓储用地</x:v>
      </x:c>
      <x:c r="G902" s="32" t="str">
        <x:v>601</x:v>
      </x:c>
      <x:c r="H902" s="32" t="str">
        <x:v>601</x:v>
      </x:c>
      <x:c r="I902" s="22" t="str">
        <x:v>工业用地</x:v>
      </x:c>
      <x:c r="J902" s="22" t="str">
        <x:v>产业功能</x:v>
      </x:c>
      <x:c r="K902" s="32" t="str">
        <x:v>202A</x:v>
      </x:c>
      <x:c r="L902" s="22" t="str">
        <x:v>建制镇独立工业用地</x:v>
      </x:c>
      <x:c r="M902" s="33" t="n">
        <x:v>5997.6</x:v>
      </x:c>
      <x:c r="N902" s="33" t="n">
        <x:v>0.5997600000000001</x:v>
      </x:c>
      <x:c r="O902" s="22" t="str">
        <x:v>公顷</x:v>
      </x:c>
      <x:c r="P902" s="22" t="str">
        <x:v>未提供（单期横截面）</x:v>
      </x:c>
      <x:c r="Q902" s="23" t="n">
        <x:v>3881</x:v>
      </x:c>
    </x:row>
    <x:row r="903">
      <x:c r="A903" s="30" t="n">
        <x:v>350500</x:v>
      </x:c>
      <x:c r="B903" s="22" t="str">
        <x:v>泉州市</x:v>
      </x:c>
      <x:c r="C903" s="31" t="n">
        <x:v>350504</x:v>
      </x:c>
      <x:c r="D903" s="22" t="str">
        <x:v>洛江区</x:v>
      </x:c>
      <x:c r="E903" s="22" t="str">
        <x:v>建设用地</x:v>
      </x:c>
      <x:c r="F903" s="22" t="str">
        <x:v>工矿仓储用地</x:v>
      </x:c>
      <x:c r="G903" s="32" t="str">
        <x:v>508</x:v>
      </x:c>
      <x:c r="H903" s="32" t="str">
        <x:v>508</x:v>
      </x:c>
      <x:c r="I903" s="22" t="str">
        <x:v>物流仓储用地</x:v>
      </x:c>
      <x:c r="J903" s="22" t="str">
        <x:v>产业功能</x:v>
      </x:c>
      <x:c r="K903" s="32" t="str">
        <x:v>203</x:v>
      </x:c>
      <x:c r="L903" s="22" t="str">
        <x:v>村庄范围</x:v>
      </x:c>
      <x:c r="M903" s="33" t="n">
        <x:v>332154.61000000004</x:v>
      </x:c>
      <x:c r="N903" s="33" t="n">
        <x:v>33.215461000000005</x:v>
      </x:c>
      <x:c r="O903" s="22" t="str">
        <x:v>公顷</x:v>
      </x:c>
      <x:c r="P903" s="22" t="str">
        <x:v>未提供（单期横截面）</x:v>
      </x:c>
      <x:c r="Q903" s="23" t="n">
        <x:v>3882</x:v>
      </x:c>
    </x:row>
    <x:row r="904">
      <x:c r="A904" s="30" t="n">
        <x:v>350500</x:v>
      </x:c>
      <x:c r="B904" s="22" t="str">
        <x:v>泉州市</x:v>
      </x:c>
      <x:c r="C904" s="31" t="n">
        <x:v>350504</x:v>
      </x:c>
      <x:c r="D904" s="22" t="str">
        <x:v>洛江区</x:v>
      </x:c>
      <x:c r="E904" s="22" t="str">
        <x:v>建设用地</x:v>
      </x:c>
      <x:c r="F904" s="22" t="str">
        <x:v>商业服务业用地</x:v>
      </x:c>
      <x:c r="G904" s="32" t="str">
        <x:v>05H1</x:v>
      </x:c>
      <x:c r="H904" s="32" t="str">
        <x:v>05H1</x:v>
      </x:c>
      <x:c r="I904" s="22" t="str">
        <x:v>商业服务业设施用地</x:v>
      </x:c>
      <x:c r="J904" s="22" t="str">
        <x:v>商业服务</x:v>
      </x:c>
      <x:c r="K904" s="32" t="str">
        <x:v>203</x:v>
      </x:c>
      <x:c r="L904" s="22" t="str">
        <x:v>村庄范围</x:v>
      </x:c>
      <x:c r="M904" s="33" t="n">
        <x:v>366168.3999999999</x:v>
      </x:c>
      <x:c r="N904" s="33" t="n">
        <x:v>36.61683999999999</x:v>
      </x:c>
      <x:c r="O904" s="22" t="str">
        <x:v>公顷</x:v>
      </x:c>
      <x:c r="P904" s="22" t="str">
        <x:v>未提供（单期横截面）</x:v>
      </x:c>
      <x:c r="Q904" s="23" t="n">
        <x:v>3883</x:v>
      </x:c>
    </x:row>
    <x:row r="905">
      <x:c r="A905" s="30" t="n">
        <x:v>350500</x:v>
      </x:c>
      <x:c r="B905" s="22" t="str">
        <x:v>泉州市</x:v>
      </x:c>
      <x:c r="C905" s="31" t="n">
        <x:v>350504</x:v>
      </x:c>
      <x:c r="D905" s="22" t="str">
        <x:v>洛江区</x:v>
      </x:c>
      <x:c r="E905" s="22" t="str">
        <x:v>建设用地</x:v>
      </x:c>
      <x:c r="F905" s="22" t="str">
        <x:v>工矿仓储用地</x:v>
      </x:c>
      <x:c r="G905" s="32" t="str">
        <x:v>601</x:v>
      </x:c>
      <x:c r="H905" s="32" t="str">
        <x:v>601</x:v>
      </x:c>
      <x:c r="I905" s="22" t="str">
        <x:v>工业用地</x:v>
      </x:c>
      <x:c r="J905" s="22" t="str">
        <x:v>产业功能</x:v>
      </x:c>
      <x:c r="K905" s="32" t="str">
        <x:v>203</x:v>
      </x:c>
      <x:c r="L905" s="22" t="str">
        <x:v>村庄范围</x:v>
      </x:c>
      <x:c r="M905" s="33" t="n">
        <x:v>1402562.8600000013</x:v>
      </x:c>
      <x:c r="N905" s="33" t="n">
        <x:v>140.25628600000013</x:v>
      </x:c>
      <x:c r="O905" s="22" t="str">
        <x:v>公顷</x:v>
      </x:c>
      <x:c r="P905" s="22" t="str">
        <x:v>未提供（单期横截面）</x:v>
      </x:c>
      <x:c r="Q905" s="23" t="n">
        <x:v>3884</x:v>
      </x:c>
    </x:row>
    <x:row r="906">
      <x:c r="A906" s="30" t="n">
        <x:v>350500</x:v>
      </x:c>
      <x:c r="B906" s="22" t="str">
        <x:v>泉州市</x:v>
      </x:c>
      <x:c r="C906" s="31" t="n">
        <x:v>350504</x:v>
      </x:c>
      <x:c r="D906" s="22" t="str">
        <x:v>洛江区</x:v>
      </x:c>
      <x:c r="E906" s="22" t="str">
        <x:v>建设用地</x:v>
      </x:c>
      <x:c r="F906" s="22" t="str">
        <x:v>工矿仓储用地</x:v>
      </x:c>
      <x:c r="G906" s="32" t="str">
        <x:v>602</x:v>
      </x:c>
      <x:c r="H906" s="32" t="str">
        <x:v>602</x:v>
      </x:c>
      <x:c r="I906" s="22" t="str">
        <x:v>采矿用地</x:v>
      </x:c>
      <x:c r="J906" s="22" t="str">
        <x:v>产业功能</x:v>
      </x:c>
      <x:c r="K906" s="32" t="str">
        <x:v>203</x:v>
      </x:c>
      <x:c r="L906" s="22" t="str">
        <x:v>村庄范围</x:v>
      </x:c>
      <x:c r="M906" s="33" t="n">
        <x:v>15848.439999999999</x:v>
      </x:c>
      <x:c r="N906" s="33" t="n">
        <x:v>1.584844</x:v>
      </x:c>
      <x:c r="O906" s="22" t="str">
        <x:v>公顷</x:v>
      </x:c>
      <x:c r="P906" s="22" t="str">
        <x:v>未提供（单期横截面）</x:v>
      </x:c>
      <x:c r="Q906" s="23" t="n">
        <x:v>3885</x:v>
      </x:c>
    </x:row>
    <x:row r="907">
      <x:c r="A907" s="30" t="n">
        <x:v>350500</x:v>
      </x:c>
      <x:c r="B907" s="22" t="str">
        <x:v>泉州市</x:v>
      </x:c>
      <x:c r="C907" s="31" t="n">
        <x:v>350504</x:v>
      </x:c>
      <x:c r="D907" s="22" t="str">
        <x:v>洛江区</x:v>
      </x:c>
      <x:c r="E907" s="22" t="str">
        <x:v>建设用地</x:v>
      </x:c>
      <x:c r="F907" s="22" t="str">
        <x:v>居住用地</x:v>
      </x:c>
      <x:c r="G907" s="32" t="str">
        <x:v>701</x:v>
      </x:c>
      <x:c r="H907" s="32" t="str">
        <x:v>701</x:v>
      </x:c>
      <x:c r="I907" s="22" t="str">
        <x:v>城镇住宅用地</x:v>
      </x:c>
      <x:c r="J907" s="22" t="str">
        <x:v>居住功能</x:v>
      </x:c>
      <x:c r="K907" s="32" t="str">
        <x:v>203</x:v>
      </x:c>
      <x:c r="L907" s="22" t="str">
        <x:v>村庄范围</x:v>
      </x:c>
      <x:c r="M907" s="33" t="n">
        <x:v>13785.19</x:v>
      </x:c>
      <x:c r="N907" s="33" t="n">
        <x:v>1.378519</x:v>
      </x:c>
      <x:c r="O907" s="22" t="str">
        <x:v>公顷</x:v>
      </x:c>
      <x:c r="P907" s="22" t="str">
        <x:v>未提供（单期横截面）</x:v>
      </x:c>
      <x:c r="Q907" s="23" t="n">
        <x:v>3886</x:v>
      </x:c>
    </x:row>
    <x:row r="908">
      <x:c r="A908" s="30" t="n">
        <x:v>350500</x:v>
      </x:c>
      <x:c r="B908" s="22" t="str">
        <x:v>泉州市</x:v>
      </x:c>
      <x:c r="C908" s="31" t="n">
        <x:v>350504</x:v>
      </x:c>
      <x:c r="D908" s="22" t="str">
        <x:v>洛江区</x:v>
      </x:c>
      <x:c r="E908" s="22" t="str">
        <x:v>建设用地</x:v>
      </x:c>
      <x:c r="F908" s="22" t="str">
        <x:v>居住用地</x:v>
      </x:c>
      <x:c r="G908" s="32" t="str">
        <x:v>702</x:v>
      </x:c>
      <x:c r="H908" s="32" t="str">
        <x:v>702</x:v>
      </x:c>
      <x:c r="I908" s="22" t="str">
        <x:v>农村宅基地</x:v>
      </x:c>
      <x:c r="J908" s="22" t="str">
        <x:v>居住功能</x:v>
      </x:c>
      <x:c r="K908" s="32" t="str">
        <x:v>203</x:v>
      </x:c>
      <x:c r="L908" s="22" t="str">
        <x:v>村庄范围</x:v>
      </x:c>
      <x:c r="M908" s="33" t="n">
        <x:v>16975163.240000006</x:v>
      </x:c>
      <x:c r="N908" s="33" t="n">
        <x:v>1697.5163240000006</x:v>
      </x:c>
      <x:c r="O908" s="22" t="str">
        <x:v>公顷</x:v>
      </x:c>
      <x:c r="P908" s="22" t="str">
        <x:v>未提供（单期横截面）</x:v>
      </x:c>
      <x:c r="Q908" s="23" t="n">
        <x:v>3887</x:v>
      </x:c>
    </x:row>
    <x:row r="909">
      <x:c r="A909" s="30" t="n">
        <x:v>350500</x:v>
      </x:c>
      <x:c r="B909" s="22" t="str">
        <x:v>泉州市</x:v>
      </x:c>
      <x:c r="C909" s="31" t="n">
        <x:v>350504</x:v>
      </x:c>
      <x:c r="D909" s="22" t="str">
        <x:v>洛江区</x:v>
      </x:c>
      <x:c r="E909" s="22" t="str">
        <x:v>建设用地</x:v>
      </x:c>
      <x:c r="F909" s="22" t="str">
        <x:v>公用设施用地</x:v>
      </x:c>
      <x:c r="G909" s="32" t="str">
        <x:v>809</x:v>
      </x:c>
      <x:c r="H909" s="32" t="str">
        <x:v>809</x:v>
      </x:c>
      <x:c r="I909" s="22" t="str">
        <x:v>公用设施用地</x:v>
      </x:c>
      <x:c r="J909" s="22" t="str">
        <x:v>其他建设</x:v>
      </x:c>
      <x:c r="K909" s="32" t="str">
        <x:v>203</x:v>
      </x:c>
      <x:c r="L909" s="22" t="str">
        <x:v>村庄范围</x:v>
      </x:c>
      <x:c r="M909" s="33" t="n">
        <x:v>236682.58999999997</x:v>
      </x:c>
      <x:c r="N909" s="33" t="n">
        <x:v>23.668258999999995</x:v>
      </x:c>
      <x:c r="O909" s="22" t="str">
        <x:v>公顷</x:v>
      </x:c>
      <x:c r="P909" s="22" t="str">
        <x:v>未提供（单期横截面）</x:v>
      </x:c>
      <x:c r="Q909" s="23" t="n">
        <x:v>3888</x:v>
      </x:c>
    </x:row>
    <x:row r="910">
      <x:c r="A910" s="30" t="n">
        <x:v>350500</x:v>
      </x:c>
      <x:c r="B910" s="22" t="str">
        <x:v>泉州市</x:v>
      </x:c>
      <x:c r="C910" s="31" t="n">
        <x:v>350504</x:v>
      </x:c>
      <x:c r="D910" s="22" t="str">
        <x:v>洛江区</x:v>
      </x:c>
      <x:c r="E910" s="22" t="str">
        <x:v>建设用地</x:v>
      </x:c>
      <x:c r="F910" s="22" t="str">
        <x:v>绿地与广场用地</x:v>
      </x:c>
      <x:c r="G910" s="32" t="str">
        <x:v>810</x:v>
      </x:c>
      <x:c r="H910" s="32" t="str">
        <x:v>810</x:v>
      </x:c>
      <x:c r="I910" s="22" t="str">
        <x:v>公园与绿地</x:v>
      </x:c>
      <x:c r="J910" s="22" t="str">
        <x:v>公共空间</x:v>
      </x:c>
      <x:c r="K910" s="32" t="str">
        <x:v>203</x:v>
      </x:c>
      <x:c r="L910" s="22" t="str">
        <x:v>村庄范围</x:v>
      </x:c>
      <x:c r="M910" s="33" t="n">
        <x:v>167293.88999999998</x:v>
      </x:c>
      <x:c r="N910" s="33" t="n">
        <x:v>16.729388999999998</x:v>
      </x:c>
      <x:c r="O910" s="22" t="str">
        <x:v>公顷</x:v>
      </x:c>
      <x:c r="P910" s="22" t="str">
        <x:v>未提供（单期横截面）</x:v>
      </x:c>
      <x:c r="Q910" s="23" t="n">
        <x:v>3889</x:v>
      </x:c>
    </x:row>
    <x:row r="911">
      <x:c r="A911" s="30" t="n">
        <x:v>350500</x:v>
      </x:c>
      <x:c r="B911" s="22" t="str">
        <x:v>泉州市</x:v>
      </x:c>
      <x:c r="C911" s="31" t="n">
        <x:v>350504</x:v>
      </x:c>
      <x:c r="D911" s="22" t="str">
        <x:v>洛江区</x:v>
      </x:c>
      <x:c r="E911" s="22" t="str">
        <x:v>建设用地</x:v>
      </x:c>
      <x:c r="F911" s="22" t="str">
        <x:v>绿地与广场用地</x:v>
      </x:c>
      <x:c r="G911" s="32" t="str">
        <x:v>0810A</x:v>
      </x:c>
      <x:c r="H911" s="32" t="str">
        <x:v>0810</x:v>
      </x:c>
      <x:c r="I911" s="22" t="str">
        <x:v>广场用地</x:v>
      </x:c>
      <x:c r="J911" s="22" t="str">
        <x:v>公共空间</x:v>
      </x:c>
      <x:c r="K911" s="32" t="str">
        <x:v>203</x:v>
      </x:c>
      <x:c r="L911" s="22" t="str">
        <x:v>村庄范围</x:v>
      </x:c>
      <x:c r="M911" s="33" t="n">
        <x:v>6188.689999999999</x:v>
      </x:c>
      <x:c r="N911" s="33" t="n">
        <x:v>0.6188689999999999</x:v>
      </x:c>
      <x:c r="O911" s="22" t="str">
        <x:v>公顷</x:v>
      </x:c>
      <x:c r="P911" s="22" t="str">
        <x:v>未提供（单期横截面）</x:v>
      </x:c>
      <x:c r="Q911" s="23" t="n">
        <x:v>3890</x:v>
      </x:c>
    </x:row>
    <x:row r="912">
      <x:c r="A912" s="30" t="n">
        <x:v>350500</x:v>
      </x:c>
      <x:c r="B912" s="22" t="str">
        <x:v>泉州市</x:v>
      </x:c>
      <x:c r="C912" s="31" t="n">
        <x:v>350504</x:v>
      </x:c>
      <x:c r="D912" s="22" t="str">
        <x:v>洛江区</x:v>
      </x:c>
      <x:c r="E912" s="22" t="str">
        <x:v>建设用地</x:v>
      </x:c>
      <x:c r="F912" s="22" t="str">
        <x:v>公共管理与公共服务用地</x:v>
      </x:c>
      <x:c r="G912" s="32" t="str">
        <x:v>08H1</x:v>
      </x:c>
      <x:c r="H912" s="32" t="str">
        <x:v>08H1</x:v>
      </x:c>
      <x:c r="I912" s="22" t="str">
        <x:v>机关团体新闻出版用地</x:v>
      </x:c>
      <x:c r="J912" s="22" t="str">
        <x:v>公共服务</x:v>
      </x:c>
      <x:c r="K912" s="32" t="str">
        <x:v>203</x:v>
      </x:c>
      <x:c r="L912" s="22" t="str">
        <x:v>村庄范围</x:v>
      </x:c>
      <x:c r="M912" s="33" t="n">
        <x:v>108529.11000000002</x:v>
      </x:c>
      <x:c r="N912" s="33" t="n">
        <x:v>10.852911</x:v>
      </x:c>
      <x:c r="O912" s="22" t="str">
        <x:v>公顷</x:v>
      </x:c>
      <x:c r="P912" s="22" t="str">
        <x:v>未提供（单期横截面）</x:v>
      </x:c>
      <x:c r="Q912" s="23" t="n">
        <x:v>3891</x:v>
      </x:c>
    </x:row>
    <x:row r="913">
      <x:c r="A913" s="30" t="n">
        <x:v>350500</x:v>
      </x:c>
      <x:c r="B913" s="22" t="str">
        <x:v>泉州市</x:v>
      </x:c>
      <x:c r="C913" s="31" t="n">
        <x:v>350504</x:v>
      </x:c>
      <x:c r="D913" s="22" t="str">
        <x:v>洛江区</x:v>
      </x:c>
      <x:c r="E913" s="22" t="str">
        <x:v>建设用地</x:v>
      </x:c>
      <x:c r="F913" s="22" t="str">
        <x:v>公共管理与公共服务用地</x:v>
      </x:c>
      <x:c r="G913" s="32" t="str">
        <x:v>08H2</x:v>
      </x:c>
      <x:c r="H913" s="32" t="str">
        <x:v>08H2</x:v>
      </x:c>
      <x:c r="I913" s="22" t="str">
        <x:v>科教文卫用地</x:v>
      </x:c>
      <x:c r="J913" s="22" t="str">
        <x:v>公共服务</x:v>
      </x:c>
      <x:c r="K913" s="32" t="str">
        <x:v>203</x:v>
      </x:c>
      <x:c r="L913" s="22" t="str">
        <x:v>村庄范围</x:v>
      </x:c>
      <x:c r="M913" s="33" t="n">
        <x:v>625465.8400000003</x:v>
      </x:c>
      <x:c r="N913" s="33" t="n">
        <x:v>62.54658400000003</x:v>
      </x:c>
      <x:c r="O913" s="22" t="str">
        <x:v>公顷</x:v>
      </x:c>
      <x:c r="P913" s="22" t="str">
        <x:v>未提供（单期横截面）</x:v>
      </x:c>
      <x:c r="Q913" s="23" t="n">
        <x:v>3892</x:v>
      </x:c>
    </x:row>
    <x:row r="914">
      <x:c r="A914" s="30" t="n">
        <x:v>350500</x:v>
      </x:c>
      <x:c r="B914" s="22" t="str">
        <x:v>泉州市</x:v>
      </x:c>
      <x:c r="C914" s="31" t="n">
        <x:v>350504</x:v>
      </x:c>
      <x:c r="D914" s="22" t="str">
        <x:v>洛江区</x:v>
      </x:c>
      <x:c r="E914" s="22" t="str">
        <x:v>建设用地</x:v>
      </x:c>
      <x:c r="F914" s="22" t="str">
        <x:v>特殊用地</x:v>
      </x:c>
      <x:c r="G914" s="32" t="str">
        <x:v>9</x:v>
      </x:c>
      <x:c r="H914" s="32" t="str">
        <x:v>9</x:v>
      </x:c>
      <x:c r="I914" s="22" t="str">
        <x:v>特殊用地</x:v>
      </x:c>
      <x:c r="J914" s="22" t="str">
        <x:v>其他建设</x:v>
      </x:c>
      <x:c r="K914" s="32" t="str">
        <x:v>203</x:v>
      </x:c>
      <x:c r="L914" s="22" t="str">
        <x:v>村庄范围</x:v>
      </x:c>
      <x:c r="M914" s="33" t="n">
        <x:v>334670.05000000005</x:v>
      </x:c>
      <x:c r="N914" s="33" t="n">
        <x:v>33.46700500000001</x:v>
      </x:c>
      <x:c r="O914" s="22" t="str">
        <x:v>公顷</x:v>
      </x:c>
      <x:c r="P914" s="22" t="str">
        <x:v>未提供（单期横截面）</x:v>
      </x:c>
      <x:c r="Q914" s="23" t="n">
        <x:v>3893</x:v>
      </x:c>
    </x:row>
    <x:row r="915">
      <x:c r="A915" s="30" t="n">
        <x:v>350500</x:v>
      </x:c>
      <x:c r="B915" s="22" t="str">
        <x:v>泉州市</x:v>
      </x:c>
      <x:c r="C915" s="31" t="n">
        <x:v>350504</x:v>
      </x:c>
      <x:c r="D915" s="22" t="str">
        <x:v>洛江区</x:v>
      </x:c>
      <x:c r="E915" s="22" t="str">
        <x:v>建设用地</x:v>
      </x:c>
      <x:c r="F915" s="22" t="str">
        <x:v>交通运输用地</x:v>
      </x:c>
      <x:c r="G915" s="32" t="str">
        <x:v>1003</x:v>
      </x:c>
      <x:c r="H915" s="32" t="str">
        <x:v>1003</x:v>
      </x:c>
      <x:c r="I915" s="22" t="str">
        <x:v>公路用地</x:v>
      </x:c>
      <x:c r="J915" s="22" t="str">
        <x:v>交通门户</x:v>
      </x:c>
      <x:c r="K915" s="32" t="str">
        <x:v>203</x:v>
      </x:c>
      <x:c r="L915" s="22" t="str">
        <x:v>村庄范围</x:v>
      </x:c>
      <x:c r="M915" s="33" t="n">
        <x:v>735.5</x:v>
      </x:c>
      <x:c r="N915" s="33" t="n">
        <x:v>0.07355</x:v>
      </x:c>
      <x:c r="O915" s="22" t="str">
        <x:v>公顷</x:v>
      </x:c>
      <x:c r="P915" s="22" t="str">
        <x:v>未提供（单期横截面）</x:v>
      </x:c>
      <x:c r="Q915" s="23" t="n">
        <x:v>3894</x:v>
      </x:c>
    </x:row>
    <x:row r="916">
      <x:c r="A916" s="30" t="n">
        <x:v>350500</x:v>
      </x:c>
      <x:c r="B916" s="22" t="str">
        <x:v>泉州市</x:v>
      </x:c>
      <x:c r="C916" s="31" t="n">
        <x:v>350504</x:v>
      </x:c>
      <x:c r="D916" s="22" t="str">
        <x:v>洛江区</x:v>
      </x:c>
      <x:c r="E916" s="22" t="str">
        <x:v>建设用地</x:v>
      </x:c>
      <x:c r="F916" s="22" t="str">
        <x:v>交通运输用地</x:v>
      </x:c>
      <x:c r="G916" s="32" t="str">
        <x:v>1004</x:v>
      </x:c>
      <x:c r="H916" s="32" t="str">
        <x:v>1004</x:v>
      </x:c>
      <x:c r="I916" s="22" t="str">
        <x:v>城镇村道路用地</x:v>
      </x:c>
      <x:c r="J916" s="22" t="str">
        <x:v>交通门户</x:v>
      </x:c>
      <x:c r="K916" s="32" t="str">
        <x:v>203</x:v>
      </x:c>
      <x:c r="L916" s="22" t="str">
        <x:v>村庄范围</x:v>
      </x:c>
      <x:c r="M916" s="33" t="n">
        <x:v>504581.77999999956</x:v>
      </x:c>
      <x:c r="N916" s="33" t="n">
        <x:v>50.458177999999954</x:v>
      </x:c>
      <x:c r="O916" s="22" t="str">
        <x:v>公顷</x:v>
      </x:c>
      <x:c r="P916" s="22" t="str">
        <x:v>未提供（单期横截面）</x:v>
      </x:c>
      <x:c r="Q916" s="23" t="n">
        <x:v>3895</x:v>
      </x:c>
    </x:row>
    <x:row r="917">
      <x:c r="A917" s="30" t="n">
        <x:v>350500</x:v>
      </x:c>
      <x:c r="B917" s="22" t="str">
        <x:v>泉州市</x:v>
      </x:c>
      <x:c r="C917" s="31" t="n">
        <x:v>350504</x:v>
      </x:c>
      <x:c r="D917" s="22" t="str">
        <x:v>洛江区</x:v>
      </x:c>
      <x:c r="E917" s="22" t="str">
        <x:v>建设用地</x:v>
      </x:c>
      <x:c r="F917" s="22" t="str">
        <x:v>交通运输用地</x:v>
      </x:c>
      <x:c r="G917" s="32" t="str">
        <x:v>1005</x:v>
      </x:c>
      <x:c r="H917" s="32" t="str">
        <x:v>1005</x:v>
      </x:c>
      <x:c r="I917" s="22" t="str">
        <x:v>交通服务场站用地</x:v>
      </x:c>
      <x:c r="J917" s="22" t="str">
        <x:v>交通门户</x:v>
      </x:c>
      <x:c r="K917" s="32" t="str">
        <x:v>203</x:v>
      </x:c>
      <x:c r="L917" s="22" t="str">
        <x:v>村庄范围</x:v>
      </x:c>
      <x:c r="M917" s="33" t="n">
        <x:v>150873.95</x:v>
      </x:c>
      <x:c r="N917" s="33" t="n">
        <x:v>15.087395</x:v>
      </x:c>
      <x:c r="O917" s="22" t="str">
        <x:v>公顷</x:v>
      </x:c>
      <x:c r="P917" s="22" t="str">
        <x:v>未提供（单期横截面）</x:v>
      </x:c>
      <x:c r="Q917" s="23" t="n">
        <x:v>3896</x:v>
      </x:c>
    </x:row>
    <x:row r="918">
      <x:c r="A918" s="30" t="n">
        <x:v>350500</x:v>
      </x:c>
      <x:c r="B918" s="22" t="str">
        <x:v>泉州市</x:v>
      </x:c>
      <x:c r="C918" s="31" t="n">
        <x:v>350504</x:v>
      </x:c>
      <x:c r="D918" s="22" t="str">
        <x:v>洛江区</x:v>
      </x:c>
      <x:c r="E918" s="22" t="str">
        <x:v>建设用地</x:v>
      </x:c>
      <x:c r="F918" s="22" t="str">
        <x:v>水域及水利设施</x:v>
      </x:c>
      <x:c r="G918" s="32" t="str">
        <x:v>1109</x:v>
      </x:c>
      <x:c r="H918" s="32" t="str">
        <x:v>1109</x:v>
      </x:c>
      <x:c r="I918" s="22" t="str">
        <x:v>水工建筑用地</x:v>
      </x:c>
      <x:c r="J918" s="22" t="str">
        <x:v>其他建设</x:v>
      </x:c>
      <x:c r="K918" s="32" t="str">
        <x:v>203</x:v>
      </x:c>
      <x:c r="L918" s="22" t="str">
        <x:v>村庄范围</x:v>
      </x:c>
      <x:c r="M918" s="33" t="n">
        <x:v>4827.57</x:v>
      </x:c>
      <x:c r="N918" s="33" t="n">
        <x:v>0.482757</x:v>
      </x:c>
      <x:c r="O918" s="22" t="str">
        <x:v>公顷</x:v>
      </x:c>
      <x:c r="P918" s="22" t="str">
        <x:v>未提供（单期横截面）</x:v>
      </x:c>
      <x:c r="Q918" s="23" t="n">
        <x:v>3897</x:v>
      </x:c>
    </x:row>
    <x:row r="919">
      <x:c r="A919" s="30" t="n">
        <x:v>350500</x:v>
      </x:c>
      <x:c r="B919" s="22" t="str">
        <x:v>泉州市</x:v>
      </x:c>
      <x:c r="C919" s="31" t="n">
        <x:v>350504</x:v>
      </x:c>
      <x:c r="D919" s="22" t="str">
        <x:v>洛江区</x:v>
      </x:c>
      <x:c r="E919" s="22" t="str">
        <x:v>建设用地</x:v>
      </x:c>
      <x:c r="F919" s="22" t="str">
        <x:v>工矿仓储用地</x:v>
      </x:c>
      <x:c r="G919" s="32" t="str">
        <x:v>601</x:v>
      </x:c>
      <x:c r="H919" s="32" t="str">
        <x:v>601</x:v>
      </x:c>
      <x:c r="I919" s="22" t="str">
        <x:v>工业用地</x:v>
      </x:c>
      <x:c r="J919" s="22" t="str">
        <x:v>产业功能</x:v>
      </x:c>
      <x:c r="K919" s="32" t="str">
        <x:v>203A</x:v>
      </x:c>
      <x:c r="L919" s="22" t="str">
        <x:v>村庄独立工业用地</x:v>
      </x:c>
      <x:c r="M919" s="33" t="n">
        <x:v>135348.81000000003</x:v>
      </x:c>
      <x:c r="N919" s="33" t="n">
        <x:v>13.534881000000002</x:v>
      </x:c>
      <x:c r="O919" s="22" t="str">
        <x:v>公顷</x:v>
      </x:c>
      <x:c r="P919" s="22" t="str">
        <x:v>未提供（单期横截面）</x:v>
      </x:c>
      <x:c r="Q919" s="23" t="n">
        <x:v>3898</x:v>
      </x:c>
    </x:row>
    <x:row r="920">
      <x:c r="A920" s="30" t="n">
        <x:v>350500</x:v>
      </x:c>
      <x:c r="B920" s="22" t="str">
        <x:v>泉州市</x:v>
      </x:c>
      <x:c r="C920" s="31" t="n">
        <x:v>350504</x:v>
      </x:c>
      <x:c r="D920" s="22" t="str">
        <x:v>洛江区</x:v>
      </x:c>
      <x:c r="E920" s="22" t="str">
        <x:v>建设用地</x:v>
      </x:c>
      <x:c r="F920" s="22" t="str">
        <x:v>工矿仓储用地</x:v>
      </x:c>
      <x:c r="G920" s="32" t="str">
        <x:v>508</x:v>
      </x:c>
      <x:c r="H920" s="32" t="str">
        <x:v>508</x:v>
      </x:c>
      <x:c r="I920" s="22" t="str">
        <x:v>物流仓储用地</x:v>
      </x:c>
      <x:c r="J920" s="22" t="str">
        <x:v>产业功能</x:v>
      </x:c>
      <x:c r="K920" s="32" t="str">
        <x:v>204</x:v>
      </x:c>
      <x:c r="L920" s="22" t="str">
        <x:v>盐田及采矿用地</x:v>
      </x:c>
      <x:c r="M920" s="33" t="n">
        <x:v>3587.53</x:v>
      </x:c>
      <x:c r="N920" s="33" t="n">
        <x:v>0.35875300000000004</x:v>
      </x:c>
      <x:c r="O920" s="22" t="str">
        <x:v>公顷</x:v>
      </x:c>
      <x:c r="P920" s="22" t="str">
        <x:v>未提供（单期横截面）</x:v>
      </x:c>
      <x:c r="Q920" s="23" t="n">
        <x:v>3899</x:v>
      </x:c>
    </x:row>
    <x:row r="921">
      <x:c r="A921" s="30" t="n">
        <x:v>350500</x:v>
      </x:c>
      <x:c r="B921" s="22" t="str">
        <x:v>泉州市</x:v>
      </x:c>
      <x:c r="C921" s="31" t="n">
        <x:v>350504</x:v>
      </x:c>
      <x:c r="D921" s="22" t="str">
        <x:v>洛江区</x:v>
      </x:c>
      <x:c r="E921" s="22" t="str">
        <x:v>建设用地</x:v>
      </x:c>
      <x:c r="F921" s="22" t="str">
        <x:v>工矿仓储用地</x:v>
      </x:c>
      <x:c r="G921" s="32" t="str">
        <x:v>602</x:v>
      </x:c>
      <x:c r="H921" s="32" t="str">
        <x:v>602</x:v>
      </x:c>
      <x:c r="I921" s="22" t="str">
        <x:v>采矿用地</x:v>
      </x:c>
      <x:c r="J921" s="22" t="str">
        <x:v>产业功能</x:v>
      </x:c>
      <x:c r="K921" s="32" t="str">
        <x:v>204</x:v>
      </x:c>
      <x:c r="L921" s="22" t="str">
        <x:v>盐田及采矿用地</x:v>
      </x:c>
      <x:c r="M921" s="33" t="n">
        <x:v>679615.2800000001</x:v>
      </x:c>
      <x:c r="N921" s="33" t="n">
        <x:v>67.96152800000002</x:v>
      </x:c>
      <x:c r="O921" s="22" t="str">
        <x:v>公顷</x:v>
      </x:c>
      <x:c r="P921" s="22" t="str">
        <x:v>未提供（单期横截面）</x:v>
      </x:c>
      <x:c r="Q921" s="23" t="n">
        <x:v>3900</x:v>
      </x:c>
    </x:row>
    <x:row r="922">
      <x:c r="A922" s="30" t="n">
        <x:v>350500</x:v>
      </x:c>
      <x:c r="B922" s="22" t="str">
        <x:v>泉州市</x:v>
      </x:c>
      <x:c r="C922" s="31" t="n">
        <x:v>350504</x:v>
      </x:c>
      <x:c r="D922" s="22" t="str">
        <x:v>洛江区</x:v>
      </x:c>
      <x:c r="E922" s="22" t="str">
        <x:v>建设用地</x:v>
      </x:c>
      <x:c r="F922" s="22" t="str">
        <x:v>公共管理与公共服务用地</x:v>
      </x:c>
      <x:c r="G922" s="32" t="str">
        <x:v>08H2</x:v>
      </x:c>
      <x:c r="H922" s="32" t="str">
        <x:v>08H2</x:v>
      </x:c>
      <x:c r="I922" s="22" t="str">
        <x:v>科教文卫用地</x:v>
      </x:c>
      <x:c r="J922" s="22" t="str">
        <x:v>公共服务</x:v>
      </x:c>
      <x:c r="K922" s="32" t="str">
        <x:v>205</x:v>
      </x:c>
      <x:c r="L922" s="22" t="str">
        <x:v>特殊用地</x:v>
      </x:c>
      <x:c r="M922" s="33" t="n">
        <x:v>164.4</x:v>
      </x:c>
      <x:c r="N922" s="33" t="n">
        <x:v>0.01644</x:v>
      </x:c>
      <x:c r="O922" s="22" t="str">
        <x:v>公顷</x:v>
      </x:c>
      <x:c r="P922" s="22" t="str">
        <x:v>未提供（单期横截面）</x:v>
      </x:c>
      <x:c r="Q922" s="23" t="n">
        <x:v>3901</x:v>
      </x:c>
    </x:row>
    <x:row r="923">
      <x:c r="A923" s="30" t="n">
        <x:v>350500</x:v>
      </x:c>
      <x:c r="B923" s="22" t="str">
        <x:v>泉州市</x:v>
      </x:c>
      <x:c r="C923" s="31" t="n">
        <x:v>350504</x:v>
      </x:c>
      <x:c r="D923" s="22" t="str">
        <x:v>洛江区</x:v>
      </x:c>
      <x:c r="E923" s="22" t="str">
        <x:v>建设用地</x:v>
      </x:c>
      <x:c r="F923" s="22" t="str">
        <x:v>特殊用地</x:v>
      </x:c>
      <x:c r="G923" s="32" t="str">
        <x:v>9</x:v>
      </x:c>
      <x:c r="H923" s="32" t="str">
        <x:v>9</x:v>
      </x:c>
      <x:c r="I923" s="22" t="str">
        <x:v>特殊用地</x:v>
      </x:c>
      <x:c r="J923" s="22" t="str">
        <x:v>其他建设</x:v>
      </x:c>
      <x:c r="K923" s="32" t="str">
        <x:v>205</x:v>
      </x:c>
      <x:c r="L923" s="22" t="str">
        <x:v>特殊用地</x:v>
      </x:c>
      <x:c r="M923" s="33" t="n">
        <x:v>777303.8500000006</x:v>
      </x:c>
      <x:c r="N923" s="33" t="n">
        <x:v>77.73038500000006</x:v>
      </x:c>
      <x:c r="O923" s="22" t="str">
        <x:v>公顷</x:v>
      </x:c>
      <x:c r="P923" s="22" t="str">
        <x:v>未提供（单期横截面）</x:v>
      </x:c>
      <x:c r="Q923" s="23" t="n">
        <x:v>3902</x:v>
      </x:c>
    </x:row>
    <x:row r="924">
      <x:c r="A924" s="30" t="n">
        <x:v>350500</x:v>
      </x:c>
      <x:c r="B924" s="22" t="str">
        <x:v>泉州市</x:v>
      </x:c>
      <x:c r="C924" s="31" t="n">
        <x:v>350504</x:v>
      </x:c>
      <x:c r="D924" s="22" t="str">
        <x:v>洛江区</x:v>
      </x:c>
      <x:c r="E924" s="22" t="str">
        <x:v>建设用地</x:v>
      </x:c>
      <x:c r="F924" s="22" t="str">
        <x:v>交通运输用地</x:v>
      </x:c>
      <x:c r="G924" s="32" t="str">
        <x:v>1005</x:v>
      </x:c>
      <x:c r="H924" s="32" t="str">
        <x:v>1005</x:v>
      </x:c>
      <x:c r="I924" s="22" t="str">
        <x:v>交通服务场站用地</x:v>
      </x:c>
      <x:c r="J924" s="22" t="str">
        <x:v>交通门户</x:v>
      </x:c>
      <x:c r="K924" s="32" t="str">
        <x:v>205</x:v>
      </x:c>
      <x:c r="L924" s="22" t="str">
        <x:v>特殊用地</x:v>
      </x:c>
      <x:c r="M924" s="33" t="n">
        <x:v>557.6</x:v>
      </x:c>
      <x:c r="N924" s="33" t="n">
        <x:v>0.055760000000000004</x:v>
      </x:c>
      <x:c r="O924" s="22" t="str">
        <x:v>公顷</x:v>
      </x:c>
      <x:c r="P924" s="22" t="str">
        <x:v>未提供（单期横截面）</x:v>
      </x:c>
      <x:c r="Q924" s="23" t="n">
        <x:v>3903</x:v>
      </x:c>
    </x:row>
    <x:row r="925">
      <x:c r="A925" s="30" t="n">
        <x:v>350500</x:v>
      </x:c>
      <x:c r="B925" s="22" t="str">
        <x:v>泉州市</x:v>
      </x:c>
      <x:c r="C925" s="31" t="n">
        <x:v>350504</x:v>
      </x:c>
      <x:c r="D925" s="22" t="str">
        <x:v>洛江区</x:v>
      </x:c>
      <x:c r="E925" s="22" t="str">
        <x:v>农用地</x:v>
      </x:c>
      <x:c r="F925" s="22" t="str">
        <x:v>耕地</x:v>
      </x:c>
      <x:c r="G925" s="32" t="str">
        <x:v>101</x:v>
      </x:c>
      <x:c r="H925" s="32" t="str">
        <x:v>101</x:v>
      </x:c>
      <x:c r="I925" s="22" t="str">
        <x:v>水田</x:v>
      </x:c>
      <x:c r="J925" s="22" t="str">
        <x:v>农业生态</x:v>
      </x:c>
      <x:c r="K925" s="32" t="str"/>
      <x:c r="L925" s="22" t="str">
        <x:v>不适用/未标注</x:v>
      </x:c>
      <x:c r="M925" s="33" t="n">
        <x:v>31959982.799999867</x:v>
      </x:c>
      <x:c r="N925" s="33" t="n">
        <x:v>3195.9982799999866</x:v>
      </x:c>
      <x:c r="O925" s="22" t="str">
        <x:v>公顷</x:v>
      </x:c>
      <x:c r="P925" s="22" t="str">
        <x:v>未提供（单期横截面）</x:v>
      </x:c>
      <x:c r="Q925" s="23" t="n">
        <x:v>3904</x:v>
      </x:c>
    </x:row>
    <x:row r="926">
      <x:c r="A926" s="30" t="n">
        <x:v>350500</x:v>
      </x:c>
      <x:c r="B926" s="22" t="str">
        <x:v>泉州市</x:v>
      </x:c>
      <x:c r="C926" s="31" t="n">
        <x:v>350504</x:v>
      </x:c>
      <x:c r="D926" s="22" t="str">
        <x:v>洛江区</x:v>
      </x:c>
      <x:c r="E926" s="22" t="str">
        <x:v>农用地</x:v>
      </x:c>
      <x:c r="F926" s="22" t="str">
        <x:v>耕地</x:v>
      </x:c>
      <x:c r="G926" s="32" t="str">
        <x:v>102</x:v>
      </x:c>
      <x:c r="H926" s="32" t="str">
        <x:v>102</x:v>
      </x:c>
      <x:c r="I926" s="22" t="str">
        <x:v>水浇地</x:v>
      </x:c>
      <x:c r="J926" s="22" t="str">
        <x:v>农业生态</x:v>
      </x:c>
      <x:c r="K926" s="32" t="str"/>
      <x:c r="L926" s="22" t="str">
        <x:v>不适用/未标注</x:v>
      </x:c>
      <x:c r="M926" s="33" t="n">
        <x:v>193300.94</x:v>
      </x:c>
      <x:c r="N926" s="33" t="n">
        <x:v>19.330094</x:v>
      </x:c>
      <x:c r="O926" s="22" t="str">
        <x:v>公顷</x:v>
      </x:c>
      <x:c r="P926" s="22" t="str">
        <x:v>未提供（单期横截面）</x:v>
      </x:c>
      <x:c r="Q926" s="23" t="n">
        <x:v>3905</x:v>
      </x:c>
    </x:row>
    <x:row r="927">
      <x:c r="A927" s="30" t="n">
        <x:v>350500</x:v>
      </x:c>
      <x:c r="B927" s="22" t="str">
        <x:v>泉州市</x:v>
      </x:c>
      <x:c r="C927" s="31" t="n">
        <x:v>350504</x:v>
      </x:c>
      <x:c r="D927" s="22" t="str">
        <x:v>洛江区</x:v>
      </x:c>
      <x:c r="E927" s="22" t="str">
        <x:v>农用地</x:v>
      </x:c>
      <x:c r="F927" s="22" t="str">
        <x:v>耕地</x:v>
      </x:c>
      <x:c r="G927" s="32" t="str">
        <x:v>103</x:v>
      </x:c>
      <x:c r="H927" s="32" t="str">
        <x:v>103</x:v>
      </x:c>
      <x:c r="I927" s="22" t="str">
        <x:v>旱地</x:v>
      </x:c>
      <x:c r="J927" s="22" t="str">
        <x:v>农业生态</x:v>
      </x:c>
      <x:c r="K927" s="32" t="str"/>
      <x:c r="L927" s="22" t="str">
        <x:v>不适用/未标注</x:v>
      </x:c>
      <x:c r="M927" s="33" t="n">
        <x:v>1765669.0200000012</x:v>
      </x:c>
      <x:c r="N927" s="33" t="n">
        <x:v>176.5669020000001</x:v>
      </x:c>
      <x:c r="O927" s="22" t="str">
        <x:v>公顷</x:v>
      </x:c>
      <x:c r="P927" s="22" t="str">
        <x:v>未提供（单期横截面）</x:v>
      </x:c>
      <x:c r="Q927" s="23" t="n">
        <x:v>3906</x:v>
      </x:c>
    </x:row>
    <x:row r="928">
      <x:c r="A928" s="30" t="n">
        <x:v>350500</x:v>
      </x:c>
      <x:c r="B928" s="22" t="str">
        <x:v>泉州市</x:v>
      </x:c>
      <x:c r="C928" s="31" t="n">
        <x:v>350504</x:v>
      </x:c>
      <x:c r="D928" s="22" t="str">
        <x:v>洛江区</x:v>
      </x:c>
      <x:c r="E928" s="22" t="str">
        <x:v>农用地</x:v>
      </x:c>
      <x:c r="F928" s="22" t="str">
        <x:v>园地</x:v>
      </x:c>
      <x:c r="G928" s="32" t="str">
        <x:v>201</x:v>
      </x:c>
      <x:c r="H928" s="32" t="str">
        <x:v>201</x:v>
      </x:c>
      <x:c r="I928" s="22" t="str">
        <x:v>果园</x:v>
      </x:c>
      <x:c r="J928" s="22" t="str">
        <x:v>农业生态</x:v>
      </x:c>
      <x:c r="K928" s="32" t="str"/>
      <x:c r="L928" s="22" t="str">
        <x:v>不适用/未标注</x:v>
      </x:c>
      <x:c r="M928" s="33" t="n">
        <x:v>35406657.68000013</x:v>
      </x:c>
      <x:c r="N928" s="33" t="n">
        <x:v>3540.6657680000126</x:v>
      </x:c>
      <x:c r="O928" s="22" t="str">
        <x:v>公顷</x:v>
      </x:c>
      <x:c r="P928" s="22" t="str">
        <x:v>未提供（单期横截面）</x:v>
      </x:c>
      <x:c r="Q928" s="23" t="n">
        <x:v>3907</x:v>
      </x:c>
    </x:row>
    <x:row r="929">
      <x:c r="A929" s="30" t="n">
        <x:v>350500</x:v>
      </x:c>
      <x:c r="B929" s="22" t="str">
        <x:v>泉州市</x:v>
      </x:c>
      <x:c r="C929" s="31" t="n">
        <x:v>350504</x:v>
      </x:c>
      <x:c r="D929" s="22" t="str">
        <x:v>洛江区</x:v>
      </x:c>
      <x:c r="E929" s="22" t="str">
        <x:v>农用地</x:v>
      </x:c>
      <x:c r="F929" s="22" t="str">
        <x:v>园地</x:v>
      </x:c>
      <x:c r="G929" s="32" t="str">
        <x:v>0201K</x:v>
      </x:c>
      <x:c r="H929" s="32" t="str">
        <x:v>201</x:v>
      </x:c>
      <x:c r="I929" s="22" t="str">
        <x:v>可调整果园</x:v>
      </x:c>
      <x:c r="J929" s="22" t="str">
        <x:v>农业生态</x:v>
      </x:c>
      <x:c r="K929" s="32" t="str"/>
      <x:c r="L929" s="22" t="str">
        <x:v>不适用/未标注</x:v>
      </x:c>
      <x:c r="M929" s="33" t="n">
        <x:v>863218.7500000002</x:v>
      </x:c>
      <x:c r="N929" s="33" t="n">
        <x:v>86.32187500000002</x:v>
      </x:c>
      <x:c r="O929" s="22" t="str">
        <x:v>公顷</x:v>
      </x:c>
      <x:c r="P929" s="22" t="str">
        <x:v>未提供（单期横截面）</x:v>
      </x:c>
      <x:c r="Q929" s="23" t="n">
        <x:v>3908</x:v>
      </x:c>
    </x:row>
    <x:row r="930">
      <x:c r="A930" s="30" t="n">
        <x:v>350500</x:v>
      </x:c>
      <x:c r="B930" s="22" t="str">
        <x:v>泉州市</x:v>
      </x:c>
      <x:c r="C930" s="31" t="n">
        <x:v>350504</x:v>
      </x:c>
      <x:c r="D930" s="22" t="str">
        <x:v>洛江区</x:v>
      </x:c>
      <x:c r="E930" s="22" t="str">
        <x:v>农用地</x:v>
      </x:c>
      <x:c r="F930" s="22" t="str">
        <x:v>园地</x:v>
      </x:c>
      <x:c r="G930" s="32" t="str">
        <x:v>202</x:v>
      </x:c>
      <x:c r="H930" s="32" t="str">
        <x:v>202</x:v>
      </x:c>
      <x:c r="I930" s="22" t="str">
        <x:v>茶园</x:v>
      </x:c>
      <x:c r="J930" s="22" t="str">
        <x:v>农业生态</x:v>
      </x:c>
      <x:c r="K930" s="32" t="str"/>
      <x:c r="L930" s="22" t="str">
        <x:v>不适用/未标注</x:v>
      </x:c>
      <x:c r="M930" s="33" t="n">
        <x:v>1257022.5999999999</x:v>
      </x:c>
      <x:c r="N930" s="33" t="n">
        <x:v>125.70225999999998</x:v>
      </x:c>
      <x:c r="O930" s="22" t="str">
        <x:v>公顷</x:v>
      </x:c>
      <x:c r="P930" s="22" t="str">
        <x:v>未提供（单期横截面）</x:v>
      </x:c>
      <x:c r="Q930" s="23" t="n">
        <x:v>3909</x:v>
      </x:c>
    </x:row>
    <x:row r="931">
      <x:c r="A931" s="30" t="n">
        <x:v>350500</x:v>
      </x:c>
      <x:c r="B931" s="22" t="str">
        <x:v>泉州市</x:v>
      </x:c>
      <x:c r="C931" s="31" t="n">
        <x:v>350504</x:v>
      </x:c>
      <x:c r="D931" s="22" t="str">
        <x:v>洛江区</x:v>
      </x:c>
      <x:c r="E931" s="22" t="str">
        <x:v>农用地</x:v>
      </x:c>
      <x:c r="F931" s="22" t="str">
        <x:v>园地</x:v>
      </x:c>
      <x:c r="G931" s="32" t="str">
        <x:v>0202K</x:v>
      </x:c>
      <x:c r="H931" s="32" t="str">
        <x:v>0202</x:v>
      </x:c>
      <x:c r="I931" s="22" t="str">
        <x:v>可调整茶园</x:v>
      </x:c>
      <x:c r="J931" s="22" t="str">
        <x:v>农业生态</x:v>
      </x:c>
      <x:c r="K931" s="32" t="str"/>
      <x:c r="L931" s="22" t="str">
        <x:v>不适用/未标注</x:v>
      </x:c>
      <x:c r="M931" s="33" t="n">
        <x:v>75853.44999999998</x:v>
      </x:c>
      <x:c r="N931" s="33" t="n">
        <x:v>7.5853449999999984</x:v>
      </x:c>
      <x:c r="O931" s="22" t="str">
        <x:v>公顷</x:v>
      </x:c>
      <x:c r="P931" s="22" t="str">
        <x:v>未提供（单期横截面）</x:v>
      </x:c>
      <x:c r="Q931" s="23" t="n">
        <x:v>3910</x:v>
      </x:c>
    </x:row>
    <x:row r="932">
      <x:c r="A932" s="30" t="n">
        <x:v>350500</x:v>
      </x:c>
      <x:c r="B932" s="22" t="str">
        <x:v>泉州市</x:v>
      </x:c>
      <x:c r="C932" s="31" t="n">
        <x:v>350504</x:v>
      </x:c>
      <x:c r="D932" s="22" t="str">
        <x:v>洛江区</x:v>
      </x:c>
      <x:c r="E932" s="22" t="str">
        <x:v>农用地</x:v>
      </x:c>
      <x:c r="F932" s="22" t="str">
        <x:v>园地</x:v>
      </x:c>
      <x:c r="G932" s="32" t="str">
        <x:v>204</x:v>
      </x:c>
      <x:c r="H932" s="32" t="str">
        <x:v>204</x:v>
      </x:c>
      <x:c r="I932" s="22" t="str">
        <x:v>其他园地</x:v>
      </x:c>
      <x:c r="J932" s="22" t="str">
        <x:v>农业生态</x:v>
      </x:c>
      <x:c r="K932" s="32" t="str"/>
      <x:c r="L932" s="22" t="str">
        <x:v>不适用/未标注</x:v>
      </x:c>
      <x:c r="M932" s="33" t="n">
        <x:v>895724.4500000002</x:v>
      </x:c>
      <x:c r="N932" s="33" t="n">
        <x:v>89.57244500000002</x:v>
      </x:c>
      <x:c r="O932" s="22" t="str">
        <x:v>公顷</x:v>
      </x:c>
      <x:c r="P932" s="22" t="str">
        <x:v>未提供（单期横截面）</x:v>
      </x:c>
      <x:c r="Q932" s="23" t="n">
        <x:v>3911</x:v>
      </x:c>
    </x:row>
    <x:row r="933">
      <x:c r="A933" s="30" t="n">
        <x:v>350500</x:v>
      </x:c>
      <x:c r="B933" s="22" t="str">
        <x:v>泉州市</x:v>
      </x:c>
      <x:c r="C933" s="31" t="n">
        <x:v>350504</x:v>
      </x:c>
      <x:c r="D933" s="22" t="str">
        <x:v>洛江区</x:v>
      </x:c>
      <x:c r="E933" s="22" t="str">
        <x:v>农用地</x:v>
      </x:c>
      <x:c r="F933" s="22" t="str">
        <x:v>园地</x:v>
      </x:c>
      <x:c r="G933" s="32" t="str">
        <x:v>0204K</x:v>
      </x:c>
      <x:c r="H933" s="32" t="str">
        <x:v>0204</x:v>
      </x:c>
      <x:c r="I933" s="22" t="str">
        <x:v>可调整其他园地</x:v>
      </x:c>
      <x:c r="J933" s="22" t="str">
        <x:v>农业生态</x:v>
      </x:c>
      <x:c r="K933" s="32" t="str"/>
      <x:c r="L933" s="22" t="str">
        <x:v>不适用/未标注</x:v>
      </x:c>
      <x:c r="M933" s="33" t="n">
        <x:v>25766.34</x:v>
      </x:c>
      <x:c r="N933" s="33" t="n">
        <x:v>2.576634</x:v>
      </x:c>
      <x:c r="O933" s="22" t="str">
        <x:v>公顷</x:v>
      </x:c>
      <x:c r="P933" s="22" t="str">
        <x:v>未提供（单期横截面）</x:v>
      </x:c>
      <x:c r="Q933" s="23" t="n">
        <x:v>3912</x:v>
      </x:c>
    </x:row>
    <x:row r="934">
      <x:c r="A934" s="30" t="n">
        <x:v>350500</x:v>
      </x:c>
      <x:c r="B934" s="22" t="str">
        <x:v>泉州市</x:v>
      </x:c>
      <x:c r="C934" s="31" t="n">
        <x:v>350504</x:v>
      </x:c>
      <x:c r="D934" s="22" t="str">
        <x:v>洛江区</x:v>
      </x:c>
      <x:c r="E934" s="22" t="str">
        <x:v>农用地</x:v>
      </x:c>
      <x:c r="F934" s="22" t="str">
        <x:v>林地</x:v>
      </x:c>
      <x:c r="G934" s="32" t="str">
        <x:v>301</x:v>
      </x:c>
      <x:c r="H934" s="32" t="str">
        <x:v>301</x:v>
      </x:c>
      <x:c r="I934" s="22" t="str">
        <x:v>乔木林地</x:v>
      </x:c>
      <x:c r="J934" s="22" t="str">
        <x:v>农业生态</x:v>
      </x:c>
      <x:c r="K934" s="32" t="str"/>
      <x:c r="L934" s="22" t="str">
        <x:v>不适用/未标注</x:v>
      </x:c>
      <x:c r="M934" s="33" t="n">
        <x:v>202096034.4700001</x:v>
      </x:c>
      <x:c r="N934" s="33" t="n">
        <x:v>20209.60344700001</x:v>
      </x:c>
      <x:c r="O934" s="22" t="str">
        <x:v>公顷</x:v>
      </x:c>
      <x:c r="P934" s="22" t="str">
        <x:v>未提供（单期横截面）</x:v>
      </x:c>
      <x:c r="Q934" s="23" t="n">
        <x:v>3913</x:v>
      </x:c>
    </x:row>
    <x:row r="935">
      <x:c r="A935" s="30" t="n">
        <x:v>350500</x:v>
      </x:c>
      <x:c r="B935" s="22" t="str">
        <x:v>泉州市</x:v>
      </x:c>
      <x:c r="C935" s="31" t="n">
        <x:v>350504</x:v>
      </x:c>
      <x:c r="D935" s="22" t="str">
        <x:v>洛江区</x:v>
      </x:c>
      <x:c r="E935" s="22" t="str">
        <x:v>农用地</x:v>
      </x:c>
      <x:c r="F935" s="22" t="str">
        <x:v>林地</x:v>
      </x:c>
      <x:c r="G935" s="32" t="str">
        <x:v>0301K</x:v>
      </x:c>
      <x:c r="H935" s="32" t="str">
        <x:v>0301</x:v>
      </x:c>
      <x:c r="I935" s="22" t="str">
        <x:v>可调整乔木林地</x:v>
      </x:c>
      <x:c r="J935" s="22" t="str">
        <x:v>农业生态</x:v>
      </x:c>
      <x:c r="K935" s="32" t="str"/>
      <x:c r="L935" s="22" t="str">
        <x:v>不适用/未标注</x:v>
      </x:c>
      <x:c r="M935" s="33" t="n">
        <x:v>12514.29</x:v>
      </x:c>
      <x:c r="N935" s="33" t="n">
        <x:v>1.2514290000000001</x:v>
      </x:c>
      <x:c r="O935" s="22" t="str">
        <x:v>公顷</x:v>
      </x:c>
      <x:c r="P935" s="22" t="str">
        <x:v>未提供（单期横截面）</x:v>
      </x:c>
      <x:c r="Q935" s="23" t="n">
        <x:v>3914</x:v>
      </x:c>
    </x:row>
    <x:row r="936">
      <x:c r="A936" s="30" t="n">
        <x:v>350500</x:v>
      </x:c>
      <x:c r="B936" s="22" t="str">
        <x:v>泉州市</x:v>
      </x:c>
      <x:c r="C936" s="31" t="n">
        <x:v>350504</x:v>
      </x:c>
      <x:c r="D936" s="22" t="str">
        <x:v>洛江区</x:v>
      </x:c>
      <x:c r="E936" s="22" t="str">
        <x:v>农用地</x:v>
      </x:c>
      <x:c r="F936" s="22" t="str">
        <x:v>林地</x:v>
      </x:c>
      <x:c r="G936" s="32" t="str">
        <x:v>302</x:v>
      </x:c>
      <x:c r="H936" s="32" t="str">
        <x:v>302</x:v>
      </x:c>
      <x:c r="I936" s="22" t="str">
        <x:v>竹林地</x:v>
      </x:c>
      <x:c r="J936" s="22" t="str">
        <x:v>农业生态</x:v>
      </x:c>
      <x:c r="K936" s="32" t="str"/>
      <x:c r="L936" s="22" t="str">
        <x:v>不适用/未标注</x:v>
      </x:c>
      <x:c r="M936" s="33" t="n">
        <x:v>205809.6400000001</x:v>
      </x:c>
      <x:c r="N936" s="33" t="n">
        <x:v>20.58096400000001</x:v>
      </x:c>
      <x:c r="O936" s="22" t="str">
        <x:v>公顷</x:v>
      </x:c>
      <x:c r="P936" s="22" t="str">
        <x:v>未提供（单期横截面）</x:v>
      </x:c>
      <x:c r="Q936" s="23" t="n">
        <x:v>3915</x:v>
      </x:c>
    </x:row>
    <x:row r="937">
      <x:c r="A937" s="30" t="n">
        <x:v>350500</x:v>
      </x:c>
      <x:c r="B937" s="22" t="str">
        <x:v>泉州市</x:v>
      </x:c>
      <x:c r="C937" s="31" t="n">
        <x:v>350504</x:v>
      </x:c>
      <x:c r="D937" s="22" t="str">
        <x:v>洛江区</x:v>
      </x:c>
      <x:c r="E937" s="22" t="str">
        <x:v>农用地</x:v>
      </x:c>
      <x:c r="F937" s="22" t="str">
        <x:v>林地</x:v>
      </x:c>
      <x:c r="G937" s="32" t="str">
        <x:v>303</x:v>
      </x:c>
      <x:c r="H937" s="32" t="str">
        <x:v>303</x:v>
      </x:c>
      <x:c r="I937" s="22" t="str">
        <x:v>红树林地</x:v>
      </x:c>
      <x:c r="J937" s="22" t="str">
        <x:v>农业生态</x:v>
      </x:c>
      <x:c r="K937" s="32" t="str"/>
      <x:c r="L937" s="22" t="str">
        <x:v>不适用/未标注</x:v>
      </x:c>
      <x:c r="M937" s="33" t="n">
        <x:v>288255.98999999993</x:v>
      </x:c>
      <x:c r="N937" s="33" t="n">
        <x:v>28.825598999999993</x:v>
      </x:c>
      <x:c r="O937" s="22" t="str">
        <x:v>公顷</x:v>
      </x:c>
      <x:c r="P937" s="22" t="str">
        <x:v>未提供（单期横截面）</x:v>
      </x:c>
      <x:c r="Q937" s="23" t="n">
        <x:v>3916</x:v>
      </x:c>
    </x:row>
    <x:row r="938">
      <x:c r="A938" s="30" t="n">
        <x:v>350500</x:v>
      </x:c>
      <x:c r="B938" s="22" t="str">
        <x:v>泉州市</x:v>
      </x:c>
      <x:c r="C938" s="31" t="n">
        <x:v>350504</x:v>
      </x:c>
      <x:c r="D938" s="22" t="str">
        <x:v>洛江区</x:v>
      </x:c>
      <x:c r="E938" s="22" t="str">
        <x:v>农用地</x:v>
      </x:c>
      <x:c r="F938" s="22" t="str">
        <x:v>林地</x:v>
      </x:c>
      <x:c r="G938" s="32" t="str">
        <x:v>305</x:v>
      </x:c>
      <x:c r="H938" s="32" t="str">
        <x:v>305</x:v>
      </x:c>
      <x:c r="I938" s="22" t="str">
        <x:v>灌木林地</x:v>
      </x:c>
      <x:c r="J938" s="22" t="str">
        <x:v>农业生态</x:v>
      </x:c>
      <x:c r="K938" s="32" t="str"/>
      <x:c r="L938" s="22" t="str">
        <x:v>不适用/未标注</x:v>
      </x:c>
      <x:c r="M938" s="33" t="n">
        <x:v>1435395.1599999997</x:v>
      </x:c>
      <x:c r="N938" s="33" t="n">
        <x:v>143.53951599999996</x:v>
      </x:c>
      <x:c r="O938" s="22" t="str">
        <x:v>公顷</x:v>
      </x:c>
      <x:c r="P938" s="22" t="str">
        <x:v>未提供（单期横截面）</x:v>
      </x:c>
      <x:c r="Q938" s="23" t="n">
        <x:v>3917</x:v>
      </x:c>
    </x:row>
    <x:row r="939">
      <x:c r="A939" s="30" t="n">
        <x:v>350500</x:v>
      </x:c>
      <x:c r="B939" s="22" t="str">
        <x:v>泉州市</x:v>
      </x:c>
      <x:c r="C939" s="31" t="n">
        <x:v>350504</x:v>
      </x:c>
      <x:c r="D939" s="22" t="str">
        <x:v>洛江区</x:v>
      </x:c>
      <x:c r="E939" s="22" t="str">
        <x:v>农用地</x:v>
      </x:c>
      <x:c r="F939" s="22" t="str">
        <x:v>林地</x:v>
      </x:c>
      <x:c r="G939" s="32" t="str">
        <x:v>307</x:v>
      </x:c>
      <x:c r="H939" s="32" t="str">
        <x:v>307</x:v>
      </x:c>
      <x:c r="I939" s="22" t="str">
        <x:v>其他林地</x:v>
      </x:c>
      <x:c r="J939" s="22" t="str">
        <x:v>农业生态</x:v>
      </x:c>
      <x:c r="K939" s="32" t="str"/>
      <x:c r="L939" s="22" t="str">
        <x:v>不适用/未标注</x:v>
      </x:c>
      <x:c r="M939" s="33" t="n">
        <x:v>21002135.039999977</x:v>
      </x:c>
      <x:c r="N939" s="33" t="n">
        <x:v>2100.2135039999976</x:v>
      </x:c>
      <x:c r="O939" s="22" t="str">
        <x:v>公顷</x:v>
      </x:c>
      <x:c r="P939" s="22" t="str">
        <x:v>未提供（单期横截面）</x:v>
      </x:c>
      <x:c r="Q939" s="23" t="n">
        <x:v>3918</x:v>
      </x:c>
    </x:row>
    <x:row r="940">
      <x:c r="A940" s="30" t="n">
        <x:v>350500</x:v>
      </x:c>
      <x:c r="B940" s="22" t="str">
        <x:v>泉州市</x:v>
      </x:c>
      <x:c r="C940" s="31" t="n">
        <x:v>350504</x:v>
      </x:c>
      <x:c r="D940" s="22" t="str">
        <x:v>洛江区</x:v>
      </x:c>
      <x:c r="E940" s="22" t="str">
        <x:v>农用地</x:v>
      </x:c>
      <x:c r="F940" s="22" t="str">
        <x:v>其他农用地</x:v>
      </x:c>
      <x:c r="G940" s="32" t="str">
        <x:v>1006</x:v>
      </x:c>
      <x:c r="H940" s="32" t="str">
        <x:v>1006</x:v>
      </x:c>
      <x:c r="I940" s="22" t="str">
        <x:v>农村道路</x:v>
      </x:c>
      <x:c r="J940" s="22" t="str">
        <x:v>农业生态</x:v>
      </x:c>
      <x:c r="K940" s="32" t="str"/>
      <x:c r="L940" s="22" t="str">
        <x:v>不适用/未标注</x:v>
      </x:c>
      <x:c r="M940" s="33" t="n">
        <x:v>3655890.4599999944</x:v>
      </x:c>
      <x:c r="N940" s="33" t="n">
        <x:v>365.5890459999994</x:v>
      </x:c>
      <x:c r="O940" s="22" t="str">
        <x:v>公顷</x:v>
      </x:c>
      <x:c r="P940" s="22" t="str">
        <x:v>未提供（单期横截面）</x:v>
      </x:c>
      <x:c r="Q940" s="23" t="n">
        <x:v>3919</x:v>
      </x:c>
    </x:row>
    <x:row r="941">
      <x:c r="A941" s="30" t="n">
        <x:v>350500</x:v>
      </x:c>
      <x:c r="B941" s="22" t="str">
        <x:v>泉州市</x:v>
      </x:c>
      <x:c r="C941" s="31" t="n">
        <x:v>350504</x:v>
      </x:c>
      <x:c r="D941" s="22" t="str">
        <x:v>洛江区</x:v>
      </x:c>
      <x:c r="E941" s="22" t="str">
        <x:v>农用地</x:v>
      </x:c>
      <x:c r="F941" s="22" t="str">
        <x:v>水域及水利设施</x:v>
      </x:c>
      <x:c r="G941" s="32" t="str">
        <x:v>1103</x:v>
      </x:c>
      <x:c r="H941" s="32" t="str">
        <x:v>1103</x:v>
      </x:c>
      <x:c r="I941" s="22" t="str">
        <x:v>水库水面</x:v>
      </x:c>
      <x:c r="J941" s="22" t="str">
        <x:v>农业生态</x:v>
      </x:c>
      <x:c r="K941" s="32" t="str"/>
      <x:c r="L941" s="22" t="str">
        <x:v>不适用/未标注</x:v>
      </x:c>
      <x:c r="M941" s="33" t="n">
        <x:v>5619088.620000001</x:v>
      </x:c>
      <x:c r="N941" s="33" t="n">
        <x:v>561.9088620000001</x:v>
      </x:c>
      <x:c r="O941" s="22" t="str">
        <x:v>公顷</x:v>
      </x:c>
      <x:c r="P941" s="22" t="str">
        <x:v>未提供（单期横截面）</x:v>
      </x:c>
      <x:c r="Q941" s="23" t="n">
        <x:v>3920</x:v>
      </x:c>
    </x:row>
    <x:row r="942">
      <x:c r="A942" s="30" t="n">
        <x:v>350500</x:v>
      </x:c>
      <x:c r="B942" s="22" t="str">
        <x:v>泉州市</x:v>
      </x:c>
      <x:c r="C942" s="31" t="n">
        <x:v>350504</x:v>
      </x:c>
      <x:c r="D942" s="22" t="str">
        <x:v>洛江区</x:v>
      </x:c>
      <x:c r="E942" s="22" t="str">
        <x:v>农用地</x:v>
      </x:c>
      <x:c r="F942" s="22" t="str">
        <x:v>水域及水利设施</x:v>
      </x:c>
      <x:c r="G942" s="32" t="str">
        <x:v>1104</x:v>
      </x:c>
      <x:c r="H942" s="32" t="str">
        <x:v>1104</x:v>
      </x:c>
      <x:c r="I942" s="22" t="str">
        <x:v>坑塘水面</x:v>
      </x:c>
      <x:c r="J942" s="22" t="str">
        <x:v>农业生态</x:v>
      </x:c>
      <x:c r="K942" s="32" t="str"/>
      <x:c r="L942" s="22" t="str">
        <x:v>不适用/未标注</x:v>
      </x:c>
      <x:c r="M942" s="33" t="n">
        <x:v>1767142.05</x:v>
      </x:c>
      <x:c r="N942" s="33" t="n">
        <x:v>176.714205</x:v>
      </x:c>
      <x:c r="O942" s="22" t="str">
        <x:v>公顷</x:v>
      </x:c>
      <x:c r="P942" s="22" t="str">
        <x:v>未提供（单期横截面）</x:v>
      </x:c>
      <x:c r="Q942" s="23" t="n">
        <x:v>3921</x:v>
      </x:c>
    </x:row>
    <x:row r="943">
      <x:c r="A943" s="30" t="n">
        <x:v>350500</x:v>
      </x:c>
      <x:c r="B943" s="22" t="str">
        <x:v>泉州市</x:v>
      </x:c>
      <x:c r="C943" s="31" t="n">
        <x:v>350504</x:v>
      </x:c>
      <x:c r="D943" s="22" t="str">
        <x:v>洛江区</x:v>
      </x:c>
      <x:c r="E943" s="22" t="str">
        <x:v>农用地</x:v>
      </x:c>
      <x:c r="F943" s="22" t="str">
        <x:v>水域及水利设施</x:v>
      </x:c>
      <x:c r="G943" s="32" t="str">
        <x:v>1104A</x:v>
      </x:c>
      <x:c r="H943" s="32" t="str">
        <x:v>1104</x:v>
      </x:c>
      <x:c r="I943" s="22" t="str">
        <x:v>养殖坑塘</x:v>
      </x:c>
      <x:c r="J943" s="22" t="str">
        <x:v>农业生态</x:v>
      </x:c>
      <x:c r="K943" s="32" t="str"/>
      <x:c r="L943" s="22" t="str">
        <x:v>不适用/未标注</x:v>
      </x:c>
      <x:c r="M943" s="33" t="n">
        <x:v>51755.62</x:v>
      </x:c>
      <x:c r="N943" s="33" t="n">
        <x:v>5.175562</x:v>
      </x:c>
      <x:c r="O943" s="22" t="str">
        <x:v>公顷</x:v>
      </x:c>
      <x:c r="P943" s="22" t="str">
        <x:v>未提供（单期横截面）</x:v>
      </x:c>
      <x:c r="Q943" s="23" t="n">
        <x:v>3922</x:v>
      </x:c>
    </x:row>
    <x:row r="944">
      <x:c r="A944" s="30" t="n">
        <x:v>350500</x:v>
      </x:c>
      <x:c r="B944" s="22" t="str">
        <x:v>泉州市</x:v>
      </x:c>
      <x:c r="C944" s="31" t="n">
        <x:v>350504</x:v>
      </x:c>
      <x:c r="D944" s="22" t="str">
        <x:v>洛江区</x:v>
      </x:c>
      <x:c r="E944" s="22" t="str">
        <x:v>农用地</x:v>
      </x:c>
      <x:c r="F944" s="22" t="str">
        <x:v>水域及水利设施</x:v>
      </x:c>
      <x:c r="G944" s="32" t="str">
        <x:v>1107</x:v>
      </x:c>
      <x:c r="H944" s="32" t="str">
        <x:v>1107</x:v>
      </x:c>
      <x:c r="I944" s="22" t="str">
        <x:v>沟渠</x:v>
      </x:c>
      <x:c r="J944" s="22" t="str">
        <x:v>农业生态</x:v>
      </x:c>
      <x:c r="K944" s="32" t="str"/>
      <x:c r="L944" s="22" t="str">
        <x:v>不适用/未标注</x:v>
      </x:c>
      <x:c r="M944" s="33" t="n">
        <x:v>1096074.3500000006</x:v>
      </x:c>
      <x:c r="N944" s="33" t="n">
        <x:v>109.60743500000005</x:v>
      </x:c>
      <x:c r="O944" s="22" t="str">
        <x:v>公顷</x:v>
      </x:c>
      <x:c r="P944" s="22" t="str">
        <x:v>未提供（单期横截面）</x:v>
      </x:c>
      <x:c r="Q944" s="23" t="n">
        <x:v>3923</x:v>
      </x:c>
    </x:row>
    <x:row r="945">
      <x:c r="A945" s="30" t="n">
        <x:v>350500</x:v>
      </x:c>
      <x:c r="B945" s="22" t="str">
        <x:v>泉州市</x:v>
      </x:c>
      <x:c r="C945" s="31" t="n">
        <x:v>350504</x:v>
      </x:c>
      <x:c r="D945" s="22" t="str">
        <x:v>洛江区</x:v>
      </x:c>
      <x:c r="E945" s="22" t="str">
        <x:v>农用地</x:v>
      </x:c>
      <x:c r="F945" s="22" t="str">
        <x:v>水域及水利设施</x:v>
      </x:c>
      <x:c r="G945" s="32" t="str">
        <x:v>1107A</x:v>
      </x:c>
      <x:c r="H945" s="32" t="str">
        <x:v>1107</x:v>
      </x:c>
      <x:c r="I945" s="22" t="str">
        <x:v>干渠</x:v>
      </x:c>
      <x:c r="J945" s="22" t="str">
        <x:v>农业生态</x:v>
      </x:c>
      <x:c r="K945" s="32" t="str"/>
      <x:c r="L945" s="22" t="str">
        <x:v>不适用/未标注</x:v>
      </x:c>
      <x:c r="M945" s="33" t="n">
        <x:v>817.8</x:v>
      </x:c>
      <x:c r="N945" s="33" t="n">
        <x:v>0.08177999999999999</x:v>
      </x:c>
      <x:c r="O945" s="22" t="str">
        <x:v>公顷</x:v>
      </x:c>
      <x:c r="P945" s="22" t="str">
        <x:v>未提供（单期横截面）</x:v>
      </x:c>
      <x:c r="Q945" s="23" t="n">
        <x:v>3924</x:v>
      </x:c>
    </x:row>
    <x:row r="946">
      <x:c r="A946" s="30" t="n">
        <x:v>350500</x:v>
      </x:c>
      <x:c r="B946" s="22" t="str">
        <x:v>泉州市</x:v>
      </x:c>
      <x:c r="C946" s="31" t="n">
        <x:v>350504</x:v>
      </x:c>
      <x:c r="D946" s="22" t="str">
        <x:v>洛江区</x:v>
      </x:c>
      <x:c r="E946" s="22" t="str">
        <x:v>农用地</x:v>
      </x:c>
      <x:c r="F946" s="22" t="str">
        <x:v>其他农用地</x:v>
      </x:c>
      <x:c r="G946" s="32" t="str">
        <x:v>1202</x:v>
      </x:c>
      <x:c r="H946" s="32" t="str">
        <x:v>1202</x:v>
      </x:c>
      <x:c r="I946" s="22" t="str">
        <x:v>设施农用地</x:v>
      </x:c>
      <x:c r="J946" s="22" t="str">
        <x:v>农业生态</x:v>
      </x:c>
      <x:c r="K946" s="32" t="str"/>
      <x:c r="L946" s="22" t="str">
        <x:v>不适用/未标注</x:v>
      </x:c>
      <x:c r="M946" s="33" t="n">
        <x:v>1037723.9999999998</x:v>
      </x:c>
      <x:c r="N946" s="33" t="n">
        <x:v>103.77239999999998</x:v>
      </x:c>
      <x:c r="O946" s="22" t="str">
        <x:v>公顷</x:v>
      </x:c>
      <x:c r="P946" s="22" t="str">
        <x:v>未提供（单期横截面）</x:v>
      </x:c>
      <x:c r="Q946" s="23" t="n">
        <x:v>3925</x:v>
      </x:c>
    </x:row>
    <x:row r="947">
      <x:c r="A947" s="30" t="n">
        <x:v>350500</x:v>
      </x:c>
      <x:c r="B947" s="22" t="str">
        <x:v>泉州市</x:v>
      </x:c>
      <x:c r="C947" s="31" t="n">
        <x:v>350504</x:v>
      </x:c>
      <x:c r="D947" s="22" t="str">
        <x:v>洛江区</x:v>
      </x:c>
      <x:c r="E947" s="22" t="str">
        <x:v>农用地</x:v>
      </x:c>
      <x:c r="F947" s="22" t="str">
        <x:v>耕地</x:v>
      </x:c>
      <x:c r="G947" s="32" t="str">
        <x:v>101</x:v>
      </x:c>
      <x:c r="H947" s="32" t="str">
        <x:v>101</x:v>
      </x:c>
      <x:c r="I947" s="22" t="str">
        <x:v>水田</x:v>
      </x:c>
      <x:c r="J947" s="22" t="str">
        <x:v>农业生态</x:v>
      </x:c>
      <x:c r="K947" s="32" t="str">
        <x:v>201</x:v>
      </x:c>
      <x:c r="L947" s="22" t="str">
        <x:v>城市范围</x:v>
      </x:c>
      <x:c r="M947" s="33" t="n">
        <x:v>21479.5</x:v>
      </x:c>
      <x:c r="N947" s="33" t="n">
        <x:v>2.14795</x:v>
      </x:c>
      <x:c r="O947" s="22" t="str">
        <x:v>公顷</x:v>
      </x:c>
      <x:c r="P947" s="22" t="str">
        <x:v>未提供（单期横截面）</x:v>
      </x:c>
      <x:c r="Q947" s="23" t="n">
        <x:v>3926</x:v>
      </x:c>
    </x:row>
    <x:row r="948">
      <x:c r="A948" s="30" t="n">
        <x:v>350500</x:v>
      </x:c>
      <x:c r="B948" s="22" t="str">
        <x:v>泉州市</x:v>
      </x:c>
      <x:c r="C948" s="31" t="n">
        <x:v>350504</x:v>
      </x:c>
      <x:c r="D948" s="22" t="str">
        <x:v>洛江区</x:v>
      </x:c>
      <x:c r="E948" s="22" t="str">
        <x:v>农用地</x:v>
      </x:c>
      <x:c r="F948" s="22" t="str">
        <x:v>耕地</x:v>
      </x:c>
      <x:c r="G948" s="32" t="str">
        <x:v>103</x:v>
      </x:c>
      <x:c r="H948" s="32" t="str">
        <x:v>103</x:v>
      </x:c>
      <x:c r="I948" s="22" t="str">
        <x:v>旱地</x:v>
      </x:c>
      <x:c r="J948" s="22" t="str">
        <x:v>农业生态</x:v>
      </x:c>
      <x:c r="K948" s="32" t="str">
        <x:v>201</x:v>
      </x:c>
      <x:c r="L948" s="22" t="str">
        <x:v>城市范围</x:v>
      </x:c>
      <x:c r="M948" s="33" t="n">
        <x:v>23668.01</x:v>
      </x:c>
      <x:c r="N948" s="33" t="n">
        <x:v>2.3668009999999997</x:v>
      </x:c>
      <x:c r="O948" s="22" t="str">
        <x:v>公顷</x:v>
      </x:c>
      <x:c r="P948" s="22" t="str">
        <x:v>未提供（单期横截面）</x:v>
      </x:c>
      <x:c r="Q948" s="23" t="n">
        <x:v>3927</x:v>
      </x:c>
    </x:row>
    <x:row r="949">
      <x:c r="A949" s="30" t="n">
        <x:v>350500</x:v>
      </x:c>
      <x:c r="B949" s="22" t="str">
        <x:v>泉州市</x:v>
      </x:c>
      <x:c r="C949" s="31" t="n">
        <x:v>350504</x:v>
      </x:c>
      <x:c r="D949" s="22" t="str">
        <x:v>洛江区</x:v>
      </x:c>
      <x:c r="E949" s="22" t="str">
        <x:v>农用地</x:v>
      </x:c>
      <x:c r="F949" s="22" t="str">
        <x:v>园地</x:v>
      </x:c>
      <x:c r="G949" s="32" t="str">
        <x:v>201</x:v>
      </x:c>
      <x:c r="H949" s="32" t="str">
        <x:v>201</x:v>
      </x:c>
      <x:c r="I949" s="22" t="str">
        <x:v>果园</x:v>
      </x:c>
      <x:c r="J949" s="22" t="str">
        <x:v>农业生态</x:v>
      </x:c>
      <x:c r="K949" s="32" t="str">
        <x:v>201</x:v>
      </x:c>
      <x:c r="L949" s="22" t="str">
        <x:v>城市范围</x:v>
      </x:c>
      <x:c r="M949" s="33" t="n">
        <x:v>42314.610000000015</x:v>
      </x:c>
      <x:c r="N949" s="33" t="n">
        <x:v>4.231461000000001</x:v>
      </x:c>
      <x:c r="O949" s="22" t="str">
        <x:v>公顷</x:v>
      </x:c>
      <x:c r="P949" s="22" t="str">
        <x:v>未提供（单期横截面）</x:v>
      </x:c>
      <x:c r="Q949" s="23" t="n">
        <x:v>3928</x:v>
      </x:c>
    </x:row>
    <x:row r="950">
      <x:c r="A950" s="30" t="n">
        <x:v>350500</x:v>
      </x:c>
      <x:c r="B950" s="22" t="str">
        <x:v>泉州市</x:v>
      </x:c>
      <x:c r="C950" s="31" t="n">
        <x:v>350504</x:v>
      </x:c>
      <x:c r="D950" s="22" t="str">
        <x:v>洛江区</x:v>
      </x:c>
      <x:c r="E950" s="22" t="str">
        <x:v>农用地</x:v>
      </x:c>
      <x:c r="F950" s="22" t="str">
        <x:v>林地</x:v>
      </x:c>
      <x:c r="G950" s="32" t="str">
        <x:v>301</x:v>
      </x:c>
      <x:c r="H950" s="32" t="str">
        <x:v>301</x:v>
      </x:c>
      <x:c r="I950" s="22" t="str">
        <x:v>乔木林地</x:v>
      </x:c>
      <x:c r="J950" s="22" t="str">
        <x:v>农业生态</x:v>
      </x:c>
      <x:c r="K950" s="32" t="str">
        <x:v>201</x:v>
      </x:c>
      <x:c r="L950" s="22" t="str">
        <x:v>城市范围</x:v>
      </x:c>
      <x:c r="M950" s="33" t="n">
        <x:v>51725.96000000001</x:v>
      </x:c>
      <x:c r="N950" s="33" t="n">
        <x:v>5.172596</x:v>
      </x:c>
      <x:c r="O950" s="22" t="str">
        <x:v>公顷</x:v>
      </x:c>
      <x:c r="P950" s="22" t="str">
        <x:v>未提供（单期横截面）</x:v>
      </x:c>
      <x:c r="Q950" s="23" t="n">
        <x:v>3929</x:v>
      </x:c>
    </x:row>
    <x:row r="951">
      <x:c r="A951" s="30" t="n">
        <x:v>350500</x:v>
      </x:c>
      <x:c r="B951" s="22" t="str">
        <x:v>泉州市</x:v>
      </x:c>
      <x:c r="C951" s="31" t="n">
        <x:v>350504</x:v>
      </x:c>
      <x:c r="D951" s="22" t="str">
        <x:v>洛江区</x:v>
      </x:c>
      <x:c r="E951" s="22" t="str">
        <x:v>农用地</x:v>
      </x:c>
      <x:c r="F951" s="22" t="str">
        <x:v>林地</x:v>
      </x:c>
      <x:c r="G951" s="32" t="str">
        <x:v>307</x:v>
      </x:c>
      <x:c r="H951" s="32" t="str">
        <x:v>307</x:v>
      </x:c>
      <x:c r="I951" s="22" t="str">
        <x:v>其他林地</x:v>
      </x:c>
      <x:c r="J951" s="22" t="str">
        <x:v>农业生态</x:v>
      </x:c>
      <x:c r="K951" s="32" t="str">
        <x:v>201</x:v>
      </x:c>
      <x:c r="L951" s="22" t="str">
        <x:v>城市范围</x:v>
      </x:c>
      <x:c r="M951" s="33" t="n">
        <x:v>7878.5</x:v>
      </x:c>
      <x:c r="N951" s="33" t="n">
        <x:v>0.78785</x:v>
      </x:c>
      <x:c r="O951" s="22" t="str">
        <x:v>公顷</x:v>
      </x:c>
      <x:c r="P951" s="22" t="str">
        <x:v>未提供（单期横截面）</x:v>
      </x:c>
      <x:c r="Q951" s="23" t="n">
        <x:v>3930</x:v>
      </x:c>
    </x:row>
    <x:row r="952">
      <x:c r="A952" s="30" t="n">
        <x:v>350500</x:v>
      </x:c>
      <x:c r="B952" s="22" t="str">
        <x:v>泉州市</x:v>
      </x:c>
      <x:c r="C952" s="31" t="n">
        <x:v>350504</x:v>
      </x:c>
      <x:c r="D952" s="22" t="str">
        <x:v>洛江区</x:v>
      </x:c>
      <x:c r="E952" s="22" t="str">
        <x:v>农用地</x:v>
      </x:c>
      <x:c r="F952" s="22" t="str">
        <x:v>水域及水利设施</x:v>
      </x:c>
      <x:c r="G952" s="32" t="str">
        <x:v>1107</x:v>
      </x:c>
      <x:c r="H952" s="32" t="str">
        <x:v>1107</x:v>
      </x:c>
      <x:c r="I952" s="22" t="str">
        <x:v>沟渠</x:v>
      </x:c>
      <x:c r="J952" s="22" t="str">
        <x:v>农业生态</x:v>
      </x:c>
      <x:c r="K952" s="32" t="str">
        <x:v>201</x:v>
      </x:c>
      <x:c r="L952" s="22" t="str">
        <x:v>城市范围</x:v>
      </x:c>
      <x:c r="M952" s="33" t="n">
        <x:v>43627.71000000001</x:v>
      </x:c>
      <x:c r="N952" s="33" t="n">
        <x:v>4.362771</x:v>
      </x:c>
      <x:c r="O952" s="22" t="str">
        <x:v>公顷</x:v>
      </x:c>
      <x:c r="P952" s="22" t="str">
        <x:v>未提供（单期横截面）</x:v>
      </x:c>
      <x:c r="Q952" s="23" t="n">
        <x:v>3931</x:v>
      </x:c>
    </x:row>
    <x:row r="953">
      <x:c r="A953" s="30" t="n">
        <x:v>350500</x:v>
      </x:c>
      <x:c r="B953" s="22" t="str">
        <x:v>泉州市</x:v>
      </x:c>
      <x:c r="C953" s="31" t="n">
        <x:v>350504</x:v>
      </x:c>
      <x:c r="D953" s="22" t="str">
        <x:v>洛江区</x:v>
      </x:c>
      <x:c r="E953" s="22" t="str">
        <x:v>农用地</x:v>
      </x:c>
      <x:c r="F953" s="22" t="str">
        <x:v>水域及水利设施</x:v>
      </x:c>
      <x:c r="G953" s="32" t="str">
        <x:v>1107A</x:v>
      </x:c>
      <x:c r="H953" s="32" t="str">
        <x:v>1107</x:v>
      </x:c>
      <x:c r="I953" s="22" t="str">
        <x:v>干渠</x:v>
      </x:c>
      <x:c r="J953" s="22" t="str">
        <x:v>农业生态</x:v>
      </x:c>
      <x:c r="K953" s="32" t="str">
        <x:v>201</x:v>
      </x:c>
      <x:c r="L953" s="22" t="str">
        <x:v>城市范围</x:v>
      </x:c>
      <x:c r="M953" s="33" t="n">
        <x:v>4348.7300000000005</x:v>
      </x:c>
      <x:c r="N953" s="33" t="n">
        <x:v>0.43487300000000007</x:v>
      </x:c>
      <x:c r="O953" s="22" t="str">
        <x:v>公顷</x:v>
      </x:c>
      <x:c r="P953" s="22" t="str">
        <x:v>未提供（单期横截面）</x:v>
      </x:c>
      <x:c r="Q953" s="23" t="n">
        <x:v>3932</x:v>
      </x:c>
    </x:row>
    <x:row r="954">
      <x:c r="A954" s="30" t="n">
        <x:v>350500</x:v>
      </x:c>
      <x:c r="B954" s="22" t="str">
        <x:v>泉州市</x:v>
      </x:c>
      <x:c r="C954" s="31" t="n">
        <x:v>350504</x:v>
      </x:c>
      <x:c r="D954" s="22" t="str">
        <x:v>洛江区</x:v>
      </x:c>
      <x:c r="E954" s="22" t="str">
        <x:v>农用地</x:v>
      </x:c>
      <x:c r="F954" s="22" t="str">
        <x:v>其他农用地</x:v>
      </x:c>
      <x:c r="G954" s="32" t="str">
        <x:v>1202</x:v>
      </x:c>
      <x:c r="H954" s="32" t="str">
        <x:v>1202</x:v>
      </x:c>
      <x:c r="I954" s="22" t="str">
        <x:v>设施农用地</x:v>
      </x:c>
      <x:c r="J954" s="22" t="str">
        <x:v>农业生态</x:v>
      </x:c>
      <x:c r="K954" s="32" t="str">
        <x:v>201</x:v>
      </x:c>
      <x:c r="L954" s="22" t="str">
        <x:v>城市范围</x:v>
      </x:c>
      <x:c r="M954" s="33" t="n">
        <x:v>989.08</x:v>
      </x:c>
      <x:c r="N954" s="33" t="n">
        <x:v>0.09890800000000001</x:v>
      </x:c>
      <x:c r="O954" s="22" t="str">
        <x:v>公顷</x:v>
      </x:c>
      <x:c r="P954" s="22" t="str">
        <x:v>未提供（单期横截面）</x:v>
      </x:c>
      <x:c r="Q954" s="23" t="n">
        <x:v>3933</x:v>
      </x:c>
    </x:row>
    <x:row r="955">
      <x:c r="A955" s="30" t="n">
        <x:v>350500</x:v>
      </x:c>
      <x:c r="B955" s="22" t="str">
        <x:v>泉州市</x:v>
      </x:c>
      <x:c r="C955" s="31" t="n">
        <x:v>350504</x:v>
      </x:c>
      <x:c r="D955" s="22" t="str">
        <x:v>洛江区</x:v>
      </x:c>
      <x:c r="E955" s="22" t="str">
        <x:v>农用地</x:v>
      </x:c>
      <x:c r="F955" s="22" t="str">
        <x:v>耕地</x:v>
      </x:c>
      <x:c r="G955" s="32" t="str">
        <x:v>101</x:v>
      </x:c>
      <x:c r="H955" s="32" t="str">
        <x:v>101</x:v>
      </x:c>
      <x:c r="I955" s="22" t="str">
        <x:v>水田</x:v>
      </x:c>
      <x:c r="J955" s="22" t="str">
        <x:v>农业生态</x:v>
      </x:c>
      <x:c r="K955" s="32" t="str">
        <x:v>202</x:v>
      </x:c>
      <x:c r="L955" s="22" t="str">
        <x:v>建制镇范围</x:v>
      </x:c>
      <x:c r="M955" s="33" t="n">
        <x:v>67767.68000000001</x:v>
      </x:c>
      <x:c r="N955" s="33" t="n">
        <x:v>6.776768000000001</x:v>
      </x:c>
      <x:c r="O955" s="22" t="str">
        <x:v>公顷</x:v>
      </x:c>
      <x:c r="P955" s="22" t="str">
        <x:v>未提供（单期横截面）</x:v>
      </x:c>
      <x:c r="Q955" s="23" t="n">
        <x:v>3934</x:v>
      </x:c>
    </x:row>
    <x:row r="956">
      <x:c r="A956" s="30" t="n">
        <x:v>350500</x:v>
      </x:c>
      <x:c r="B956" s="22" t="str">
        <x:v>泉州市</x:v>
      </x:c>
      <x:c r="C956" s="31" t="n">
        <x:v>350504</x:v>
      </x:c>
      <x:c r="D956" s="22" t="str">
        <x:v>洛江区</x:v>
      </x:c>
      <x:c r="E956" s="22" t="str">
        <x:v>农用地</x:v>
      </x:c>
      <x:c r="F956" s="22" t="str">
        <x:v>耕地</x:v>
      </x:c>
      <x:c r="G956" s="32" t="str">
        <x:v>102</x:v>
      </x:c>
      <x:c r="H956" s="32" t="str">
        <x:v>102</x:v>
      </x:c>
      <x:c r="I956" s="22" t="str">
        <x:v>水浇地</x:v>
      </x:c>
      <x:c r="J956" s="22" t="str">
        <x:v>农业生态</x:v>
      </x:c>
      <x:c r="K956" s="32" t="str">
        <x:v>202</x:v>
      </x:c>
      <x:c r="L956" s="22" t="str">
        <x:v>建制镇范围</x:v>
      </x:c>
      <x:c r="M956" s="33" t="n">
        <x:v>9646.6</x:v>
      </x:c>
      <x:c r="N956" s="33" t="n">
        <x:v>0.9646600000000001</x:v>
      </x:c>
      <x:c r="O956" s="22" t="str">
        <x:v>公顷</x:v>
      </x:c>
      <x:c r="P956" s="22" t="str">
        <x:v>未提供（单期横截面）</x:v>
      </x:c>
      <x:c r="Q956" s="23" t="n">
        <x:v>3935</x:v>
      </x:c>
    </x:row>
    <x:row r="957">
      <x:c r="A957" s="30" t="n">
        <x:v>350500</x:v>
      </x:c>
      <x:c r="B957" s="22" t="str">
        <x:v>泉州市</x:v>
      </x:c>
      <x:c r="C957" s="31" t="n">
        <x:v>350504</x:v>
      </x:c>
      <x:c r="D957" s="22" t="str">
        <x:v>洛江区</x:v>
      </x:c>
      <x:c r="E957" s="22" t="str">
        <x:v>农用地</x:v>
      </x:c>
      <x:c r="F957" s="22" t="str">
        <x:v>耕地</x:v>
      </x:c>
      <x:c r="G957" s="32" t="str">
        <x:v>103</x:v>
      </x:c>
      <x:c r="H957" s="32" t="str">
        <x:v>103</x:v>
      </x:c>
      <x:c r="I957" s="22" t="str">
        <x:v>旱地</x:v>
      </x:c>
      <x:c r="J957" s="22" t="str">
        <x:v>农业生态</x:v>
      </x:c>
      <x:c r="K957" s="32" t="str">
        <x:v>202</x:v>
      </x:c>
      <x:c r="L957" s="22" t="str">
        <x:v>建制镇范围</x:v>
      </x:c>
      <x:c r="M957" s="33" t="n">
        <x:v>143872.57000000004</x:v>
      </x:c>
      <x:c r="N957" s="33" t="n">
        <x:v>14.387257000000004</x:v>
      </x:c>
      <x:c r="O957" s="22" t="str">
        <x:v>公顷</x:v>
      </x:c>
      <x:c r="P957" s="22" t="str">
        <x:v>未提供（单期横截面）</x:v>
      </x:c>
      <x:c r="Q957" s="23" t="n">
        <x:v>3936</x:v>
      </x:c>
    </x:row>
    <x:row r="958">
      <x:c r="A958" s="30" t="n">
        <x:v>350500</x:v>
      </x:c>
      <x:c r="B958" s="22" t="str">
        <x:v>泉州市</x:v>
      </x:c>
      <x:c r="C958" s="31" t="n">
        <x:v>350504</x:v>
      </x:c>
      <x:c r="D958" s="22" t="str">
        <x:v>洛江区</x:v>
      </x:c>
      <x:c r="E958" s="22" t="str">
        <x:v>农用地</x:v>
      </x:c>
      <x:c r="F958" s="22" t="str">
        <x:v>园地</x:v>
      </x:c>
      <x:c r="G958" s="32" t="str">
        <x:v>201</x:v>
      </x:c>
      <x:c r="H958" s="32" t="str">
        <x:v>201</x:v>
      </x:c>
      <x:c r="I958" s="22" t="str">
        <x:v>果园</x:v>
      </x:c>
      <x:c r="J958" s="22" t="str">
        <x:v>农业生态</x:v>
      </x:c>
      <x:c r="K958" s="32" t="str">
        <x:v>202</x:v>
      </x:c>
      <x:c r="L958" s="22" t="str">
        <x:v>建制镇范围</x:v>
      </x:c>
      <x:c r="M958" s="33" t="n">
        <x:v>99229.87000000001</x:v>
      </x:c>
      <x:c r="N958" s="33" t="n">
        <x:v>9.922987000000001</x:v>
      </x:c>
      <x:c r="O958" s="22" t="str">
        <x:v>公顷</x:v>
      </x:c>
      <x:c r="P958" s="22" t="str">
        <x:v>未提供（单期横截面）</x:v>
      </x:c>
      <x:c r="Q958" s="23" t="n">
        <x:v>3937</x:v>
      </x:c>
    </x:row>
    <x:row r="959">
      <x:c r="A959" s="30" t="n">
        <x:v>350500</x:v>
      </x:c>
      <x:c r="B959" s="22" t="str">
        <x:v>泉州市</x:v>
      </x:c>
      <x:c r="C959" s="31" t="n">
        <x:v>350504</x:v>
      </x:c>
      <x:c r="D959" s="22" t="str">
        <x:v>洛江区</x:v>
      </x:c>
      <x:c r="E959" s="22" t="str">
        <x:v>农用地</x:v>
      </x:c>
      <x:c r="F959" s="22" t="str">
        <x:v>林地</x:v>
      </x:c>
      <x:c r="G959" s="32" t="str">
        <x:v>301</x:v>
      </x:c>
      <x:c r="H959" s="32" t="str">
        <x:v>301</x:v>
      </x:c>
      <x:c r="I959" s="22" t="str">
        <x:v>乔木林地</x:v>
      </x:c>
      <x:c r="J959" s="22" t="str">
        <x:v>农业生态</x:v>
      </x:c>
      <x:c r="K959" s="32" t="str">
        <x:v>202</x:v>
      </x:c>
      <x:c r="L959" s="22" t="str">
        <x:v>建制镇范围</x:v>
      </x:c>
      <x:c r="M959" s="33" t="n">
        <x:v>23245.019999999997</x:v>
      </x:c>
      <x:c r="N959" s="33" t="n">
        <x:v>2.324502</x:v>
      </x:c>
      <x:c r="O959" s="22" t="str">
        <x:v>公顷</x:v>
      </x:c>
      <x:c r="P959" s="22" t="str">
        <x:v>未提供（单期横截面）</x:v>
      </x:c>
      <x:c r="Q959" s="23" t="n">
        <x:v>3938</x:v>
      </x:c>
    </x:row>
    <x:row r="960">
      <x:c r="A960" s="30" t="n">
        <x:v>350500</x:v>
      </x:c>
      <x:c r="B960" s="22" t="str">
        <x:v>泉州市</x:v>
      </x:c>
      <x:c r="C960" s="31" t="n">
        <x:v>350504</x:v>
      </x:c>
      <x:c r="D960" s="22" t="str">
        <x:v>洛江区</x:v>
      </x:c>
      <x:c r="E960" s="22" t="str">
        <x:v>农用地</x:v>
      </x:c>
      <x:c r="F960" s="22" t="str">
        <x:v>林地</x:v>
      </x:c>
      <x:c r="G960" s="32" t="str">
        <x:v>307</x:v>
      </x:c>
      <x:c r="H960" s="32" t="str">
        <x:v>307</x:v>
      </x:c>
      <x:c r="I960" s="22" t="str">
        <x:v>其他林地</x:v>
      </x:c>
      <x:c r="J960" s="22" t="str">
        <x:v>农业生态</x:v>
      </x:c>
      <x:c r="K960" s="32" t="str">
        <x:v>202</x:v>
      </x:c>
      <x:c r="L960" s="22" t="str">
        <x:v>建制镇范围</x:v>
      </x:c>
      <x:c r="M960" s="33" t="n">
        <x:v>27783.32</x:v>
      </x:c>
      <x:c r="N960" s="33" t="n">
        <x:v>2.778332</x:v>
      </x:c>
      <x:c r="O960" s="22" t="str">
        <x:v>公顷</x:v>
      </x:c>
      <x:c r="P960" s="22" t="str">
        <x:v>未提供（单期横截面）</x:v>
      </x:c>
      <x:c r="Q960" s="23" t="n">
        <x:v>3939</x:v>
      </x:c>
    </x:row>
    <x:row r="961">
      <x:c r="A961" s="30" t="n">
        <x:v>350500</x:v>
      </x:c>
      <x:c r="B961" s="22" t="str">
        <x:v>泉州市</x:v>
      </x:c>
      <x:c r="C961" s="31" t="n">
        <x:v>350504</x:v>
      </x:c>
      <x:c r="D961" s="22" t="str">
        <x:v>洛江区</x:v>
      </x:c>
      <x:c r="E961" s="22" t="str">
        <x:v>农用地</x:v>
      </x:c>
      <x:c r="F961" s="22" t="str">
        <x:v>其他农用地</x:v>
      </x:c>
      <x:c r="G961" s="32" t="str">
        <x:v>1006</x:v>
      </x:c>
      <x:c r="H961" s="32" t="str">
        <x:v>1006</x:v>
      </x:c>
      <x:c r="I961" s="22" t="str">
        <x:v>农村道路</x:v>
      </x:c>
      <x:c r="J961" s="22" t="str">
        <x:v>农业生态</x:v>
      </x:c>
      <x:c r="K961" s="32" t="str">
        <x:v>202</x:v>
      </x:c>
      <x:c r="L961" s="22" t="str">
        <x:v>建制镇范围</x:v>
      </x:c>
      <x:c r="M961" s="33" t="n">
        <x:v>131.7</x:v>
      </x:c>
      <x:c r="N961" s="33" t="n">
        <x:v>0.01317</x:v>
      </x:c>
      <x:c r="O961" s="22" t="str">
        <x:v>公顷</x:v>
      </x:c>
      <x:c r="P961" s="22" t="str">
        <x:v>未提供（单期横截面）</x:v>
      </x:c>
      <x:c r="Q961" s="23" t="n">
        <x:v>3940</x:v>
      </x:c>
    </x:row>
    <x:row r="962">
      <x:c r="A962" s="30" t="n">
        <x:v>350500</x:v>
      </x:c>
      <x:c r="B962" s="22" t="str">
        <x:v>泉州市</x:v>
      </x:c>
      <x:c r="C962" s="31" t="n">
        <x:v>350504</x:v>
      </x:c>
      <x:c r="D962" s="22" t="str">
        <x:v>洛江区</x:v>
      </x:c>
      <x:c r="E962" s="22" t="str">
        <x:v>农用地</x:v>
      </x:c>
      <x:c r="F962" s="22" t="str">
        <x:v>水域及水利设施</x:v>
      </x:c>
      <x:c r="G962" s="32" t="str">
        <x:v>1104</x:v>
      </x:c>
      <x:c r="H962" s="32" t="str">
        <x:v>1104</x:v>
      </x:c>
      <x:c r="I962" s="22" t="str">
        <x:v>坑塘水面</x:v>
      </x:c>
      <x:c r="J962" s="22" t="str">
        <x:v>农业生态</x:v>
      </x:c>
      <x:c r="K962" s="32" t="str">
        <x:v>202</x:v>
      </x:c>
      <x:c r="L962" s="22" t="str">
        <x:v>建制镇范围</x:v>
      </x:c>
      <x:c r="M962" s="33" t="n">
        <x:v>17186.18</x:v>
      </x:c>
      <x:c r="N962" s="33" t="n">
        <x:v>1.718618</x:v>
      </x:c>
      <x:c r="O962" s="22" t="str">
        <x:v>公顷</x:v>
      </x:c>
      <x:c r="P962" s="22" t="str">
        <x:v>未提供（单期横截面）</x:v>
      </x:c>
      <x:c r="Q962" s="23" t="n">
        <x:v>3941</x:v>
      </x:c>
    </x:row>
    <x:row r="963">
      <x:c r="A963" s="30" t="n">
        <x:v>350500</x:v>
      </x:c>
      <x:c r="B963" s="22" t="str">
        <x:v>泉州市</x:v>
      </x:c>
      <x:c r="C963" s="31" t="n">
        <x:v>350504</x:v>
      </x:c>
      <x:c r="D963" s="22" t="str">
        <x:v>洛江区</x:v>
      </x:c>
      <x:c r="E963" s="22" t="str">
        <x:v>农用地</x:v>
      </x:c>
      <x:c r="F963" s="22" t="str">
        <x:v>水域及水利设施</x:v>
      </x:c>
      <x:c r="G963" s="32" t="str">
        <x:v>1104A</x:v>
      </x:c>
      <x:c r="H963" s="32" t="str">
        <x:v>1104</x:v>
      </x:c>
      <x:c r="I963" s="22" t="str">
        <x:v>养殖坑塘</x:v>
      </x:c>
      <x:c r="J963" s="22" t="str">
        <x:v>农业生态</x:v>
      </x:c>
      <x:c r="K963" s="32" t="str">
        <x:v>202</x:v>
      </x:c>
      <x:c r="L963" s="22" t="str">
        <x:v>建制镇范围</x:v>
      </x:c>
      <x:c r="M963" s="33" t="n">
        <x:v>901.7</x:v>
      </x:c>
      <x:c r="N963" s="33" t="n">
        <x:v>0.09017</x:v>
      </x:c>
      <x:c r="O963" s="22" t="str">
        <x:v>公顷</x:v>
      </x:c>
      <x:c r="P963" s="22" t="str">
        <x:v>未提供（单期横截面）</x:v>
      </x:c>
      <x:c r="Q963" s="23" t="n">
        <x:v>3942</x:v>
      </x:c>
    </x:row>
    <x:row r="964">
      <x:c r="A964" s="30" t="n">
        <x:v>350500</x:v>
      </x:c>
      <x:c r="B964" s="22" t="str">
        <x:v>泉州市</x:v>
      </x:c>
      <x:c r="C964" s="31" t="n">
        <x:v>350504</x:v>
      </x:c>
      <x:c r="D964" s="22" t="str">
        <x:v>洛江区</x:v>
      </x:c>
      <x:c r="E964" s="22" t="str">
        <x:v>农用地</x:v>
      </x:c>
      <x:c r="F964" s="22" t="str">
        <x:v>水域及水利设施</x:v>
      </x:c>
      <x:c r="G964" s="32" t="str">
        <x:v>1107</x:v>
      </x:c>
      <x:c r="H964" s="32" t="str">
        <x:v>1107</x:v>
      </x:c>
      <x:c r="I964" s="22" t="str">
        <x:v>沟渠</x:v>
      </x:c>
      <x:c r="J964" s="22" t="str">
        <x:v>农业生态</x:v>
      </x:c>
      <x:c r="K964" s="32" t="str">
        <x:v>202</x:v>
      </x:c>
      <x:c r="L964" s="22" t="str">
        <x:v>建制镇范围</x:v>
      </x:c>
      <x:c r="M964" s="33" t="n">
        <x:v>56356.11999999999</x:v>
      </x:c>
      <x:c r="N964" s="33" t="n">
        <x:v>5.635611999999999</x:v>
      </x:c>
      <x:c r="O964" s="22" t="str">
        <x:v>公顷</x:v>
      </x:c>
      <x:c r="P964" s="22" t="str">
        <x:v>未提供（单期横截面）</x:v>
      </x:c>
      <x:c r="Q964" s="23" t="n">
        <x:v>3943</x:v>
      </x:c>
    </x:row>
    <x:row r="965">
      <x:c r="A965" s="30" t="n">
        <x:v>350500</x:v>
      </x:c>
      <x:c r="B965" s="22" t="str">
        <x:v>泉州市</x:v>
      </x:c>
      <x:c r="C965" s="31" t="n">
        <x:v>350504</x:v>
      </x:c>
      <x:c r="D965" s="22" t="str">
        <x:v>洛江区</x:v>
      </x:c>
      <x:c r="E965" s="22" t="str">
        <x:v>农用地</x:v>
      </x:c>
      <x:c r="F965" s="22" t="str">
        <x:v>其他农用地</x:v>
      </x:c>
      <x:c r="G965" s="32" t="str">
        <x:v>1202</x:v>
      </x:c>
      <x:c r="H965" s="32" t="str">
        <x:v>1202</x:v>
      </x:c>
      <x:c r="I965" s="22" t="str">
        <x:v>设施农用地</x:v>
      </x:c>
      <x:c r="J965" s="22" t="str">
        <x:v>农业生态</x:v>
      </x:c>
      <x:c r="K965" s="32" t="str">
        <x:v>202</x:v>
      </x:c>
      <x:c r="L965" s="22" t="str">
        <x:v>建制镇范围</x:v>
      </x:c>
      <x:c r="M965" s="33" t="n">
        <x:v>29472.519999999997</x:v>
      </x:c>
      <x:c r="N965" s="33" t="n">
        <x:v>2.9472519999999998</x:v>
      </x:c>
      <x:c r="O965" s="22" t="str">
        <x:v>公顷</x:v>
      </x:c>
      <x:c r="P965" s="22" t="str">
        <x:v>未提供（单期横截面）</x:v>
      </x:c>
      <x:c r="Q965" s="23" t="n">
        <x:v>3944</x:v>
      </x:c>
    </x:row>
    <x:row r="966">
      <x:c r="A966" s="30" t="n">
        <x:v>350500</x:v>
      </x:c>
      <x:c r="B966" s="22" t="str">
        <x:v>泉州市</x:v>
      </x:c>
      <x:c r="C966" s="31" t="n">
        <x:v>350504</x:v>
      </x:c>
      <x:c r="D966" s="22" t="str">
        <x:v>洛江区</x:v>
      </x:c>
      <x:c r="E966" s="22" t="str">
        <x:v>农用地</x:v>
      </x:c>
      <x:c r="F966" s="22" t="str">
        <x:v>耕地</x:v>
      </x:c>
      <x:c r="G966" s="32" t="str">
        <x:v>101</x:v>
      </x:c>
      <x:c r="H966" s="32" t="str">
        <x:v>101</x:v>
      </x:c>
      <x:c r="I966" s="22" t="str">
        <x:v>水田</x:v>
      </x:c>
      <x:c r="J966" s="22" t="str">
        <x:v>农业生态</x:v>
      </x:c>
      <x:c r="K966" s="32" t="str">
        <x:v>203</x:v>
      </x:c>
      <x:c r="L966" s="22" t="str">
        <x:v>村庄范围</x:v>
      </x:c>
      <x:c r="M966" s="33" t="n">
        <x:v>72592.86999999998</x:v>
      </x:c>
      <x:c r="N966" s="33" t="n">
        <x:v>7.259286999999998</x:v>
      </x:c>
      <x:c r="O966" s="22" t="str">
        <x:v>公顷</x:v>
      </x:c>
      <x:c r="P966" s="22" t="str">
        <x:v>未提供（单期横截面）</x:v>
      </x:c>
      <x:c r="Q966" s="23" t="n">
        <x:v>3945</x:v>
      </x:c>
    </x:row>
    <x:row r="967">
      <x:c r="A967" s="30" t="n">
        <x:v>350500</x:v>
      </x:c>
      <x:c r="B967" s="22" t="str">
        <x:v>泉州市</x:v>
      </x:c>
      <x:c r="C967" s="31" t="n">
        <x:v>350504</x:v>
      </x:c>
      <x:c r="D967" s="22" t="str">
        <x:v>洛江区</x:v>
      </x:c>
      <x:c r="E967" s="22" t="str">
        <x:v>农用地</x:v>
      </x:c>
      <x:c r="F967" s="22" t="str">
        <x:v>耕地</x:v>
      </x:c>
      <x:c r="G967" s="32" t="str">
        <x:v>102</x:v>
      </x:c>
      <x:c r="H967" s="32" t="str">
        <x:v>102</x:v>
      </x:c>
      <x:c r="I967" s="22" t="str">
        <x:v>水浇地</x:v>
      </x:c>
      <x:c r="J967" s="22" t="str">
        <x:v>农业生态</x:v>
      </x:c>
      <x:c r="K967" s="32" t="str">
        <x:v>203</x:v>
      </x:c>
      <x:c r="L967" s="22" t="str">
        <x:v>村庄范围</x:v>
      </x:c>
      <x:c r="M967" s="33" t="n">
        <x:v>2671.94</x:v>
      </x:c>
      <x:c r="N967" s="33" t="n">
        <x:v>0.267194</x:v>
      </x:c>
      <x:c r="O967" s="22" t="str">
        <x:v>公顷</x:v>
      </x:c>
      <x:c r="P967" s="22" t="str">
        <x:v>未提供（单期横截面）</x:v>
      </x:c>
      <x:c r="Q967" s="23" t="n">
        <x:v>3946</x:v>
      </x:c>
    </x:row>
    <x:row r="968">
      <x:c r="A968" s="30" t="n">
        <x:v>350500</x:v>
      </x:c>
      <x:c r="B968" s="22" t="str">
        <x:v>泉州市</x:v>
      </x:c>
      <x:c r="C968" s="31" t="n">
        <x:v>350504</x:v>
      </x:c>
      <x:c r="D968" s="22" t="str">
        <x:v>洛江区</x:v>
      </x:c>
      <x:c r="E968" s="22" t="str">
        <x:v>农用地</x:v>
      </x:c>
      <x:c r="F968" s="22" t="str">
        <x:v>耕地</x:v>
      </x:c>
      <x:c r="G968" s="32" t="str">
        <x:v>103</x:v>
      </x:c>
      <x:c r="H968" s="32" t="str">
        <x:v>103</x:v>
      </x:c>
      <x:c r="I968" s="22" t="str">
        <x:v>旱地</x:v>
      </x:c>
      <x:c r="J968" s="22" t="str">
        <x:v>农业生态</x:v>
      </x:c>
      <x:c r="K968" s="32" t="str">
        <x:v>203</x:v>
      </x:c>
      <x:c r="L968" s="22" t="str">
        <x:v>村庄范围</x:v>
      </x:c>
      <x:c r="M968" s="33" t="n">
        <x:v>23643.700000000004</x:v>
      </x:c>
      <x:c r="N968" s="33" t="n">
        <x:v>2.3643700000000005</x:v>
      </x:c>
      <x:c r="O968" s="22" t="str">
        <x:v>公顷</x:v>
      </x:c>
      <x:c r="P968" s="22" t="str">
        <x:v>未提供（单期横截面）</x:v>
      </x:c>
      <x:c r="Q968" s="23" t="n">
        <x:v>3947</x:v>
      </x:c>
    </x:row>
    <x:row r="969">
      <x:c r="A969" s="30" t="n">
        <x:v>350500</x:v>
      </x:c>
      <x:c r="B969" s="22" t="str">
        <x:v>泉州市</x:v>
      </x:c>
      <x:c r="C969" s="31" t="n">
        <x:v>350504</x:v>
      </x:c>
      <x:c r="D969" s="22" t="str">
        <x:v>洛江区</x:v>
      </x:c>
      <x:c r="E969" s="22" t="str">
        <x:v>农用地</x:v>
      </x:c>
      <x:c r="F969" s="22" t="str">
        <x:v>园地</x:v>
      </x:c>
      <x:c r="G969" s="32" t="str">
        <x:v>201</x:v>
      </x:c>
      <x:c r="H969" s="32" t="str">
        <x:v>201</x:v>
      </x:c>
      <x:c r="I969" s="22" t="str">
        <x:v>果园</x:v>
      </x:c>
      <x:c r="J969" s="22" t="str">
        <x:v>农业生态</x:v>
      </x:c>
      <x:c r="K969" s="32" t="str">
        <x:v>203</x:v>
      </x:c>
      <x:c r="L969" s="22" t="str">
        <x:v>村庄范围</x:v>
      </x:c>
      <x:c r="M969" s="33" t="n">
        <x:v>141332.96999999994</x:v>
      </x:c>
      <x:c r="N969" s="33" t="n">
        <x:v>14.133296999999994</x:v>
      </x:c>
      <x:c r="O969" s="22" t="str">
        <x:v>公顷</x:v>
      </x:c>
      <x:c r="P969" s="22" t="str">
        <x:v>未提供（单期横截面）</x:v>
      </x:c>
      <x:c r="Q969" s="23" t="n">
        <x:v>3948</x:v>
      </x:c>
    </x:row>
    <x:row r="970">
      <x:c r="A970" s="30" t="n">
        <x:v>350500</x:v>
      </x:c>
      <x:c r="B970" s="22" t="str">
        <x:v>泉州市</x:v>
      </x:c>
      <x:c r="C970" s="31" t="n">
        <x:v>350504</x:v>
      </x:c>
      <x:c r="D970" s="22" t="str">
        <x:v>洛江区</x:v>
      </x:c>
      <x:c r="E970" s="22" t="str">
        <x:v>农用地</x:v>
      </x:c>
      <x:c r="F970" s="22" t="str">
        <x:v>园地</x:v>
      </x:c>
      <x:c r="G970" s="32" t="str">
        <x:v>204</x:v>
      </x:c>
      <x:c r="H970" s="32" t="str">
        <x:v>204</x:v>
      </x:c>
      <x:c r="I970" s="22" t="str">
        <x:v>其他园地</x:v>
      </x:c>
      <x:c r="J970" s="22" t="str">
        <x:v>农业生态</x:v>
      </x:c>
      <x:c r="K970" s="32" t="str">
        <x:v>203</x:v>
      </x:c>
      <x:c r="L970" s="22" t="str">
        <x:v>村庄范围</x:v>
      </x:c>
      <x:c r="M970" s="33" t="n">
        <x:v>14658.9</x:v>
      </x:c>
      <x:c r="N970" s="33" t="n">
        <x:v>1.46589</x:v>
      </x:c>
      <x:c r="O970" s="22" t="str">
        <x:v>公顷</x:v>
      </x:c>
      <x:c r="P970" s="22" t="str">
        <x:v>未提供（单期横截面）</x:v>
      </x:c>
      <x:c r="Q970" s="23" t="n">
        <x:v>3949</x:v>
      </x:c>
    </x:row>
    <x:row r="971">
      <x:c r="A971" s="30" t="n">
        <x:v>350500</x:v>
      </x:c>
      <x:c r="B971" s="22" t="str">
        <x:v>泉州市</x:v>
      </x:c>
      <x:c r="C971" s="31" t="n">
        <x:v>350504</x:v>
      </x:c>
      <x:c r="D971" s="22" t="str">
        <x:v>洛江区</x:v>
      </x:c>
      <x:c r="E971" s="22" t="str">
        <x:v>农用地</x:v>
      </x:c>
      <x:c r="F971" s="22" t="str">
        <x:v>林地</x:v>
      </x:c>
      <x:c r="G971" s="32" t="str">
        <x:v>301</x:v>
      </x:c>
      <x:c r="H971" s="32" t="str">
        <x:v>301</x:v>
      </x:c>
      <x:c r="I971" s="22" t="str">
        <x:v>乔木林地</x:v>
      </x:c>
      <x:c r="J971" s="22" t="str">
        <x:v>农业生态</x:v>
      </x:c>
      <x:c r="K971" s="32" t="str">
        <x:v>203</x:v>
      </x:c>
      <x:c r="L971" s="22" t="str">
        <x:v>村庄范围</x:v>
      </x:c>
      <x:c r="M971" s="33" t="n">
        <x:v>56845.96000000001</x:v>
      </x:c>
      <x:c r="N971" s="33" t="n">
        <x:v>5.684596000000001</x:v>
      </x:c>
      <x:c r="O971" s="22" t="str">
        <x:v>公顷</x:v>
      </x:c>
      <x:c r="P971" s="22" t="str">
        <x:v>未提供（单期横截面）</x:v>
      </x:c>
      <x:c r="Q971" s="23" t="n">
        <x:v>3950</x:v>
      </x:c>
    </x:row>
    <x:row r="972">
      <x:c r="A972" s="30" t="n">
        <x:v>350500</x:v>
      </x:c>
      <x:c r="B972" s="22" t="str">
        <x:v>泉州市</x:v>
      </x:c>
      <x:c r="C972" s="31" t="n">
        <x:v>350504</x:v>
      </x:c>
      <x:c r="D972" s="22" t="str">
        <x:v>洛江区</x:v>
      </x:c>
      <x:c r="E972" s="22" t="str">
        <x:v>农用地</x:v>
      </x:c>
      <x:c r="F972" s="22" t="str">
        <x:v>林地</x:v>
      </x:c>
      <x:c r="G972" s="32" t="str">
        <x:v>302</x:v>
      </x:c>
      <x:c r="H972" s="32" t="str">
        <x:v>302</x:v>
      </x:c>
      <x:c r="I972" s="22" t="str">
        <x:v>竹林地</x:v>
      </x:c>
      <x:c r="J972" s="22" t="str">
        <x:v>农业生态</x:v>
      </x:c>
      <x:c r="K972" s="32" t="str">
        <x:v>203</x:v>
      </x:c>
      <x:c r="L972" s="22" t="str">
        <x:v>村庄范围</x:v>
      </x:c>
      <x:c r="M972" s="33" t="n">
        <x:v>437.44</x:v>
      </x:c>
      <x:c r="N972" s="33" t="n">
        <x:v>0.043744</x:v>
      </x:c>
      <x:c r="O972" s="22" t="str">
        <x:v>公顷</x:v>
      </x:c>
      <x:c r="P972" s="22" t="str">
        <x:v>未提供（单期横截面）</x:v>
      </x:c>
      <x:c r="Q972" s="23" t="n">
        <x:v>3951</x:v>
      </x:c>
    </x:row>
    <x:row r="973">
      <x:c r="A973" s="30" t="n">
        <x:v>350500</x:v>
      </x:c>
      <x:c r="B973" s="22" t="str">
        <x:v>泉州市</x:v>
      </x:c>
      <x:c r="C973" s="31" t="n">
        <x:v>350504</x:v>
      </x:c>
      <x:c r="D973" s="22" t="str">
        <x:v>洛江区</x:v>
      </x:c>
      <x:c r="E973" s="22" t="str">
        <x:v>农用地</x:v>
      </x:c>
      <x:c r="F973" s="22" t="str">
        <x:v>林地</x:v>
      </x:c>
      <x:c r="G973" s="32" t="str">
        <x:v>305</x:v>
      </x:c>
      <x:c r="H973" s="32" t="str">
        <x:v>305</x:v>
      </x:c>
      <x:c r="I973" s="22" t="str">
        <x:v>灌木林地</x:v>
      </x:c>
      <x:c r="J973" s="22" t="str">
        <x:v>农业生态</x:v>
      </x:c>
      <x:c r="K973" s="32" t="str">
        <x:v>203</x:v>
      </x:c>
      <x:c r="L973" s="22" t="str">
        <x:v>村庄范围</x:v>
      </x:c>
      <x:c r="M973" s="33" t="n">
        <x:v>7177.969999999999</x:v>
      </x:c>
      <x:c r="N973" s="33" t="n">
        <x:v>0.7177969999999999</x:v>
      </x:c>
      <x:c r="O973" s="22" t="str">
        <x:v>公顷</x:v>
      </x:c>
      <x:c r="P973" s="22" t="str">
        <x:v>未提供（单期横截面）</x:v>
      </x:c>
      <x:c r="Q973" s="23" t="n">
        <x:v>3952</x:v>
      </x:c>
    </x:row>
    <x:row r="974">
      <x:c r="A974" s="30" t="n">
        <x:v>350500</x:v>
      </x:c>
      <x:c r="B974" s="22" t="str">
        <x:v>泉州市</x:v>
      </x:c>
      <x:c r="C974" s="31" t="n">
        <x:v>350504</x:v>
      </x:c>
      <x:c r="D974" s="22" t="str">
        <x:v>洛江区</x:v>
      </x:c>
      <x:c r="E974" s="22" t="str">
        <x:v>农用地</x:v>
      </x:c>
      <x:c r="F974" s="22" t="str">
        <x:v>林地</x:v>
      </x:c>
      <x:c r="G974" s="32" t="str">
        <x:v>307</x:v>
      </x:c>
      <x:c r="H974" s="32" t="str">
        <x:v>307</x:v>
      </x:c>
      <x:c r="I974" s="22" t="str">
        <x:v>其他林地</x:v>
      </x:c>
      <x:c r="J974" s="22" t="str">
        <x:v>农业生态</x:v>
      </x:c>
      <x:c r="K974" s="32" t="str">
        <x:v>203</x:v>
      </x:c>
      <x:c r="L974" s="22" t="str">
        <x:v>村庄范围</x:v>
      </x:c>
      <x:c r="M974" s="33" t="n">
        <x:v>38587.26</x:v>
      </x:c>
      <x:c r="N974" s="33" t="n">
        <x:v>3.8587260000000003</x:v>
      </x:c>
      <x:c r="O974" s="22" t="str">
        <x:v>公顷</x:v>
      </x:c>
      <x:c r="P974" s="22" t="str">
        <x:v>未提供（单期横截面）</x:v>
      </x:c>
      <x:c r="Q974" s="23" t="n">
        <x:v>3953</x:v>
      </x:c>
    </x:row>
    <x:row r="975">
      <x:c r="A975" s="30" t="n">
        <x:v>350500</x:v>
      </x:c>
      <x:c r="B975" s="22" t="str">
        <x:v>泉州市</x:v>
      </x:c>
      <x:c r="C975" s="31" t="n">
        <x:v>350504</x:v>
      </x:c>
      <x:c r="D975" s="22" t="str">
        <x:v>洛江区</x:v>
      </x:c>
      <x:c r="E975" s="22" t="str">
        <x:v>农用地</x:v>
      </x:c>
      <x:c r="F975" s="22" t="str">
        <x:v>其他农用地</x:v>
      </x:c>
      <x:c r="G975" s="32" t="str">
        <x:v>1006</x:v>
      </x:c>
      <x:c r="H975" s="32" t="str">
        <x:v>1006</x:v>
      </x:c>
      <x:c r="I975" s="22" t="str">
        <x:v>农村道路</x:v>
      </x:c>
      <x:c r="J975" s="22" t="str">
        <x:v>农业生态</x:v>
      </x:c>
      <x:c r="K975" s="32" t="str">
        <x:v>203</x:v>
      </x:c>
      <x:c r="L975" s="22" t="str">
        <x:v>村庄范围</x:v>
      </x:c>
      <x:c r="M975" s="33" t="n">
        <x:v>1169.34</x:v>
      </x:c>
      <x:c r="N975" s="33" t="n">
        <x:v>0.116934</x:v>
      </x:c>
      <x:c r="O975" s="22" t="str">
        <x:v>公顷</x:v>
      </x:c>
      <x:c r="P975" s="22" t="str">
        <x:v>未提供（单期横截面）</x:v>
      </x:c>
      <x:c r="Q975" s="23" t="n">
        <x:v>3954</x:v>
      </x:c>
    </x:row>
    <x:row r="976">
      <x:c r="A976" s="30" t="n">
        <x:v>350500</x:v>
      </x:c>
      <x:c r="B976" s="22" t="str">
        <x:v>泉州市</x:v>
      </x:c>
      <x:c r="C976" s="31" t="n">
        <x:v>350504</x:v>
      </x:c>
      <x:c r="D976" s="22" t="str">
        <x:v>洛江区</x:v>
      </x:c>
      <x:c r="E976" s="22" t="str">
        <x:v>农用地</x:v>
      </x:c>
      <x:c r="F976" s="22" t="str">
        <x:v>水域及水利设施</x:v>
      </x:c>
      <x:c r="G976" s="32" t="str">
        <x:v>1104</x:v>
      </x:c>
      <x:c r="H976" s="32" t="str">
        <x:v>1104</x:v>
      </x:c>
      <x:c r="I976" s="22" t="str">
        <x:v>坑塘水面</x:v>
      </x:c>
      <x:c r="J976" s="22" t="str">
        <x:v>农业生态</x:v>
      </x:c>
      <x:c r="K976" s="32" t="str">
        <x:v>203</x:v>
      </x:c>
      <x:c r="L976" s="22" t="str">
        <x:v>村庄范围</x:v>
      </x:c>
      <x:c r="M976" s="33" t="n">
        <x:v>11184.860000000002</x:v>
      </x:c>
      <x:c r="N976" s="33" t="n">
        <x:v>1.1184860000000003</x:v>
      </x:c>
      <x:c r="O976" s="22" t="str">
        <x:v>公顷</x:v>
      </x:c>
      <x:c r="P976" s="22" t="str">
        <x:v>未提供（单期横截面）</x:v>
      </x:c>
      <x:c r="Q976" s="23" t="n">
        <x:v>3955</x:v>
      </x:c>
    </x:row>
    <x:row r="977">
      <x:c r="A977" s="30" t="n">
        <x:v>350500</x:v>
      </x:c>
      <x:c r="B977" s="22" t="str">
        <x:v>泉州市</x:v>
      </x:c>
      <x:c r="C977" s="31" t="n">
        <x:v>350504</x:v>
      </x:c>
      <x:c r="D977" s="22" t="str">
        <x:v>洛江区</x:v>
      </x:c>
      <x:c r="E977" s="22" t="str">
        <x:v>农用地</x:v>
      </x:c>
      <x:c r="F977" s="22" t="str">
        <x:v>水域及水利设施</x:v>
      </x:c>
      <x:c r="G977" s="32" t="str">
        <x:v>1104A</x:v>
      </x:c>
      <x:c r="H977" s="32" t="str">
        <x:v>1104</x:v>
      </x:c>
      <x:c r="I977" s="22" t="str">
        <x:v>养殖坑塘</x:v>
      </x:c>
      <x:c r="J977" s="22" t="str">
        <x:v>农业生态</x:v>
      </x:c>
      <x:c r="K977" s="32" t="str">
        <x:v>203</x:v>
      </x:c>
      <x:c r="L977" s="22" t="str">
        <x:v>村庄范围</x:v>
      </x:c>
      <x:c r="M977" s="33" t="n">
        <x:v>634.38</x:v>
      </x:c>
      <x:c r="N977" s="33" t="n">
        <x:v>0.063438</x:v>
      </x:c>
      <x:c r="O977" s="22" t="str">
        <x:v>公顷</x:v>
      </x:c>
      <x:c r="P977" s="22" t="str">
        <x:v>未提供（单期横截面）</x:v>
      </x:c>
      <x:c r="Q977" s="23" t="n">
        <x:v>3956</x:v>
      </x:c>
    </x:row>
    <x:row r="978">
      <x:c r="A978" s="30" t="n">
        <x:v>350500</x:v>
      </x:c>
      <x:c r="B978" s="22" t="str">
        <x:v>泉州市</x:v>
      </x:c>
      <x:c r="C978" s="31" t="n">
        <x:v>350504</x:v>
      </x:c>
      <x:c r="D978" s="22" t="str">
        <x:v>洛江区</x:v>
      </x:c>
      <x:c r="E978" s="22" t="str">
        <x:v>农用地</x:v>
      </x:c>
      <x:c r="F978" s="22" t="str">
        <x:v>水域及水利设施</x:v>
      </x:c>
      <x:c r="G978" s="32" t="str">
        <x:v>1107</x:v>
      </x:c>
      <x:c r="H978" s="32" t="str">
        <x:v>1107</x:v>
      </x:c>
      <x:c r="I978" s="22" t="str">
        <x:v>沟渠</x:v>
      </x:c>
      <x:c r="J978" s="22" t="str">
        <x:v>农业生态</x:v>
      </x:c>
      <x:c r="K978" s="32" t="str">
        <x:v>203</x:v>
      </x:c>
      <x:c r="L978" s="22" t="str">
        <x:v>村庄范围</x:v>
      </x:c>
      <x:c r="M978" s="33" t="n">
        <x:v>902.16</x:v>
      </x:c>
      <x:c r="N978" s="33" t="n">
        <x:v>0.09021599999999999</x:v>
      </x:c>
      <x:c r="O978" s="22" t="str">
        <x:v>公顷</x:v>
      </x:c>
      <x:c r="P978" s="22" t="str">
        <x:v>未提供（单期横截面）</x:v>
      </x:c>
      <x:c r="Q978" s="23" t="n">
        <x:v>3957</x:v>
      </x:c>
    </x:row>
    <x:row r="979">
      <x:c r="A979" s="30" t="n">
        <x:v>350500</x:v>
      </x:c>
      <x:c r="B979" s="22" t="str">
        <x:v>泉州市</x:v>
      </x:c>
      <x:c r="C979" s="31" t="n">
        <x:v>350504</x:v>
      </x:c>
      <x:c r="D979" s="22" t="str">
        <x:v>洛江区</x:v>
      </x:c>
      <x:c r="E979" s="22" t="str">
        <x:v>农用地</x:v>
      </x:c>
      <x:c r="F979" s="22" t="str">
        <x:v>其他农用地</x:v>
      </x:c>
      <x:c r="G979" s="32" t="str">
        <x:v>1202</x:v>
      </x:c>
      <x:c r="H979" s="32" t="str">
        <x:v>1202</x:v>
      </x:c>
      <x:c r="I979" s="22" t="str">
        <x:v>设施农用地</x:v>
      </x:c>
      <x:c r="J979" s="22" t="str">
        <x:v>农业生态</x:v>
      </x:c>
      <x:c r="K979" s="32" t="str">
        <x:v>203</x:v>
      </x:c>
      <x:c r="L979" s="22" t="str">
        <x:v>村庄范围</x:v>
      </x:c>
      <x:c r="M979" s="33" t="n">
        <x:v>22576.050000000003</x:v>
      </x:c>
      <x:c r="N979" s="33" t="n">
        <x:v>2.2576050000000003</x:v>
      </x:c>
      <x:c r="O979" s="22" t="str">
        <x:v>公顷</x:v>
      </x:c>
      <x:c r="P979" s="22" t="str">
        <x:v>未提供（单期横截面）</x:v>
      </x:c>
      <x:c r="Q979" s="23" t="n">
        <x:v>3958</x:v>
      </x:c>
    </x:row>
    <x:row r="980">
      <x:c r="A980" s="30" t="n">
        <x:v>350500</x:v>
      </x:c>
      <x:c r="B980" s="22" t="str">
        <x:v>泉州市</x:v>
      </x:c>
      <x:c r="C980" s="31" t="n">
        <x:v>350504</x:v>
      </x:c>
      <x:c r="D980" s="22" t="str">
        <x:v>洛江区</x:v>
      </x:c>
      <x:c r="E980" s="22" t="str">
        <x:v>农用地</x:v>
      </x:c>
      <x:c r="F980" s="22" t="str">
        <x:v>水域及水利设施</x:v>
      </x:c>
      <x:c r="G980" s="32" t="str">
        <x:v>1104</x:v>
      </x:c>
      <x:c r="H980" s="32" t="str">
        <x:v>1104</x:v>
      </x:c>
      <x:c r="I980" s="22" t="str">
        <x:v>坑塘水面</x:v>
      </x:c>
      <x:c r="J980" s="22" t="str">
        <x:v>农业生态</x:v>
      </x:c>
      <x:c r="K980" s="32" t="str">
        <x:v>204</x:v>
      </x:c>
      <x:c r="L980" s="22" t="str">
        <x:v>盐田及采矿用地</x:v>
      </x:c>
      <x:c r="M980" s="33" t="n">
        <x:v>308.62</x:v>
      </x:c>
      <x:c r="N980" s="33" t="n">
        <x:v>0.030862</x:v>
      </x:c>
      <x:c r="O980" s="22" t="str">
        <x:v>公顷</x:v>
      </x:c>
      <x:c r="P980" s="22" t="str">
        <x:v>未提供（单期横截面）</x:v>
      </x:c>
      <x:c r="Q980" s="23" t="n">
        <x:v>3959</x:v>
      </x:c>
    </x:row>
    <x:row r="981">
      <x:c r="A981" s="30" t="n">
        <x:v>350500</x:v>
      </x:c>
      <x:c r="B981" s="22" t="str">
        <x:v>泉州市</x:v>
      </x:c>
      <x:c r="C981" s="31" t="n">
        <x:v>350504</x:v>
      </x:c>
      <x:c r="D981" s="22" t="str">
        <x:v>洛江区</x:v>
      </x:c>
      <x:c r="E981" s="22" t="str">
        <x:v>未利用地</x:v>
      </x:c>
      <x:c r="F981" s="22" t="str">
        <x:v>草地</x:v>
      </x:c>
      <x:c r="G981" s="32" t="str">
        <x:v>404</x:v>
      </x:c>
      <x:c r="H981" s="32" t="str">
        <x:v>404</x:v>
      </x:c>
      <x:c r="I981" s="22" t="str">
        <x:v>其他草地</x:v>
      </x:c>
      <x:c r="J981" s="22" t="str">
        <x:v>农业生态</x:v>
      </x:c>
      <x:c r="K981" s="32" t="str"/>
      <x:c r="L981" s="22" t="str">
        <x:v>不适用/未标注</x:v>
      </x:c>
      <x:c r="M981" s="33" t="n">
        <x:v>2918229.859999999</x:v>
      </x:c>
      <x:c r="N981" s="33" t="n">
        <x:v>291.8229859999999</x:v>
      </x:c>
      <x:c r="O981" s="22" t="str">
        <x:v>公顷</x:v>
      </x:c>
      <x:c r="P981" s="22" t="str">
        <x:v>未提供（单期横截面）</x:v>
      </x:c>
      <x:c r="Q981" s="23" t="n">
        <x:v>3960</x:v>
      </x:c>
    </x:row>
    <x:row r="982">
      <x:c r="A982" s="30" t="n">
        <x:v>350500</x:v>
      </x:c>
      <x:c r="B982" s="22" t="str">
        <x:v>泉州市</x:v>
      </x:c>
      <x:c r="C982" s="31" t="n">
        <x:v>350504</x:v>
      </x:c>
      <x:c r="D982" s="22" t="str">
        <x:v>洛江区</x:v>
      </x:c>
      <x:c r="E982" s="22" t="str">
        <x:v>未利用地</x:v>
      </x:c>
      <x:c r="F982" s="22" t="str">
        <x:v>水域及水利设施</x:v>
      </x:c>
      <x:c r="G982" s="32" t="str">
        <x:v>1101</x:v>
      </x:c>
      <x:c r="H982" s="32" t="str">
        <x:v>1101</x:v>
      </x:c>
      <x:c r="I982" s="22" t="str">
        <x:v>河流水面</x:v>
      </x:c>
      <x:c r="J982" s="22" t="str">
        <x:v>农业生态</x:v>
      </x:c>
      <x:c r="K982" s="32" t="str"/>
      <x:c r="L982" s="22" t="str">
        <x:v>不适用/未标注</x:v>
      </x:c>
      <x:c r="M982" s="33" t="n">
        <x:v>3714399.0699999956</x:v>
      </x:c>
      <x:c r="N982" s="33" t="n">
        <x:v>371.43990699999955</x:v>
      </x:c>
      <x:c r="O982" s="22" t="str">
        <x:v>公顷</x:v>
      </x:c>
      <x:c r="P982" s="22" t="str">
        <x:v>未提供（单期横截面）</x:v>
      </x:c>
      <x:c r="Q982" s="23" t="n">
        <x:v>3961</x:v>
      </x:c>
    </x:row>
    <x:row r="983">
      <x:c r="A983" s="30" t="n">
        <x:v>350500</x:v>
      </x:c>
      <x:c r="B983" s="22" t="str">
        <x:v>泉州市</x:v>
      </x:c>
      <x:c r="C983" s="31" t="n">
        <x:v>350504</x:v>
      </x:c>
      <x:c r="D983" s="22" t="str">
        <x:v>洛江区</x:v>
      </x:c>
      <x:c r="E983" s="22" t="str">
        <x:v>未利用地</x:v>
      </x:c>
      <x:c r="F983" s="22" t="str">
        <x:v>水域及水利设施</x:v>
      </x:c>
      <x:c r="G983" s="32" t="str">
        <x:v>1105</x:v>
      </x:c>
      <x:c r="H983" s="32" t="str">
        <x:v>1105</x:v>
      </x:c>
      <x:c r="I983" s="22" t="str">
        <x:v>沿海滩涂</x:v>
      </x:c>
      <x:c r="J983" s="22" t="str">
        <x:v>农业生态</x:v>
      </x:c>
      <x:c r="K983" s="32" t="str"/>
      <x:c r="L983" s="22" t="str">
        <x:v>不适用/未标注</x:v>
      </x:c>
      <x:c r="M983" s="33" t="n">
        <x:v>2835765.09</x:v>
      </x:c>
      <x:c r="N983" s="33" t="n">
        <x:v>283.576509</x:v>
      </x:c>
      <x:c r="O983" s="22" t="str">
        <x:v>公顷</x:v>
      </x:c>
      <x:c r="P983" s="22" t="str">
        <x:v>未提供（单期横截面）</x:v>
      </x:c>
      <x:c r="Q983" s="23" t="n">
        <x:v>3962</x:v>
      </x:c>
    </x:row>
    <x:row r="984">
      <x:c r="A984" s="30" t="n">
        <x:v>350500</x:v>
      </x:c>
      <x:c r="B984" s="22" t="str">
        <x:v>泉州市</x:v>
      </x:c>
      <x:c r="C984" s="31" t="n">
        <x:v>350504</x:v>
      </x:c>
      <x:c r="D984" s="22" t="str">
        <x:v>洛江区</x:v>
      </x:c>
      <x:c r="E984" s="22" t="str">
        <x:v>未利用地</x:v>
      </x:c>
      <x:c r="F984" s="22" t="str">
        <x:v>水域及水利设施</x:v>
      </x:c>
      <x:c r="G984" s="32" t="str">
        <x:v>1106</x:v>
      </x:c>
      <x:c r="H984" s="32" t="str">
        <x:v>1106</x:v>
      </x:c>
      <x:c r="I984" s="22" t="str">
        <x:v>内陆滩涂</x:v>
      </x:c>
      <x:c r="J984" s="22" t="str">
        <x:v>农业生态</x:v>
      </x:c>
      <x:c r="K984" s="32" t="str"/>
      <x:c r="L984" s="22" t="str">
        <x:v>不适用/未标注</x:v>
      </x:c>
      <x:c r="M984" s="33" t="n">
        <x:v>828957.1599999998</x:v>
      </x:c>
      <x:c r="N984" s="33" t="n">
        <x:v>82.89571599999998</x:v>
      </x:c>
      <x:c r="O984" s="22" t="str">
        <x:v>公顷</x:v>
      </x:c>
      <x:c r="P984" s="22" t="str">
        <x:v>未提供（单期横截面）</x:v>
      </x:c>
      <x:c r="Q984" s="23" t="n">
        <x:v>3963</x:v>
      </x:c>
    </x:row>
    <x:row r="985">
      <x:c r="A985" s="30" t="n">
        <x:v>350500</x:v>
      </x:c>
      <x:c r="B985" s="22" t="str">
        <x:v>泉州市</x:v>
      </x:c>
      <x:c r="C985" s="31" t="n">
        <x:v>350504</x:v>
      </x:c>
      <x:c r="D985" s="22" t="str">
        <x:v>洛江区</x:v>
      </x:c>
      <x:c r="E985" s="22" t="str">
        <x:v>未利用地</x:v>
      </x:c>
      <x:c r="F985" s="22" t="str">
        <x:v>未利用地</x:v>
      </x:c>
      <x:c r="G985" s="32" t="str">
        <x:v>1206</x:v>
      </x:c>
      <x:c r="H985" s="32" t="str">
        <x:v>1206</x:v>
      </x:c>
      <x:c r="I985" s="22" t="str">
        <x:v>裸土地</x:v>
      </x:c>
      <x:c r="J985" s="22" t="str">
        <x:v>未利用地</x:v>
      </x:c>
      <x:c r="K985" s="32" t="str"/>
      <x:c r="L985" s="22" t="str">
        <x:v>不适用/未标注</x:v>
      </x:c>
      <x:c r="M985" s="33" t="n">
        <x:v>19215.23</x:v>
      </x:c>
      <x:c r="N985" s="33" t="n">
        <x:v>1.9215229999999999</x:v>
      </x:c>
      <x:c r="O985" s="22" t="str">
        <x:v>公顷</x:v>
      </x:c>
      <x:c r="P985" s="22" t="str">
        <x:v>未提供（单期横截面）</x:v>
      </x:c>
      <x:c r="Q985" s="23" t="n">
        <x:v>3964</x:v>
      </x:c>
    </x:row>
    <x:row r="986">
      <x:c r="A986" s="30" t="n">
        <x:v>350500</x:v>
      </x:c>
      <x:c r="B986" s="22" t="str">
        <x:v>泉州市</x:v>
      </x:c>
      <x:c r="C986" s="31" t="n">
        <x:v>350504</x:v>
      </x:c>
      <x:c r="D986" s="22" t="str">
        <x:v>洛江区</x:v>
      </x:c>
      <x:c r="E986" s="22" t="str">
        <x:v>未利用地</x:v>
      </x:c>
      <x:c r="F986" s="22" t="str">
        <x:v>未利用地</x:v>
      </x:c>
      <x:c r="G986" s="32" t="str">
        <x:v>1207</x:v>
      </x:c>
      <x:c r="H986" s="32" t="str">
        <x:v>1207</x:v>
      </x:c>
      <x:c r="I986" s="22" t="str">
        <x:v>裸岩石砾地</x:v>
      </x:c>
      <x:c r="J986" s="22" t="str">
        <x:v>未利用地</x:v>
      </x:c>
      <x:c r="K986" s="32" t="str"/>
      <x:c r="L986" s="22" t="str">
        <x:v>不适用/未标注</x:v>
      </x:c>
      <x:c r="M986" s="33" t="n">
        <x:v>372333.06000000006</x:v>
      </x:c>
      <x:c r="N986" s="33" t="n">
        <x:v>37.233306000000006</x:v>
      </x:c>
      <x:c r="O986" s="22" t="str">
        <x:v>公顷</x:v>
      </x:c>
      <x:c r="P986" s="22" t="str">
        <x:v>未提供（单期横截面）</x:v>
      </x:c>
      <x:c r="Q986" s="23" t="n">
        <x:v>3965</x:v>
      </x:c>
    </x:row>
    <x:row r="987">
      <x:c r="A987" s="30" t="n">
        <x:v>350500</x:v>
      </x:c>
      <x:c r="B987" s="22" t="str">
        <x:v>泉州市</x:v>
      </x:c>
      <x:c r="C987" s="31" t="n">
        <x:v>350504</x:v>
      </x:c>
      <x:c r="D987" s="22" t="str">
        <x:v>洛江区</x:v>
      </x:c>
      <x:c r="E987" s="22" t="str">
        <x:v>未利用地</x:v>
      </x:c>
      <x:c r="F987" s="22" t="str">
        <x:v>草地</x:v>
      </x:c>
      <x:c r="G987" s="32" t="str">
        <x:v>404</x:v>
      </x:c>
      <x:c r="H987" s="32" t="str">
        <x:v>404</x:v>
      </x:c>
      <x:c r="I987" s="22" t="str">
        <x:v>其他草地</x:v>
      </x:c>
      <x:c r="J987" s="22" t="str">
        <x:v>农业生态</x:v>
      </x:c>
      <x:c r="K987" s="32" t="str">
        <x:v>201</x:v>
      </x:c>
      <x:c r="L987" s="22" t="str">
        <x:v>城市范围</x:v>
      </x:c>
      <x:c r="M987" s="33" t="n">
        <x:v>156214.19</x:v>
      </x:c>
      <x:c r="N987" s="33" t="n">
        <x:v>15.621419</x:v>
      </x:c>
      <x:c r="O987" s="22" t="str">
        <x:v>公顷</x:v>
      </x:c>
      <x:c r="P987" s="22" t="str">
        <x:v>未提供（单期横截面）</x:v>
      </x:c>
      <x:c r="Q987" s="23" t="n">
        <x:v>3966</x:v>
      </x:c>
    </x:row>
    <x:row r="988">
      <x:c r="A988" s="30" t="n">
        <x:v>350500</x:v>
      </x:c>
      <x:c r="B988" s="22" t="str">
        <x:v>泉州市</x:v>
      </x:c>
      <x:c r="C988" s="31" t="n">
        <x:v>350504</x:v>
      </x:c>
      <x:c r="D988" s="22" t="str">
        <x:v>洛江区</x:v>
      </x:c>
      <x:c r="E988" s="22" t="str">
        <x:v>未利用地</x:v>
      </x:c>
      <x:c r="F988" s="22" t="str">
        <x:v>草地</x:v>
      </x:c>
      <x:c r="G988" s="32" t="str">
        <x:v>404</x:v>
      </x:c>
      <x:c r="H988" s="32" t="str">
        <x:v>404</x:v>
      </x:c>
      <x:c r="I988" s="22" t="str">
        <x:v>其他草地</x:v>
      </x:c>
      <x:c r="J988" s="22" t="str">
        <x:v>农业生态</x:v>
      </x:c>
      <x:c r="K988" s="32" t="str">
        <x:v>202</x:v>
      </x:c>
      <x:c r="L988" s="22" t="str">
        <x:v>建制镇范围</x:v>
      </x:c>
      <x:c r="M988" s="33" t="n">
        <x:v>206825.81999999995</x:v>
      </x:c>
      <x:c r="N988" s="33" t="n">
        <x:v>20.682581999999996</x:v>
      </x:c>
      <x:c r="O988" s="22" t="str">
        <x:v>公顷</x:v>
      </x:c>
      <x:c r="P988" s="22" t="str">
        <x:v>未提供（单期横截面）</x:v>
      </x:c>
      <x:c r="Q988" s="23" t="n">
        <x:v>3967</x:v>
      </x:c>
    </x:row>
    <x:row r="989">
      <x:c r="A989" s="30" t="n">
        <x:v>350500</x:v>
      </x:c>
      <x:c r="B989" s="22" t="str">
        <x:v>泉州市</x:v>
      </x:c>
      <x:c r="C989" s="31" t="n">
        <x:v>350504</x:v>
      </x:c>
      <x:c r="D989" s="22" t="str">
        <x:v>洛江区</x:v>
      </x:c>
      <x:c r="E989" s="22" t="str">
        <x:v>未利用地</x:v>
      </x:c>
      <x:c r="F989" s="22" t="str">
        <x:v>草地</x:v>
      </x:c>
      <x:c r="G989" s="32" t="str">
        <x:v>404</x:v>
      </x:c>
      <x:c r="H989" s="32" t="str">
        <x:v>404</x:v>
      </x:c>
      <x:c r="I989" s="22" t="str">
        <x:v>其他草地</x:v>
      </x:c>
      <x:c r="J989" s="22" t="str">
        <x:v>农业生态</x:v>
      </x:c>
      <x:c r="K989" s="32" t="str">
        <x:v>203</x:v>
      </x:c>
      <x:c r="L989" s="22" t="str">
        <x:v>村庄范围</x:v>
      </x:c>
      <x:c r="M989" s="33" t="n">
        <x:v>39682.479999999996</x:v>
      </x:c>
      <x:c r="N989" s="33" t="n">
        <x:v>3.9682479999999996</x:v>
      </x:c>
      <x:c r="O989" s="22" t="str">
        <x:v>公顷</x:v>
      </x:c>
      <x:c r="P989" s="22" t="str">
        <x:v>未提供（单期横截面）</x:v>
      </x:c>
      <x:c r="Q989" s="23" t="n">
        <x:v>3968</x:v>
      </x:c>
    </x:row>
    <x:row r="990">
      <x:c r="A990" s="30" t="n">
        <x:v>350500</x:v>
      </x:c>
      <x:c r="B990" s="22" t="str">
        <x:v>泉州市</x:v>
      </x:c>
      <x:c r="C990" s="31" t="n">
        <x:v>350504</x:v>
      </x:c>
      <x:c r="D990" s="22" t="str">
        <x:v>洛江区</x:v>
      </x:c>
      <x:c r="E990" s="22" t="str">
        <x:v>未利用地</x:v>
      </x:c>
      <x:c r="F990" s="22" t="str">
        <x:v>草地</x:v>
      </x:c>
      <x:c r="G990" s="32" t="str">
        <x:v>404</x:v>
      </x:c>
      <x:c r="H990" s="32" t="str">
        <x:v>404</x:v>
      </x:c>
      <x:c r="I990" s="22" t="str">
        <x:v>其他草地</x:v>
      </x:c>
      <x:c r="J990" s="22" t="str">
        <x:v>农业生态</x:v>
      </x:c>
      <x:c r="K990" s="32" t="str">
        <x:v>205</x:v>
      </x:c>
      <x:c r="L990" s="22" t="str">
        <x:v>特殊用地</x:v>
      </x:c>
      <x:c r="M990" s="33" t="n">
        <x:v>1659.44</x:v>
      </x:c>
      <x:c r="N990" s="33" t="n">
        <x:v>0.165944</x:v>
      </x:c>
      <x:c r="O990" s="22" t="str">
        <x:v>公顷</x:v>
      </x:c>
      <x:c r="P990" s="22" t="str">
        <x:v>未提供（单期横截面）</x:v>
      </x:c>
      <x:c r="Q990" s="23" t="n">
        <x:v>3969</x:v>
      </x:c>
    </x:row>
    <x:row r="991">
      <x:c r="A991" s="30" t="n">
        <x:v>350500</x:v>
      </x:c>
      <x:c r="B991" s="22" t="str">
        <x:v>泉州市</x:v>
      </x:c>
      <x:c r="C991" s="31" t="n">
        <x:v>350505</x:v>
      </x:c>
      <x:c r="D991" s="22" t="str">
        <x:v>泉港区</x:v>
      </x:c>
      <x:c r="E991" s="22" t="str">
        <x:v>建设用地</x:v>
      </x:c>
      <x:c r="F991" s="22" t="str">
        <x:v>交通运输用地</x:v>
      </x:c>
      <x:c r="G991" s="32" t="str">
        <x:v>1001</x:v>
      </x:c>
      <x:c r="H991" s="32" t="str">
        <x:v>1001</x:v>
      </x:c>
      <x:c r="I991" s="22" t="str">
        <x:v>铁路用地</x:v>
      </x:c>
      <x:c r="J991" s="22" t="str">
        <x:v>交通门户</x:v>
      </x:c>
      <x:c r="K991" s="32" t="str"/>
      <x:c r="L991" s="22" t="str">
        <x:v>不适用/未标注</x:v>
      </x:c>
      <x:c r="M991" s="33" t="n">
        <x:v>1335835.26</x:v>
      </x:c>
      <x:c r="N991" s="33" t="n">
        <x:v>133.583526</x:v>
      </x:c>
      <x:c r="O991" s="22" t="str">
        <x:v>公顷</x:v>
      </x:c>
      <x:c r="P991" s="22" t="str">
        <x:v>未提供（单期横截面）</x:v>
      </x:c>
      <x:c r="Q991" s="23" t="n">
        <x:v>3970</x:v>
      </x:c>
    </x:row>
    <x:row r="992">
      <x:c r="A992" s="30" t="n">
        <x:v>350500</x:v>
      </x:c>
      <x:c r="B992" s="22" t="str">
        <x:v>泉州市</x:v>
      </x:c>
      <x:c r="C992" s="31" t="n">
        <x:v>350505</x:v>
      </x:c>
      <x:c r="D992" s="22" t="str">
        <x:v>泉港区</x:v>
      </x:c>
      <x:c r="E992" s="22" t="str">
        <x:v>建设用地</x:v>
      </x:c>
      <x:c r="F992" s="22" t="str">
        <x:v>交通运输用地</x:v>
      </x:c>
      <x:c r="G992" s="32" t="str">
        <x:v>1003</x:v>
      </x:c>
      <x:c r="H992" s="32" t="str">
        <x:v>1003</x:v>
      </x:c>
      <x:c r="I992" s="22" t="str">
        <x:v>公路用地</x:v>
      </x:c>
      <x:c r="J992" s="22" t="str">
        <x:v>交通门户</x:v>
      </x:c>
      <x:c r="K992" s="32" t="str"/>
      <x:c r="L992" s="22" t="str">
        <x:v>不适用/未标注</x:v>
      </x:c>
      <x:c r="M992" s="33" t="n">
        <x:v>5382466.729999998</x:v>
      </x:c>
      <x:c r="N992" s="33" t="n">
        <x:v>538.2466729999998</x:v>
      </x:c>
      <x:c r="O992" s="22" t="str">
        <x:v>公顷</x:v>
      </x:c>
      <x:c r="P992" s="22" t="str">
        <x:v>未提供（单期横截面）</x:v>
      </x:c>
      <x:c r="Q992" s="23" t="n">
        <x:v>3971</x:v>
      </x:c>
    </x:row>
    <x:row r="993">
      <x:c r="A993" s="30" t="n">
        <x:v>350500</x:v>
      </x:c>
      <x:c r="B993" s="22" t="str">
        <x:v>泉州市</x:v>
      </x:c>
      <x:c r="C993" s="31" t="n">
        <x:v>350505</x:v>
      </x:c>
      <x:c r="D993" s="22" t="str">
        <x:v>泉港区</x:v>
      </x:c>
      <x:c r="E993" s="22" t="str">
        <x:v>建设用地</x:v>
      </x:c>
      <x:c r="F993" s="22" t="str">
        <x:v>交通运输用地</x:v>
      </x:c>
      <x:c r="G993" s="32" t="str">
        <x:v>1008</x:v>
      </x:c>
      <x:c r="H993" s="32" t="str">
        <x:v>1008</x:v>
      </x:c>
      <x:c r="I993" s="22" t="str">
        <x:v>港口码头用地</x:v>
      </x:c>
      <x:c r="J993" s="22" t="str">
        <x:v>交通门户</x:v>
      </x:c>
      <x:c r="K993" s="32" t="str"/>
      <x:c r="L993" s="22" t="str">
        <x:v>不适用/未标注</x:v>
      </x:c>
      <x:c r="M993" s="33" t="n">
        <x:v>300161.97</x:v>
      </x:c>
      <x:c r="N993" s="33" t="n">
        <x:v>30.016197</x:v>
      </x:c>
      <x:c r="O993" s="22" t="str">
        <x:v>公顷</x:v>
      </x:c>
      <x:c r="P993" s="22" t="str">
        <x:v>未提供（单期横截面）</x:v>
      </x:c>
      <x:c r="Q993" s="23" t="n">
        <x:v>3972</x:v>
      </x:c>
    </x:row>
    <x:row r="994">
      <x:c r="A994" s="30" t="n">
        <x:v>350500</x:v>
      </x:c>
      <x:c r="B994" s="22" t="str">
        <x:v>泉州市</x:v>
      </x:c>
      <x:c r="C994" s="31" t="n">
        <x:v>350505</x:v>
      </x:c>
      <x:c r="D994" s="22" t="str">
        <x:v>泉港区</x:v>
      </x:c>
      <x:c r="E994" s="22" t="str">
        <x:v>建设用地</x:v>
      </x:c>
      <x:c r="F994" s="22" t="str">
        <x:v>交通运输用地</x:v>
      </x:c>
      <x:c r="G994" s="32" t="str">
        <x:v>1009</x:v>
      </x:c>
      <x:c r="H994" s="32" t="str">
        <x:v>1009</x:v>
      </x:c>
      <x:c r="I994" s="22" t="str">
        <x:v>管道运输用地</x:v>
      </x:c>
      <x:c r="J994" s="22" t="str">
        <x:v>交通门户</x:v>
      </x:c>
      <x:c r="K994" s="32" t="str"/>
      <x:c r="L994" s="22" t="str">
        <x:v>不适用/未标注</x:v>
      </x:c>
      <x:c r="M994" s="33" t="n">
        <x:v>153699.21</x:v>
      </x:c>
      <x:c r="N994" s="33" t="n">
        <x:v>15.369921</x:v>
      </x:c>
      <x:c r="O994" s="22" t="str">
        <x:v>公顷</x:v>
      </x:c>
      <x:c r="P994" s="22" t="str">
        <x:v>未提供（单期横截面）</x:v>
      </x:c>
      <x:c r="Q994" s="23" t="n">
        <x:v>3973</x:v>
      </x:c>
    </x:row>
    <x:row r="995">
      <x:c r="A995" s="30" t="n">
        <x:v>350500</x:v>
      </x:c>
      <x:c r="B995" s="22" t="str">
        <x:v>泉州市</x:v>
      </x:c>
      <x:c r="C995" s="31" t="n">
        <x:v>350505</x:v>
      </x:c>
      <x:c r="D995" s="22" t="str">
        <x:v>泉港区</x:v>
      </x:c>
      <x:c r="E995" s="22" t="str">
        <x:v>建设用地</x:v>
      </x:c>
      <x:c r="F995" s="22" t="str">
        <x:v>水域及水利设施</x:v>
      </x:c>
      <x:c r="G995" s="32" t="str">
        <x:v>1109</x:v>
      </x:c>
      <x:c r="H995" s="32" t="str">
        <x:v>1109</x:v>
      </x:c>
      <x:c r="I995" s="22" t="str">
        <x:v>水工建筑用地</x:v>
      </x:c>
      <x:c r="J995" s="22" t="str">
        <x:v>其他建设</x:v>
      </x:c>
      <x:c r="K995" s="32" t="str"/>
      <x:c r="L995" s="22" t="str">
        <x:v>不适用/未标注</x:v>
      </x:c>
      <x:c r="M995" s="33" t="n">
        <x:v>644395.1600000004</x:v>
      </x:c>
      <x:c r="N995" s="33" t="n">
        <x:v>64.43951600000004</x:v>
      </x:c>
      <x:c r="O995" s="22" t="str">
        <x:v>公顷</x:v>
      </x:c>
      <x:c r="P995" s="22" t="str">
        <x:v>未提供（单期横截面）</x:v>
      </x:c>
      <x:c r="Q995" s="23" t="n">
        <x:v>3974</x:v>
      </x:c>
    </x:row>
    <x:row r="996">
      <x:c r="A996" s="30" t="n">
        <x:v>350500</x:v>
      </x:c>
      <x:c r="B996" s="22" t="str">
        <x:v>泉州市</x:v>
      </x:c>
      <x:c r="C996" s="31" t="n">
        <x:v>350505</x:v>
      </x:c>
      <x:c r="D996" s="22" t="str">
        <x:v>泉港区</x:v>
      </x:c>
      <x:c r="E996" s="22" t="str">
        <x:v>建设用地</x:v>
      </x:c>
      <x:c r="F996" s="22" t="str">
        <x:v>工矿仓储用地</x:v>
      </x:c>
      <x:c r="G996" s="32" t="str">
        <x:v>508</x:v>
      </x:c>
      <x:c r="H996" s="32" t="str">
        <x:v>508</x:v>
      </x:c>
      <x:c r="I996" s="22" t="str">
        <x:v>物流仓储用地</x:v>
      </x:c>
      <x:c r="J996" s="22" t="str">
        <x:v>产业功能</x:v>
      </x:c>
      <x:c r="K996" s="32" t="str">
        <x:v>201</x:v>
      </x:c>
      <x:c r="L996" s="22" t="str">
        <x:v>城市范围</x:v>
      </x:c>
      <x:c r="M996" s="33" t="n">
        <x:v>244594.98</x:v>
      </x:c>
      <x:c r="N996" s="33" t="n">
        <x:v>24.459498</x:v>
      </x:c>
      <x:c r="O996" s="22" t="str">
        <x:v>公顷</x:v>
      </x:c>
      <x:c r="P996" s="22" t="str">
        <x:v>未提供（单期横截面）</x:v>
      </x:c>
      <x:c r="Q996" s="23" t="n">
        <x:v>3975</x:v>
      </x:c>
    </x:row>
    <x:row r="997">
      <x:c r="A997" s="30" t="n">
        <x:v>350500</x:v>
      </x:c>
      <x:c r="B997" s="22" t="str">
        <x:v>泉州市</x:v>
      </x:c>
      <x:c r="C997" s="31" t="n">
        <x:v>350505</x:v>
      </x:c>
      <x:c r="D997" s="22" t="str">
        <x:v>泉港区</x:v>
      </x:c>
      <x:c r="E997" s="22" t="str">
        <x:v>建设用地</x:v>
      </x:c>
      <x:c r="F997" s="22" t="str">
        <x:v>商业服务业用地</x:v>
      </x:c>
      <x:c r="G997" s="32" t="str">
        <x:v>05H1</x:v>
      </x:c>
      <x:c r="H997" s="32" t="str">
        <x:v>05H1</x:v>
      </x:c>
      <x:c r="I997" s="22" t="str">
        <x:v>商业服务业设施用地</x:v>
      </x:c>
      <x:c r="J997" s="22" t="str">
        <x:v>商业服务</x:v>
      </x:c>
      <x:c r="K997" s="32" t="str">
        <x:v>201</x:v>
      </x:c>
      <x:c r="L997" s="22" t="str">
        <x:v>城市范围</x:v>
      </x:c>
      <x:c r="M997" s="33" t="n">
        <x:v>546745.08</x:v>
      </x:c>
      <x:c r="N997" s="33" t="n">
        <x:v>54.674507999999996</x:v>
      </x:c>
      <x:c r="O997" s="22" t="str">
        <x:v>公顷</x:v>
      </x:c>
      <x:c r="P997" s="22" t="str">
        <x:v>未提供（单期横截面）</x:v>
      </x:c>
      <x:c r="Q997" s="23" t="n">
        <x:v>3976</x:v>
      </x:c>
    </x:row>
    <x:row r="998">
      <x:c r="A998" s="30" t="n">
        <x:v>350500</x:v>
      </x:c>
      <x:c r="B998" s="22" t="str">
        <x:v>泉州市</x:v>
      </x:c>
      <x:c r="C998" s="31" t="n">
        <x:v>350505</x:v>
      </x:c>
      <x:c r="D998" s="22" t="str">
        <x:v>泉港区</x:v>
      </x:c>
      <x:c r="E998" s="22" t="str">
        <x:v>建设用地</x:v>
      </x:c>
      <x:c r="F998" s="22" t="str">
        <x:v>工矿仓储用地</x:v>
      </x:c>
      <x:c r="G998" s="32" t="str">
        <x:v>601</x:v>
      </x:c>
      <x:c r="H998" s="32" t="str">
        <x:v>601</x:v>
      </x:c>
      <x:c r="I998" s="22" t="str">
        <x:v>工业用地</x:v>
      </x:c>
      <x:c r="J998" s="22" t="str">
        <x:v>产业功能</x:v>
      </x:c>
      <x:c r="K998" s="32" t="str">
        <x:v>201</x:v>
      </x:c>
      <x:c r="L998" s="22" t="str">
        <x:v>城市范围</x:v>
      </x:c>
      <x:c r="M998" s="33" t="n">
        <x:v>5432694.630000001</x:v>
      </x:c>
      <x:c r="N998" s="33" t="n">
        <x:v>543.2694630000001</x:v>
      </x:c>
      <x:c r="O998" s="22" t="str">
        <x:v>公顷</x:v>
      </x:c>
      <x:c r="P998" s="22" t="str">
        <x:v>未提供（单期横截面）</x:v>
      </x:c>
      <x:c r="Q998" s="23" t="n">
        <x:v>3977</x:v>
      </x:c>
    </x:row>
    <x:row r="999">
      <x:c r="A999" s="30" t="n">
        <x:v>350500</x:v>
      </x:c>
      <x:c r="B999" s="22" t="str">
        <x:v>泉州市</x:v>
      </x:c>
      <x:c r="C999" s="31" t="n">
        <x:v>350505</x:v>
      </x:c>
      <x:c r="D999" s="22" t="str">
        <x:v>泉港区</x:v>
      </x:c>
      <x:c r="E999" s="22" t="str">
        <x:v>建设用地</x:v>
      </x:c>
      <x:c r="F999" s="22" t="str">
        <x:v>居住用地</x:v>
      </x:c>
      <x:c r="G999" s="32" t="str">
        <x:v>701</x:v>
      </x:c>
      <x:c r="H999" s="32" t="str">
        <x:v>701</x:v>
      </x:c>
      <x:c r="I999" s="22" t="str">
        <x:v>城镇住宅用地</x:v>
      </x:c>
      <x:c r="J999" s="22" t="str">
        <x:v>居住功能</x:v>
      </x:c>
      <x:c r="K999" s="32" t="str">
        <x:v>201</x:v>
      </x:c>
      <x:c r="L999" s="22" t="str">
        <x:v>城市范围</x:v>
      </x:c>
      <x:c r="M999" s="33" t="n">
        <x:v>3216583.3300000005</x:v>
      </x:c>
      <x:c r="N999" s="33" t="n">
        <x:v>321.658333</x:v>
      </x:c>
      <x:c r="O999" s="22" t="str">
        <x:v>公顷</x:v>
      </x:c>
      <x:c r="P999" s="22" t="str">
        <x:v>未提供（单期横截面）</x:v>
      </x:c>
      <x:c r="Q999" s="23" t="n">
        <x:v>3978</x:v>
      </x:c>
    </x:row>
    <x:row r="1000">
      <x:c r="A1000" s="30" t="n">
        <x:v>350500</x:v>
      </x:c>
      <x:c r="B1000" s="22" t="str">
        <x:v>泉州市</x:v>
      </x:c>
      <x:c r="C1000" s="31" t="n">
        <x:v>350505</x:v>
      </x:c>
      <x:c r="D1000" s="22" t="str">
        <x:v>泉港区</x:v>
      </x:c>
      <x:c r="E1000" s="22" t="str">
        <x:v>建设用地</x:v>
      </x:c>
      <x:c r="F1000" s="22" t="str">
        <x:v>居住用地</x:v>
      </x:c>
      <x:c r="G1000" s="32" t="str">
        <x:v>702</x:v>
      </x:c>
      <x:c r="H1000" s="32" t="str">
        <x:v>702</x:v>
      </x:c>
      <x:c r="I1000" s="22" t="str">
        <x:v>农村宅基地</x:v>
      </x:c>
      <x:c r="J1000" s="22" t="str">
        <x:v>居住功能</x:v>
      </x:c>
      <x:c r="K1000" s="32" t="str">
        <x:v>201</x:v>
      </x:c>
      <x:c r="L1000" s="22" t="str">
        <x:v>城市范围</x:v>
      </x:c>
      <x:c r="M1000" s="33" t="n">
        <x:v>413143.67000000004</x:v>
      </x:c>
      <x:c r="N1000" s="33" t="n">
        <x:v>41.314367000000004</x:v>
      </x:c>
      <x:c r="O1000" s="22" t="str">
        <x:v>公顷</x:v>
      </x:c>
      <x:c r="P1000" s="22" t="str">
        <x:v>未提供（单期横截面）</x:v>
      </x:c>
      <x:c r="Q1000" s="23" t="n">
        <x:v>3979</x:v>
      </x:c>
    </x:row>
    <x:row r="1001">
      <x:c r="A1001" s="30" t="n">
        <x:v>350500</x:v>
      </x:c>
      <x:c r="B1001" s="22" t="str">
        <x:v>泉州市</x:v>
      </x:c>
      <x:c r="C1001" s="31" t="n">
        <x:v>350505</x:v>
      </x:c>
      <x:c r="D1001" s="22" t="str">
        <x:v>泉港区</x:v>
      </x:c>
      <x:c r="E1001" s="22" t="str">
        <x:v>建设用地</x:v>
      </x:c>
      <x:c r="F1001" s="22" t="str">
        <x:v>公用设施用地</x:v>
      </x:c>
      <x:c r="G1001" s="32" t="str">
        <x:v>809</x:v>
      </x:c>
      <x:c r="H1001" s="32" t="str">
        <x:v>809</x:v>
      </x:c>
      <x:c r="I1001" s="22" t="str">
        <x:v>公用设施用地</x:v>
      </x:c>
      <x:c r="J1001" s="22" t="str">
        <x:v>其他建设</x:v>
      </x:c>
      <x:c r="K1001" s="32" t="str">
        <x:v>201</x:v>
      </x:c>
      <x:c r="L1001" s="22" t="str">
        <x:v>城市范围</x:v>
      </x:c>
      <x:c r="M1001" s="33" t="n">
        <x:v>39351.06999999999</x:v>
      </x:c>
      <x:c r="N1001" s="33" t="n">
        <x:v>3.935106999999999</x:v>
      </x:c>
      <x:c r="O1001" s="22" t="str">
        <x:v>公顷</x:v>
      </x:c>
      <x:c r="P1001" s="22" t="str">
        <x:v>未提供（单期横截面）</x:v>
      </x:c>
      <x:c r="Q1001" s="23" t="n">
        <x:v>3980</x:v>
      </x:c>
    </x:row>
    <x:row r="1002">
      <x:c r="A1002" s="30" t="n">
        <x:v>350500</x:v>
      </x:c>
      <x:c r="B1002" s="22" t="str">
        <x:v>泉州市</x:v>
      </x:c>
      <x:c r="C1002" s="31" t="n">
        <x:v>350505</x:v>
      </x:c>
      <x:c r="D1002" s="22" t="str">
        <x:v>泉港区</x:v>
      </x:c>
      <x:c r="E1002" s="22" t="str">
        <x:v>建设用地</x:v>
      </x:c>
      <x:c r="F1002" s="22" t="str">
        <x:v>绿地与广场用地</x:v>
      </x:c>
      <x:c r="G1002" s="32" t="str">
        <x:v>810</x:v>
      </x:c>
      <x:c r="H1002" s="32" t="str">
        <x:v>810</x:v>
      </x:c>
      <x:c r="I1002" s="22" t="str">
        <x:v>公园与绿地</x:v>
      </x:c>
      <x:c r="J1002" s="22" t="str">
        <x:v>公共空间</x:v>
      </x:c>
      <x:c r="K1002" s="32" t="str">
        <x:v>201</x:v>
      </x:c>
      <x:c r="L1002" s="22" t="str">
        <x:v>城市范围</x:v>
      </x:c>
      <x:c r="M1002" s="33" t="n">
        <x:v>368857.55</x:v>
      </x:c>
      <x:c r="N1002" s="33" t="n">
        <x:v>36.885754999999996</x:v>
      </x:c>
      <x:c r="O1002" s="22" t="str">
        <x:v>公顷</x:v>
      </x:c>
      <x:c r="P1002" s="22" t="str">
        <x:v>未提供（单期横截面）</x:v>
      </x:c>
      <x:c r="Q1002" s="23" t="n">
        <x:v>3981</x:v>
      </x:c>
    </x:row>
    <x:row r="1003">
      <x:c r="A1003" s="30" t="n">
        <x:v>350500</x:v>
      </x:c>
      <x:c r="B1003" s="22" t="str">
        <x:v>泉州市</x:v>
      </x:c>
      <x:c r="C1003" s="31" t="n">
        <x:v>350505</x:v>
      </x:c>
      <x:c r="D1003" s="22" t="str">
        <x:v>泉港区</x:v>
      </x:c>
      <x:c r="E1003" s="22" t="str">
        <x:v>建设用地</x:v>
      </x:c>
      <x:c r="F1003" s="22" t="str">
        <x:v>绿地与广场用地</x:v>
      </x:c>
      <x:c r="G1003" s="32" t="str">
        <x:v>0810A</x:v>
      </x:c>
      <x:c r="H1003" s="32" t="str">
        <x:v>0810</x:v>
      </x:c>
      <x:c r="I1003" s="22" t="str">
        <x:v>广场用地</x:v>
      </x:c>
      <x:c r="J1003" s="22" t="str">
        <x:v>公共空间</x:v>
      </x:c>
      <x:c r="K1003" s="32" t="str">
        <x:v>201</x:v>
      </x:c>
      <x:c r="L1003" s="22" t="str">
        <x:v>城市范围</x:v>
      </x:c>
      <x:c r="M1003" s="33" t="n">
        <x:v>1120.59</x:v>
      </x:c>
      <x:c r="N1003" s="33" t="n">
        <x:v>0.11205899999999999</x:v>
      </x:c>
      <x:c r="O1003" s="22" t="str">
        <x:v>公顷</x:v>
      </x:c>
      <x:c r="P1003" s="22" t="str">
        <x:v>未提供（单期横截面）</x:v>
      </x:c>
      <x:c r="Q1003" s="23" t="n">
        <x:v>3982</x:v>
      </x:c>
    </x:row>
    <x:row r="1004">
      <x:c r="A1004" s="30" t="n">
        <x:v>350500</x:v>
      </x:c>
      <x:c r="B1004" s="22" t="str">
        <x:v>泉州市</x:v>
      </x:c>
      <x:c r="C1004" s="31" t="n">
        <x:v>350505</x:v>
      </x:c>
      <x:c r="D1004" s="22" t="str">
        <x:v>泉港区</x:v>
      </x:c>
      <x:c r="E1004" s="22" t="str">
        <x:v>建设用地</x:v>
      </x:c>
      <x:c r="F1004" s="22" t="str">
        <x:v>公共管理与公共服务用地</x:v>
      </x:c>
      <x:c r="G1004" s="32" t="str">
        <x:v>08H1</x:v>
      </x:c>
      <x:c r="H1004" s="32" t="str">
        <x:v>08H1</x:v>
      </x:c>
      <x:c r="I1004" s="22" t="str">
        <x:v>机关团体新闻出版用地</x:v>
      </x:c>
      <x:c r="J1004" s="22" t="str">
        <x:v>公共服务</x:v>
      </x:c>
      <x:c r="K1004" s="32" t="str">
        <x:v>201</x:v>
      </x:c>
      <x:c r="L1004" s="22" t="str">
        <x:v>城市范围</x:v>
      </x:c>
      <x:c r="M1004" s="33" t="n">
        <x:v>258702.28999999998</x:v>
      </x:c>
      <x:c r="N1004" s="33" t="n">
        <x:v>25.870229</x:v>
      </x:c>
      <x:c r="O1004" s="22" t="str">
        <x:v>公顷</x:v>
      </x:c>
      <x:c r="P1004" s="22" t="str">
        <x:v>未提供（单期横截面）</x:v>
      </x:c>
      <x:c r="Q1004" s="23" t="n">
        <x:v>3983</x:v>
      </x:c>
    </x:row>
    <x:row r="1005">
      <x:c r="A1005" s="30" t="n">
        <x:v>350500</x:v>
      </x:c>
      <x:c r="B1005" s="22" t="str">
        <x:v>泉州市</x:v>
      </x:c>
      <x:c r="C1005" s="31" t="n">
        <x:v>350505</x:v>
      </x:c>
      <x:c r="D1005" s="22" t="str">
        <x:v>泉港区</x:v>
      </x:c>
      <x:c r="E1005" s="22" t="str">
        <x:v>建设用地</x:v>
      </x:c>
      <x:c r="F1005" s="22" t="str">
        <x:v>公共管理与公共服务用地</x:v>
      </x:c>
      <x:c r="G1005" s="32" t="str">
        <x:v>08H2</x:v>
      </x:c>
      <x:c r="H1005" s="32" t="str">
        <x:v>08H2</x:v>
      </x:c>
      <x:c r="I1005" s="22" t="str">
        <x:v>科教文卫用地</x:v>
      </x:c>
      <x:c r="J1005" s="22" t="str">
        <x:v>公共服务</x:v>
      </x:c>
      <x:c r="K1005" s="32" t="str">
        <x:v>201</x:v>
      </x:c>
      <x:c r="L1005" s="22" t="str">
        <x:v>城市范围</x:v>
      </x:c>
      <x:c r="M1005" s="33" t="n">
        <x:v>563045.47</x:v>
      </x:c>
      <x:c r="N1005" s="33" t="n">
        <x:v>56.304547</x:v>
      </x:c>
      <x:c r="O1005" s="22" t="str">
        <x:v>公顷</x:v>
      </x:c>
      <x:c r="P1005" s="22" t="str">
        <x:v>未提供（单期横截面）</x:v>
      </x:c>
      <x:c r="Q1005" s="23" t="n">
        <x:v>3984</x:v>
      </x:c>
    </x:row>
    <x:row r="1006">
      <x:c r="A1006" s="30" t="n">
        <x:v>350500</x:v>
      </x:c>
      <x:c r="B1006" s="22" t="str">
        <x:v>泉州市</x:v>
      </x:c>
      <x:c r="C1006" s="31" t="n">
        <x:v>350505</x:v>
      </x:c>
      <x:c r="D1006" s="22" t="str">
        <x:v>泉港区</x:v>
      </x:c>
      <x:c r="E1006" s="22" t="str">
        <x:v>建设用地</x:v>
      </x:c>
      <x:c r="F1006" s="22" t="str">
        <x:v>特殊用地</x:v>
      </x:c>
      <x:c r="G1006" s="32" t="str">
        <x:v>9</x:v>
      </x:c>
      <x:c r="H1006" s="32" t="str">
        <x:v>9</x:v>
      </x:c>
      <x:c r="I1006" s="22" t="str">
        <x:v>特殊用地</x:v>
      </x:c>
      <x:c r="J1006" s="22" t="str">
        <x:v>其他建设</x:v>
      </x:c>
      <x:c r="K1006" s="32" t="str">
        <x:v>201</x:v>
      </x:c>
      <x:c r="L1006" s="22" t="str">
        <x:v>城市范围</x:v>
      </x:c>
      <x:c r="M1006" s="33" t="n">
        <x:v>13030.47</x:v>
      </x:c>
      <x:c r="N1006" s="33" t="n">
        <x:v>1.3030469999999998</x:v>
      </x:c>
      <x:c r="O1006" s="22" t="str">
        <x:v>公顷</x:v>
      </x:c>
      <x:c r="P1006" s="22" t="str">
        <x:v>未提供（单期横截面）</x:v>
      </x:c>
      <x:c r="Q1006" s="23" t="n">
        <x:v>3985</x:v>
      </x:c>
    </x:row>
    <x:row r="1007">
      <x:c r="A1007" s="30" t="n">
        <x:v>350500</x:v>
      </x:c>
      <x:c r="B1007" s="22" t="str">
        <x:v>泉州市</x:v>
      </x:c>
      <x:c r="C1007" s="31" t="n">
        <x:v>350505</x:v>
      </x:c>
      <x:c r="D1007" s="22" t="str">
        <x:v>泉港区</x:v>
      </x:c>
      <x:c r="E1007" s="22" t="str">
        <x:v>建设用地</x:v>
      </x:c>
      <x:c r="F1007" s="22" t="str">
        <x:v>交通运输用地</x:v>
      </x:c>
      <x:c r="G1007" s="32" t="str">
        <x:v>1004</x:v>
      </x:c>
      <x:c r="H1007" s="32" t="str">
        <x:v>1004</x:v>
      </x:c>
      <x:c r="I1007" s="22" t="str">
        <x:v>城镇村道路用地</x:v>
      </x:c>
      <x:c r="J1007" s="22" t="str">
        <x:v>交通门户</x:v>
      </x:c>
      <x:c r="K1007" s="32" t="str">
        <x:v>201</x:v>
      </x:c>
      <x:c r="L1007" s="22" t="str">
        <x:v>城市范围</x:v>
      </x:c>
      <x:c r="M1007" s="33" t="n">
        <x:v>1313808.3599999994</x:v>
      </x:c>
      <x:c r="N1007" s="33" t="n">
        <x:v>131.38083599999993</x:v>
      </x:c>
      <x:c r="O1007" s="22" t="str">
        <x:v>公顷</x:v>
      </x:c>
      <x:c r="P1007" s="22" t="str">
        <x:v>未提供（单期横截面）</x:v>
      </x:c>
      <x:c r="Q1007" s="23" t="n">
        <x:v>3986</x:v>
      </x:c>
    </x:row>
    <x:row r="1008">
      <x:c r="A1008" s="30" t="n">
        <x:v>350500</x:v>
      </x:c>
      <x:c r="B1008" s="22" t="str">
        <x:v>泉州市</x:v>
      </x:c>
      <x:c r="C1008" s="31" t="n">
        <x:v>350505</x:v>
      </x:c>
      <x:c r="D1008" s="22" t="str">
        <x:v>泉港区</x:v>
      </x:c>
      <x:c r="E1008" s="22" t="str">
        <x:v>建设用地</x:v>
      </x:c>
      <x:c r="F1008" s="22" t="str">
        <x:v>交通运输用地</x:v>
      </x:c>
      <x:c r="G1008" s="32" t="str">
        <x:v>1005</x:v>
      </x:c>
      <x:c r="H1008" s="32" t="str">
        <x:v>1005</x:v>
      </x:c>
      <x:c r="I1008" s="22" t="str">
        <x:v>交通服务场站用地</x:v>
      </x:c>
      <x:c r="J1008" s="22" t="str">
        <x:v>交通门户</x:v>
      </x:c>
      <x:c r="K1008" s="32" t="str">
        <x:v>201</x:v>
      </x:c>
      <x:c r="L1008" s="22" t="str">
        <x:v>城市范围</x:v>
      </x:c>
      <x:c r="M1008" s="33" t="n">
        <x:v>118868.62</x:v>
      </x:c>
      <x:c r="N1008" s="33" t="n">
        <x:v>11.886861999999999</x:v>
      </x:c>
      <x:c r="O1008" s="22" t="str">
        <x:v>公顷</x:v>
      </x:c>
      <x:c r="P1008" s="22" t="str">
        <x:v>未提供（单期横截面）</x:v>
      </x:c>
      <x:c r="Q1008" s="23" t="n">
        <x:v>3987</x:v>
      </x:c>
    </x:row>
    <x:row r="1009">
      <x:c r="A1009" s="30" t="n">
        <x:v>350500</x:v>
      </x:c>
      <x:c r="B1009" s="22" t="str">
        <x:v>泉州市</x:v>
      </x:c>
      <x:c r="C1009" s="31" t="n">
        <x:v>350505</x:v>
      </x:c>
      <x:c r="D1009" s="22" t="str">
        <x:v>泉港区</x:v>
      </x:c>
      <x:c r="E1009" s="22" t="str">
        <x:v>建设用地</x:v>
      </x:c>
      <x:c r="F1009" s="22" t="str">
        <x:v>交通运输用地</x:v>
      </x:c>
      <x:c r="G1009" s="32" t="str">
        <x:v>1009</x:v>
      </x:c>
      <x:c r="H1009" s="32" t="str">
        <x:v>1009</x:v>
      </x:c>
      <x:c r="I1009" s="22" t="str">
        <x:v>管道运输用地</x:v>
      </x:c>
      <x:c r="J1009" s="22" t="str">
        <x:v>交通门户</x:v>
      </x:c>
      <x:c r="K1009" s="32" t="str">
        <x:v>201</x:v>
      </x:c>
      <x:c r="L1009" s="22" t="str">
        <x:v>城市范围</x:v>
      </x:c>
      <x:c r="M1009" s="33" t="n">
        <x:v>2151.98</x:v>
      </x:c>
      <x:c r="N1009" s="33" t="n">
        <x:v>0.215198</x:v>
      </x:c>
      <x:c r="O1009" s="22" t="str">
        <x:v>公顷</x:v>
      </x:c>
      <x:c r="P1009" s="22" t="str">
        <x:v>未提供（单期横截面）</x:v>
      </x:c>
      <x:c r="Q1009" s="23" t="n">
        <x:v>3988</x:v>
      </x:c>
    </x:row>
    <x:row r="1010">
      <x:c r="A1010" s="30" t="n">
        <x:v>350500</x:v>
      </x:c>
      <x:c r="B1010" s="22" t="str">
        <x:v>泉州市</x:v>
      </x:c>
      <x:c r="C1010" s="31" t="n">
        <x:v>350505</x:v>
      </x:c>
      <x:c r="D1010" s="22" t="str">
        <x:v>泉港区</x:v>
      </x:c>
      <x:c r="E1010" s="22" t="str">
        <x:v>建设用地</x:v>
      </x:c>
      <x:c r="F1010" s="22" t="str">
        <x:v>其他建设用地</x:v>
      </x:c>
      <x:c r="G1010" s="32" t="str">
        <x:v>1201</x:v>
      </x:c>
      <x:c r="H1010" s="32" t="str">
        <x:v>1201</x:v>
      </x:c>
      <x:c r="I1010" s="22" t="str">
        <x:v>空闲地</x:v>
      </x:c>
      <x:c r="J1010" s="22" t="str">
        <x:v>其他建设</x:v>
      </x:c>
      <x:c r="K1010" s="32" t="str">
        <x:v>201</x:v>
      </x:c>
      <x:c r="L1010" s="22" t="str">
        <x:v>城市范围</x:v>
      </x:c>
      <x:c r="M1010" s="33" t="n">
        <x:v>1961097.76</x:v>
      </x:c>
      <x:c r="N1010" s="33" t="n">
        <x:v>196.109776</x:v>
      </x:c>
      <x:c r="O1010" s="22" t="str">
        <x:v>公顷</x:v>
      </x:c>
      <x:c r="P1010" s="22" t="str">
        <x:v>未提供（单期横截面）</x:v>
      </x:c>
      <x:c r="Q1010" s="23" t="n">
        <x:v>3989</x:v>
      </x:c>
    </x:row>
    <x:row r="1011">
      <x:c r="A1011" s="30" t="n">
        <x:v>350500</x:v>
      </x:c>
      <x:c r="B1011" s="22" t="str">
        <x:v>泉州市</x:v>
      </x:c>
      <x:c r="C1011" s="31" t="n">
        <x:v>350505</x:v>
      </x:c>
      <x:c r="D1011" s="22" t="str">
        <x:v>泉港区</x:v>
      </x:c>
      <x:c r="E1011" s="22" t="str">
        <x:v>建设用地</x:v>
      </x:c>
      <x:c r="F1011" s="22" t="str">
        <x:v>工矿仓储用地</x:v>
      </x:c>
      <x:c r="G1011" s="32" t="str">
        <x:v>601</x:v>
      </x:c>
      <x:c r="H1011" s="32" t="str">
        <x:v>601</x:v>
      </x:c>
      <x:c r="I1011" s="22" t="str">
        <x:v>工业用地</x:v>
      </x:c>
      <x:c r="J1011" s="22" t="str">
        <x:v>产业功能</x:v>
      </x:c>
      <x:c r="K1011" s="32" t="str">
        <x:v>201A</x:v>
      </x:c>
      <x:c r="L1011" s="22" t="str">
        <x:v>城市独立工业用地</x:v>
      </x:c>
      <x:c r="M1011" s="33" t="n">
        <x:v>4490.02</x:v>
      </x:c>
      <x:c r="N1011" s="33" t="n">
        <x:v>0.44900200000000007</x:v>
      </x:c>
      <x:c r="O1011" s="22" t="str">
        <x:v>公顷</x:v>
      </x:c>
      <x:c r="P1011" s="22" t="str">
        <x:v>未提供（单期横截面）</x:v>
      </x:c>
      <x:c r="Q1011" s="23" t="n">
        <x:v>3990</x:v>
      </x:c>
    </x:row>
    <x:row r="1012">
      <x:c r="A1012" s="30" t="n">
        <x:v>350500</x:v>
      </x:c>
      <x:c r="B1012" s="22" t="str">
        <x:v>泉州市</x:v>
      </x:c>
      <x:c r="C1012" s="31" t="n">
        <x:v>350505</x:v>
      </x:c>
      <x:c r="D1012" s="22" t="str">
        <x:v>泉港区</x:v>
      </x:c>
      <x:c r="E1012" s="22" t="str">
        <x:v>建设用地</x:v>
      </x:c>
      <x:c r="F1012" s="22" t="str">
        <x:v>工矿仓储用地</x:v>
      </x:c>
      <x:c r="G1012" s="32" t="str">
        <x:v>508</x:v>
      </x:c>
      <x:c r="H1012" s="32" t="str">
        <x:v>508</x:v>
      </x:c>
      <x:c r="I1012" s="22" t="str">
        <x:v>物流仓储用地</x:v>
      </x:c>
      <x:c r="J1012" s="22" t="str">
        <x:v>产业功能</x:v>
      </x:c>
      <x:c r="K1012" s="32" t="str">
        <x:v>202</x:v>
      </x:c>
      <x:c r="L1012" s="22" t="str">
        <x:v>建制镇范围</x:v>
      </x:c>
      <x:c r="M1012" s="33" t="n">
        <x:v>285223.43000000005</x:v>
      </x:c>
      <x:c r="N1012" s="33" t="n">
        <x:v>28.522343000000006</x:v>
      </x:c>
      <x:c r="O1012" s="22" t="str">
        <x:v>公顷</x:v>
      </x:c>
      <x:c r="P1012" s="22" t="str">
        <x:v>未提供（单期横截面）</x:v>
      </x:c>
      <x:c r="Q1012" s="23" t="n">
        <x:v>3991</x:v>
      </x:c>
    </x:row>
    <x:row r="1013">
      <x:c r="A1013" s="30" t="n">
        <x:v>350500</x:v>
      </x:c>
      <x:c r="B1013" s="22" t="str">
        <x:v>泉州市</x:v>
      </x:c>
      <x:c r="C1013" s="31" t="n">
        <x:v>350505</x:v>
      </x:c>
      <x:c r="D1013" s="22" t="str">
        <x:v>泉港区</x:v>
      </x:c>
      <x:c r="E1013" s="22" t="str">
        <x:v>建设用地</x:v>
      </x:c>
      <x:c r="F1013" s="22" t="str">
        <x:v>商业服务业用地</x:v>
      </x:c>
      <x:c r="G1013" s="32" t="str">
        <x:v>05H1</x:v>
      </x:c>
      <x:c r="H1013" s="32" t="str">
        <x:v>05H1</x:v>
      </x:c>
      <x:c r="I1013" s="22" t="str">
        <x:v>商业服务业设施用地</x:v>
      </x:c>
      <x:c r="J1013" s="22" t="str">
        <x:v>商业服务</x:v>
      </x:c>
      <x:c r="K1013" s="32" t="str">
        <x:v>202</x:v>
      </x:c>
      <x:c r="L1013" s="22" t="str">
        <x:v>建制镇范围</x:v>
      </x:c>
      <x:c r="M1013" s="33" t="n">
        <x:v>324213.44</x:v>
      </x:c>
      <x:c r="N1013" s="33" t="n">
        <x:v>32.421344</x:v>
      </x:c>
      <x:c r="O1013" s="22" t="str">
        <x:v>公顷</x:v>
      </x:c>
      <x:c r="P1013" s="22" t="str">
        <x:v>未提供（单期横截面）</x:v>
      </x:c>
      <x:c r="Q1013" s="23" t="n">
        <x:v>3992</x:v>
      </x:c>
    </x:row>
    <x:row r="1014">
      <x:c r="A1014" s="30" t="n">
        <x:v>350500</x:v>
      </x:c>
      <x:c r="B1014" s="22" t="str">
        <x:v>泉州市</x:v>
      </x:c>
      <x:c r="C1014" s="31" t="n">
        <x:v>350505</x:v>
      </x:c>
      <x:c r="D1014" s="22" t="str">
        <x:v>泉港区</x:v>
      </x:c>
      <x:c r="E1014" s="22" t="str">
        <x:v>建设用地</x:v>
      </x:c>
      <x:c r="F1014" s="22" t="str">
        <x:v>工矿仓储用地</x:v>
      </x:c>
      <x:c r="G1014" s="32" t="str">
        <x:v>601</x:v>
      </x:c>
      <x:c r="H1014" s="32" t="str">
        <x:v>601</x:v>
      </x:c>
      <x:c r="I1014" s="22" t="str">
        <x:v>工业用地</x:v>
      </x:c>
      <x:c r="J1014" s="22" t="str">
        <x:v>产业功能</x:v>
      </x:c>
      <x:c r="K1014" s="32" t="str">
        <x:v>202</x:v>
      </x:c>
      <x:c r="L1014" s="22" t="str">
        <x:v>建制镇范围</x:v>
      </x:c>
      <x:c r="M1014" s="33" t="n">
        <x:v>6237012.159999997</x:v>
      </x:c>
      <x:c r="N1014" s="33" t="n">
        <x:v>623.7012159999997</x:v>
      </x:c>
      <x:c r="O1014" s="22" t="str">
        <x:v>公顷</x:v>
      </x:c>
      <x:c r="P1014" s="22" t="str">
        <x:v>未提供（单期横截面）</x:v>
      </x:c>
      <x:c r="Q1014" s="23" t="n">
        <x:v>3993</x:v>
      </x:c>
    </x:row>
    <x:row r="1015">
      <x:c r="A1015" s="30" t="n">
        <x:v>350500</x:v>
      </x:c>
      <x:c r="B1015" s="22" t="str">
        <x:v>泉州市</x:v>
      </x:c>
      <x:c r="C1015" s="31" t="n">
        <x:v>350505</x:v>
      </x:c>
      <x:c r="D1015" s="22" t="str">
        <x:v>泉港区</x:v>
      </x:c>
      <x:c r="E1015" s="22" t="str">
        <x:v>建设用地</x:v>
      </x:c>
      <x:c r="F1015" s="22" t="str">
        <x:v>工矿仓储用地</x:v>
      </x:c>
      <x:c r="G1015" s="32" t="str">
        <x:v>602</x:v>
      </x:c>
      <x:c r="H1015" s="32" t="str">
        <x:v>602</x:v>
      </x:c>
      <x:c r="I1015" s="22" t="str">
        <x:v>采矿用地</x:v>
      </x:c>
      <x:c r="J1015" s="22" t="str">
        <x:v>产业功能</x:v>
      </x:c>
      <x:c r="K1015" s="32" t="str">
        <x:v>202</x:v>
      </x:c>
      <x:c r="L1015" s="22" t="str">
        <x:v>建制镇范围</x:v>
      </x:c>
      <x:c r="M1015" s="33" t="n">
        <x:v>3245.72</x:v>
      </x:c>
      <x:c r="N1015" s="33" t="n">
        <x:v>0.32457199999999997</x:v>
      </x:c>
      <x:c r="O1015" s="22" t="str">
        <x:v>公顷</x:v>
      </x:c>
      <x:c r="P1015" s="22" t="str">
        <x:v>未提供（单期横截面）</x:v>
      </x:c>
      <x:c r="Q1015" s="23" t="n">
        <x:v>3994</x:v>
      </x:c>
    </x:row>
    <x:row r="1016">
      <x:c r="A1016" s="30" t="n">
        <x:v>350500</x:v>
      </x:c>
      <x:c r="B1016" s="22" t="str">
        <x:v>泉州市</x:v>
      </x:c>
      <x:c r="C1016" s="31" t="n">
        <x:v>350505</x:v>
      </x:c>
      <x:c r="D1016" s="22" t="str">
        <x:v>泉港区</x:v>
      </x:c>
      <x:c r="E1016" s="22" t="str">
        <x:v>建设用地</x:v>
      </x:c>
      <x:c r="F1016" s="22" t="str">
        <x:v>居住用地</x:v>
      </x:c>
      <x:c r="G1016" s="32" t="str">
        <x:v>701</x:v>
      </x:c>
      <x:c r="H1016" s="32" t="str">
        <x:v>701</x:v>
      </x:c>
      <x:c r="I1016" s="22" t="str">
        <x:v>城镇住宅用地</x:v>
      </x:c>
      <x:c r="J1016" s="22" t="str">
        <x:v>居住功能</x:v>
      </x:c>
      <x:c r="K1016" s="32" t="str">
        <x:v>202</x:v>
      </x:c>
      <x:c r="L1016" s="22" t="str">
        <x:v>建制镇范围</x:v>
      </x:c>
      <x:c r="M1016" s="33" t="n">
        <x:v>7000917.120000001</x:v>
      </x:c>
      <x:c r="N1016" s="33" t="n">
        <x:v>700.0917120000001</x:v>
      </x:c>
      <x:c r="O1016" s="22" t="str">
        <x:v>公顷</x:v>
      </x:c>
      <x:c r="P1016" s="22" t="str">
        <x:v>未提供（单期横截面）</x:v>
      </x:c>
      <x:c r="Q1016" s="23" t="n">
        <x:v>3995</x:v>
      </x:c>
    </x:row>
    <x:row r="1017">
      <x:c r="A1017" s="30" t="n">
        <x:v>350500</x:v>
      </x:c>
      <x:c r="B1017" s="22" t="str">
        <x:v>泉州市</x:v>
      </x:c>
      <x:c r="C1017" s="31" t="n">
        <x:v>350505</x:v>
      </x:c>
      <x:c r="D1017" s="22" t="str">
        <x:v>泉港区</x:v>
      </x:c>
      <x:c r="E1017" s="22" t="str">
        <x:v>建设用地</x:v>
      </x:c>
      <x:c r="F1017" s="22" t="str">
        <x:v>居住用地</x:v>
      </x:c>
      <x:c r="G1017" s="32" t="str">
        <x:v>702</x:v>
      </x:c>
      <x:c r="H1017" s="32" t="str">
        <x:v>702</x:v>
      </x:c>
      <x:c r="I1017" s="22" t="str">
        <x:v>农村宅基地</x:v>
      </x:c>
      <x:c r="J1017" s="22" t="str">
        <x:v>居住功能</x:v>
      </x:c>
      <x:c r="K1017" s="32" t="str">
        <x:v>202</x:v>
      </x:c>
      <x:c r="L1017" s="22" t="str">
        <x:v>建制镇范围</x:v>
      </x:c>
      <x:c r="M1017" s="33" t="n">
        <x:v>1153501.7299999997</x:v>
      </x:c>
      <x:c r="N1017" s="33" t="n">
        <x:v>115.35017299999997</x:v>
      </x:c>
      <x:c r="O1017" s="22" t="str">
        <x:v>公顷</x:v>
      </x:c>
      <x:c r="P1017" s="22" t="str">
        <x:v>未提供（单期横截面）</x:v>
      </x:c>
      <x:c r="Q1017" s="23" t="n">
        <x:v>3996</x:v>
      </x:c>
    </x:row>
    <x:row r="1018">
      <x:c r="A1018" s="30" t="n">
        <x:v>350500</x:v>
      </x:c>
      <x:c r="B1018" s="22" t="str">
        <x:v>泉州市</x:v>
      </x:c>
      <x:c r="C1018" s="31" t="n">
        <x:v>350505</x:v>
      </x:c>
      <x:c r="D1018" s="22" t="str">
        <x:v>泉港区</x:v>
      </x:c>
      <x:c r="E1018" s="22" t="str">
        <x:v>建设用地</x:v>
      </x:c>
      <x:c r="F1018" s="22" t="str">
        <x:v>公用设施用地</x:v>
      </x:c>
      <x:c r="G1018" s="32" t="str">
        <x:v>809</x:v>
      </x:c>
      <x:c r="H1018" s="32" t="str">
        <x:v>809</x:v>
      </x:c>
      <x:c r="I1018" s="22" t="str">
        <x:v>公用设施用地</x:v>
      </x:c>
      <x:c r="J1018" s="22" t="str">
        <x:v>其他建设</x:v>
      </x:c>
      <x:c r="K1018" s="32" t="str">
        <x:v>202</x:v>
      </x:c>
      <x:c r="L1018" s="22" t="str">
        <x:v>建制镇范围</x:v>
      </x:c>
      <x:c r="M1018" s="33" t="n">
        <x:v>174468.8</x:v>
      </x:c>
      <x:c r="N1018" s="33" t="n">
        <x:v>17.44688</x:v>
      </x:c>
      <x:c r="O1018" s="22" t="str">
        <x:v>公顷</x:v>
      </x:c>
      <x:c r="P1018" s="22" t="str">
        <x:v>未提供（单期横截面）</x:v>
      </x:c>
      <x:c r="Q1018" s="23" t="n">
        <x:v>3997</x:v>
      </x:c>
    </x:row>
    <x:row r="1019">
      <x:c r="A1019" s="30" t="n">
        <x:v>350500</x:v>
      </x:c>
      <x:c r="B1019" s="22" t="str">
        <x:v>泉州市</x:v>
      </x:c>
      <x:c r="C1019" s="31" t="n">
        <x:v>350505</x:v>
      </x:c>
      <x:c r="D1019" s="22" t="str">
        <x:v>泉港区</x:v>
      </x:c>
      <x:c r="E1019" s="22" t="str">
        <x:v>建设用地</x:v>
      </x:c>
      <x:c r="F1019" s="22" t="str">
        <x:v>绿地与广场用地</x:v>
      </x:c>
      <x:c r="G1019" s="32" t="str">
        <x:v>810</x:v>
      </x:c>
      <x:c r="H1019" s="32" t="str">
        <x:v>810</x:v>
      </x:c>
      <x:c r="I1019" s="22" t="str">
        <x:v>公园与绿地</x:v>
      </x:c>
      <x:c r="J1019" s="22" t="str">
        <x:v>公共空间</x:v>
      </x:c>
      <x:c r="K1019" s="32" t="str">
        <x:v>202</x:v>
      </x:c>
      <x:c r="L1019" s="22" t="str">
        <x:v>建制镇范围</x:v>
      </x:c>
      <x:c r="M1019" s="33" t="n">
        <x:v>38738.73</x:v>
      </x:c>
      <x:c r="N1019" s="33" t="n">
        <x:v>3.873873</x:v>
      </x:c>
      <x:c r="O1019" s="22" t="str">
        <x:v>公顷</x:v>
      </x:c>
      <x:c r="P1019" s="22" t="str">
        <x:v>未提供（单期横截面）</x:v>
      </x:c>
      <x:c r="Q1019" s="23" t="n">
        <x:v>3998</x:v>
      </x:c>
    </x:row>
    <x:row r="1020">
      <x:c r="A1020" s="30" t="n">
        <x:v>350500</x:v>
      </x:c>
      <x:c r="B1020" s="22" t="str">
        <x:v>泉州市</x:v>
      </x:c>
      <x:c r="C1020" s="31" t="n">
        <x:v>350505</x:v>
      </x:c>
      <x:c r="D1020" s="22" t="str">
        <x:v>泉港区</x:v>
      </x:c>
      <x:c r="E1020" s="22" t="str">
        <x:v>建设用地</x:v>
      </x:c>
      <x:c r="F1020" s="22" t="str">
        <x:v>绿地与广场用地</x:v>
      </x:c>
      <x:c r="G1020" s="32" t="str">
        <x:v>0810A</x:v>
      </x:c>
      <x:c r="H1020" s="32" t="str">
        <x:v>0810</x:v>
      </x:c>
      <x:c r="I1020" s="22" t="str">
        <x:v>广场用地</x:v>
      </x:c>
      <x:c r="J1020" s="22" t="str">
        <x:v>公共空间</x:v>
      </x:c>
      <x:c r="K1020" s="32" t="str">
        <x:v>202</x:v>
      </x:c>
      <x:c r="L1020" s="22" t="str">
        <x:v>建制镇范围</x:v>
      </x:c>
      <x:c r="M1020" s="33" t="n">
        <x:v>9133.960000000001</x:v>
      </x:c>
      <x:c r="N1020" s="33" t="n">
        <x:v>0.9133960000000001</x:v>
      </x:c>
      <x:c r="O1020" s="22" t="str">
        <x:v>公顷</x:v>
      </x:c>
      <x:c r="P1020" s="22" t="str">
        <x:v>未提供（单期横截面）</x:v>
      </x:c>
      <x:c r="Q1020" s="23" t="n">
        <x:v>3999</x:v>
      </x:c>
    </x:row>
    <x:row r="1021">
      <x:c r="A1021" s="30" t="n">
        <x:v>350500</x:v>
      </x:c>
      <x:c r="B1021" s="22" t="str">
        <x:v>泉州市</x:v>
      </x:c>
      <x:c r="C1021" s="31" t="n">
        <x:v>350505</x:v>
      </x:c>
      <x:c r="D1021" s="22" t="str">
        <x:v>泉港区</x:v>
      </x:c>
      <x:c r="E1021" s="22" t="str">
        <x:v>建设用地</x:v>
      </x:c>
      <x:c r="F1021" s="22" t="str">
        <x:v>公共管理与公共服务用地</x:v>
      </x:c>
      <x:c r="G1021" s="32" t="str">
        <x:v>08H1</x:v>
      </x:c>
      <x:c r="H1021" s="32" t="str">
        <x:v>08H1</x:v>
      </x:c>
      <x:c r="I1021" s="22" t="str">
        <x:v>机关团体新闻出版用地</x:v>
      </x:c>
      <x:c r="J1021" s="22" t="str">
        <x:v>公共服务</x:v>
      </x:c>
      <x:c r="K1021" s="32" t="str">
        <x:v>202</x:v>
      </x:c>
      <x:c r="L1021" s="22" t="str">
        <x:v>建制镇范围</x:v>
      </x:c>
      <x:c r="M1021" s="33" t="n">
        <x:v>380118.51999999996</x:v>
      </x:c>
      <x:c r="N1021" s="33" t="n">
        <x:v>38.011852</x:v>
      </x:c>
      <x:c r="O1021" s="22" t="str">
        <x:v>公顷</x:v>
      </x:c>
      <x:c r="P1021" s="22" t="str">
        <x:v>未提供（单期横截面）</x:v>
      </x:c>
      <x:c r="Q1021" s="23" t="n">
        <x:v>4000</x:v>
      </x:c>
    </x:row>
    <x:row r="1022">
      <x:c r="A1022" s="30" t="n">
        <x:v>350500</x:v>
      </x:c>
      <x:c r="B1022" s="22" t="str">
        <x:v>泉州市</x:v>
      </x:c>
      <x:c r="C1022" s="31" t="n">
        <x:v>350505</x:v>
      </x:c>
      <x:c r="D1022" s="22" t="str">
        <x:v>泉港区</x:v>
      </x:c>
      <x:c r="E1022" s="22" t="str">
        <x:v>建设用地</x:v>
      </x:c>
      <x:c r="F1022" s="22" t="str">
        <x:v>公共管理与公共服务用地</x:v>
      </x:c>
      <x:c r="G1022" s="32" t="str">
        <x:v>08H2</x:v>
      </x:c>
      <x:c r="H1022" s="32" t="str">
        <x:v>08H2</x:v>
      </x:c>
      <x:c r="I1022" s="22" t="str">
        <x:v>科教文卫用地</x:v>
      </x:c>
      <x:c r="J1022" s="22" t="str">
        <x:v>公共服务</x:v>
      </x:c>
      <x:c r="K1022" s="32" t="str">
        <x:v>202</x:v>
      </x:c>
      <x:c r="L1022" s="22" t="str">
        <x:v>建制镇范围</x:v>
      </x:c>
      <x:c r="M1022" s="33" t="n">
        <x:v>550975.9000000003</x:v>
      </x:c>
      <x:c r="N1022" s="33" t="n">
        <x:v>55.097590000000025</x:v>
      </x:c>
      <x:c r="O1022" s="22" t="str">
        <x:v>公顷</x:v>
      </x:c>
      <x:c r="P1022" s="22" t="str">
        <x:v>未提供（单期横截面）</x:v>
      </x:c>
      <x:c r="Q1022" s="23" t="n">
        <x:v>4001</x:v>
      </x:c>
    </x:row>
    <x:row r="1023">
      <x:c r="A1023" s="30" t="n">
        <x:v>350500</x:v>
      </x:c>
      <x:c r="B1023" s="22" t="str">
        <x:v>泉州市</x:v>
      </x:c>
      <x:c r="C1023" s="31" t="n">
        <x:v>350505</x:v>
      </x:c>
      <x:c r="D1023" s="22" t="str">
        <x:v>泉港区</x:v>
      </x:c>
      <x:c r="E1023" s="22" t="str">
        <x:v>建设用地</x:v>
      </x:c>
      <x:c r="F1023" s="22" t="str">
        <x:v>公共管理与公共服务用地</x:v>
      </x:c>
      <x:c r="G1023" s="32" t="str">
        <x:v>08H2A</x:v>
      </x:c>
      <x:c r="H1023" s="32" t="str">
        <x:v>08H2</x:v>
      </x:c>
      <x:c r="I1023" s="22" t="str">
        <x:v>高教用地</x:v>
      </x:c>
      <x:c r="J1023" s="22" t="str">
        <x:v>公共服务</x:v>
      </x:c>
      <x:c r="K1023" s="32" t="str">
        <x:v>202</x:v>
      </x:c>
      <x:c r="L1023" s="22" t="str">
        <x:v>建制镇范围</x:v>
      </x:c>
      <x:c r="M1023" s="33" t="n">
        <x:v>258019.07</x:v>
      </x:c>
      <x:c r="N1023" s="33" t="n">
        <x:v>25.801907</x:v>
      </x:c>
      <x:c r="O1023" s="22" t="str">
        <x:v>公顷</x:v>
      </x:c>
      <x:c r="P1023" s="22" t="str">
        <x:v>未提供（单期横截面）</x:v>
      </x:c>
      <x:c r="Q1023" s="23" t="n">
        <x:v>4002</x:v>
      </x:c>
    </x:row>
    <x:row r="1024">
      <x:c r="A1024" s="30" t="n">
        <x:v>350500</x:v>
      </x:c>
      <x:c r="B1024" s="22" t="str">
        <x:v>泉州市</x:v>
      </x:c>
      <x:c r="C1024" s="31" t="n">
        <x:v>350505</x:v>
      </x:c>
      <x:c r="D1024" s="22" t="str">
        <x:v>泉港区</x:v>
      </x:c>
      <x:c r="E1024" s="22" t="str">
        <x:v>建设用地</x:v>
      </x:c>
      <x:c r="F1024" s="22" t="str">
        <x:v>特殊用地</x:v>
      </x:c>
      <x:c r="G1024" s="32" t="str">
        <x:v>9</x:v>
      </x:c>
      <x:c r="H1024" s="32" t="str">
        <x:v>9</x:v>
      </x:c>
      <x:c r="I1024" s="22" t="str">
        <x:v>特殊用地</x:v>
      </x:c>
      <x:c r="J1024" s="22" t="str">
        <x:v>其他建设</x:v>
      </x:c>
      <x:c r="K1024" s="32" t="str">
        <x:v>202</x:v>
      </x:c>
      <x:c r="L1024" s="22" t="str">
        <x:v>建制镇范围</x:v>
      </x:c>
      <x:c r="M1024" s="33" t="n">
        <x:v>37957.04</x:v>
      </x:c>
      <x:c r="N1024" s="33" t="n">
        <x:v>3.795704</x:v>
      </x:c>
      <x:c r="O1024" s="22" t="str">
        <x:v>公顷</x:v>
      </x:c>
      <x:c r="P1024" s="22" t="str">
        <x:v>未提供（单期横截面）</x:v>
      </x:c>
      <x:c r="Q1024" s="23" t="n">
        <x:v>4003</x:v>
      </x:c>
    </x:row>
    <x:row r="1025">
      <x:c r="A1025" s="30" t="n">
        <x:v>350500</x:v>
      </x:c>
      <x:c r="B1025" s="22" t="str">
        <x:v>泉州市</x:v>
      </x:c>
      <x:c r="C1025" s="31" t="n">
        <x:v>350505</x:v>
      </x:c>
      <x:c r="D1025" s="22" t="str">
        <x:v>泉港区</x:v>
      </x:c>
      <x:c r="E1025" s="22" t="str">
        <x:v>建设用地</x:v>
      </x:c>
      <x:c r="F1025" s="22" t="str">
        <x:v>交通运输用地</x:v>
      </x:c>
      <x:c r="G1025" s="32" t="str">
        <x:v>1003</x:v>
      </x:c>
      <x:c r="H1025" s="32" t="str">
        <x:v>1003</x:v>
      </x:c>
      <x:c r="I1025" s="22" t="str">
        <x:v>公路用地</x:v>
      </x:c>
      <x:c r="J1025" s="22" t="str">
        <x:v>交通门户</x:v>
      </x:c>
      <x:c r="K1025" s="32" t="str">
        <x:v>202</x:v>
      </x:c>
      <x:c r="L1025" s="22" t="str">
        <x:v>建制镇范围</x:v>
      </x:c>
      <x:c r="M1025" s="33" t="n">
        <x:v>133648.37</x:v>
      </x:c>
      <x:c r="N1025" s="33" t="n">
        <x:v>13.364837</x:v>
      </x:c>
      <x:c r="O1025" s="22" t="str">
        <x:v>公顷</x:v>
      </x:c>
      <x:c r="P1025" s="22" t="str">
        <x:v>未提供（单期横截面）</x:v>
      </x:c>
      <x:c r="Q1025" s="23" t="n">
        <x:v>4004</x:v>
      </x:c>
    </x:row>
    <x:row r="1026">
      <x:c r="A1026" s="30" t="n">
        <x:v>350500</x:v>
      </x:c>
      <x:c r="B1026" s="22" t="str">
        <x:v>泉州市</x:v>
      </x:c>
      <x:c r="C1026" s="31" t="n">
        <x:v>350505</x:v>
      </x:c>
      <x:c r="D1026" s="22" t="str">
        <x:v>泉港区</x:v>
      </x:c>
      <x:c r="E1026" s="22" t="str">
        <x:v>建设用地</x:v>
      </x:c>
      <x:c r="F1026" s="22" t="str">
        <x:v>交通运输用地</x:v>
      </x:c>
      <x:c r="G1026" s="32" t="str">
        <x:v>1004</x:v>
      </x:c>
      <x:c r="H1026" s="32" t="str">
        <x:v>1004</x:v>
      </x:c>
      <x:c r="I1026" s="22" t="str">
        <x:v>城镇村道路用地</x:v>
      </x:c>
      <x:c r="J1026" s="22" t="str">
        <x:v>交通门户</x:v>
      </x:c>
      <x:c r="K1026" s="32" t="str">
        <x:v>202</x:v>
      </x:c>
      <x:c r="L1026" s="22" t="str">
        <x:v>建制镇范围</x:v>
      </x:c>
      <x:c r="M1026" s="33" t="n">
        <x:v>1295441.9399999995</x:v>
      </x:c>
      <x:c r="N1026" s="33" t="n">
        <x:v>129.54419399999995</x:v>
      </x:c>
      <x:c r="O1026" s="22" t="str">
        <x:v>公顷</x:v>
      </x:c>
      <x:c r="P1026" s="22" t="str">
        <x:v>未提供（单期横截面）</x:v>
      </x:c>
      <x:c r="Q1026" s="23" t="n">
        <x:v>4005</x:v>
      </x:c>
    </x:row>
    <x:row r="1027">
      <x:c r="A1027" s="30" t="n">
        <x:v>350500</x:v>
      </x:c>
      <x:c r="B1027" s="22" t="str">
        <x:v>泉州市</x:v>
      </x:c>
      <x:c r="C1027" s="31" t="n">
        <x:v>350505</x:v>
      </x:c>
      <x:c r="D1027" s="22" t="str">
        <x:v>泉港区</x:v>
      </x:c>
      <x:c r="E1027" s="22" t="str">
        <x:v>建设用地</x:v>
      </x:c>
      <x:c r="F1027" s="22" t="str">
        <x:v>交通运输用地</x:v>
      </x:c>
      <x:c r="G1027" s="32" t="str">
        <x:v>1005</x:v>
      </x:c>
      <x:c r="H1027" s="32" t="str">
        <x:v>1005</x:v>
      </x:c>
      <x:c r="I1027" s="22" t="str">
        <x:v>交通服务场站用地</x:v>
      </x:c>
      <x:c r="J1027" s="22" t="str">
        <x:v>交通门户</x:v>
      </x:c>
      <x:c r="K1027" s="32" t="str">
        <x:v>202</x:v>
      </x:c>
      <x:c r="L1027" s="22" t="str">
        <x:v>建制镇范围</x:v>
      </x:c>
      <x:c r="M1027" s="33" t="n">
        <x:v>82181.57000000002</x:v>
      </x:c>
      <x:c r="N1027" s="33" t="n">
        <x:v>8.218157000000001</x:v>
      </x:c>
      <x:c r="O1027" s="22" t="str">
        <x:v>公顷</x:v>
      </x:c>
      <x:c r="P1027" s="22" t="str">
        <x:v>未提供（单期横截面）</x:v>
      </x:c>
      <x:c r="Q1027" s="23" t="n">
        <x:v>4006</x:v>
      </x:c>
    </x:row>
    <x:row r="1028">
      <x:c r="A1028" s="30" t="n">
        <x:v>350500</x:v>
      </x:c>
      <x:c r="B1028" s="22" t="str">
        <x:v>泉州市</x:v>
      </x:c>
      <x:c r="C1028" s="31" t="n">
        <x:v>350505</x:v>
      </x:c>
      <x:c r="D1028" s="22" t="str">
        <x:v>泉港区</x:v>
      </x:c>
      <x:c r="E1028" s="22" t="str">
        <x:v>建设用地</x:v>
      </x:c>
      <x:c r="F1028" s="22" t="str">
        <x:v>交通运输用地</x:v>
      </x:c>
      <x:c r="G1028" s="32" t="str">
        <x:v>1008</x:v>
      </x:c>
      <x:c r="H1028" s="32" t="str">
        <x:v>1008</x:v>
      </x:c>
      <x:c r="I1028" s="22" t="str">
        <x:v>港口码头用地</x:v>
      </x:c>
      <x:c r="J1028" s="22" t="str">
        <x:v>交通门户</x:v>
      </x:c>
      <x:c r="K1028" s="32" t="str">
        <x:v>202</x:v>
      </x:c>
      <x:c r="L1028" s="22" t="str">
        <x:v>建制镇范围</x:v>
      </x:c>
      <x:c r="M1028" s="33" t="n">
        <x:v>6944.88</x:v>
      </x:c>
      <x:c r="N1028" s="33" t="n">
        <x:v>0.694488</x:v>
      </x:c>
      <x:c r="O1028" s="22" t="str">
        <x:v>公顷</x:v>
      </x:c>
      <x:c r="P1028" s="22" t="str">
        <x:v>未提供（单期横截面）</x:v>
      </x:c>
      <x:c r="Q1028" s="23" t="n">
        <x:v>4007</x:v>
      </x:c>
    </x:row>
    <x:row r="1029">
      <x:c r="A1029" s="30" t="n">
        <x:v>350500</x:v>
      </x:c>
      <x:c r="B1029" s="22" t="str">
        <x:v>泉州市</x:v>
      </x:c>
      <x:c r="C1029" s="31" t="n">
        <x:v>350505</x:v>
      </x:c>
      <x:c r="D1029" s="22" t="str">
        <x:v>泉港区</x:v>
      </x:c>
      <x:c r="E1029" s="22" t="str">
        <x:v>建设用地</x:v>
      </x:c>
      <x:c r="F1029" s="22" t="str">
        <x:v>交通运输用地</x:v>
      </x:c>
      <x:c r="G1029" s="32" t="str">
        <x:v>1009</x:v>
      </x:c>
      <x:c r="H1029" s="32" t="str">
        <x:v>1009</x:v>
      </x:c>
      <x:c r="I1029" s="22" t="str">
        <x:v>管道运输用地</x:v>
      </x:c>
      <x:c r="J1029" s="22" t="str">
        <x:v>交通门户</x:v>
      </x:c>
      <x:c r="K1029" s="32" t="str">
        <x:v>202</x:v>
      </x:c>
      <x:c r="L1029" s="22" t="str">
        <x:v>建制镇范围</x:v>
      </x:c>
      <x:c r="M1029" s="33" t="n">
        <x:v>41084.25</x:v>
      </x:c>
      <x:c r="N1029" s="33" t="n">
        <x:v>4.108425</x:v>
      </x:c>
      <x:c r="O1029" s="22" t="str">
        <x:v>公顷</x:v>
      </x:c>
      <x:c r="P1029" s="22" t="str">
        <x:v>未提供（单期横截面）</x:v>
      </x:c>
      <x:c r="Q1029" s="23" t="n">
        <x:v>4008</x:v>
      </x:c>
    </x:row>
    <x:row r="1030">
      <x:c r="A1030" s="30" t="n">
        <x:v>350500</x:v>
      </x:c>
      <x:c r="B1030" s="22" t="str">
        <x:v>泉州市</x:v>
      </x:c>
      <x:c r="C1030" s="31" t="n">
        <x:v>350505</x:v>
      </x:c>
      <x:c r="D1030" s="22" t="str">
        <x:v>泉港区</x:v>
      </x:c>
      <x:c r="E1030" s="22" t="str">
        <x:v>建设用地</x:v>
      </x:c>
      <x:c r="F1030" s="22" t="str">
        <x:v>水域及水利设施</x:v>
      </x:c>
      <x:c r="G1030" s="32" t="str">
        <x:v>1109</x:v>
      </x:c>
      <x:c r="H1030" s="32" t="str">
        <x:v>1109</x:v>
      </x:c>
      <x:c r="I1030" s="22" t="str">
        <x:v>水工建筑用地</x:v>
      </x:c>
      <x:c r="J1030" s="22" t="str">
        <x:v>其他建设</x:v>
      </x:c>
      <x:c r="K1030" s="32" t="str">
        <x:v>202</x:v>
      </x:c>
      <x:c r="L1030" s="22" t="str">
        <x:v>建制镇范围</x:v>
      </x:c>
      <x:c r="M1030" s="33" t="n">
        <x:v>6408.87</x:v>
      </x:c>
      <x:c r="N1030" s="33" t="n">
        <x:v>0.640887</x:v>
      </x:c>
      <x:c r="O1030" s="22" t="str">
        <x:v>公顷</x:v>
      </x:c>
      <x:c r="P1030" s="22" t="str">
        <x:v>未提供（单期横截面）</x:v>
      </x:c>
      <x:c r="Q1030" s="23" t="n">
        <x:v>4009</x:v>
      </x:c>
    </x:row>
    <x:row r="1031">
      <x:c r="A1031" s="30" t="n">
        <x:v>350500</x:v>
      </x:c>
      <x:c r="B1031" s="22" t="str">
        <x:v>泉州市</x:v>
      </x:c>
      <x:c r="C1031" s="31" t="n">
        <x:v>350505</x:v>
      </x:c>
      <x:c r="D1031" s="22" t="str">
        <x:v>泉港区</x:v>
      </x:c>
      <x:c r="E1031" s="22" t="str">
        <x:v>建设用地</x:v>
      </x:c>
      <x:c r="F1031" s="22" t="str">
        <x:v>工矿仓储用地</x:v>
      </x:c>
      <x:c r="G1031" s="32" t="str">
        <x:v>601</x:v>
      </x:c>
      <x:c r="H1031" s="32" t="str">
        <x:v>601</x:v>
      </x:c>
      <x:c r="I1031" s="22" t="str">
        <x:v>工业用地</x:v>
      </x:c>
      <x:c r="J1031" s="22" t="str">
        <x:v>产业功能</x:v>
      </x:c>
      <x:c r="K1031" s="32" t="str">
        <x:v>202A</x:v>
      </x:c>
      <x:c r="L1031" s="22" t="str">
        <x:v>建制镇独立工业用地</x:v>
      </x:c>
      <x:c r="M1031" s="33" t="n">
        <x:v>47912.27</x:v>
      </x:c>
      <x:c r="N1031" s="33" t="n">
        <x:v>4.791226999999999</x:v>
      </x:c>
      <x:c r="O1031" s="22" t="str">
        <x:v>公顷</x:v>
      </x:c>
      <x:c r="P1031" s="22" t="str">
        <x:v>未提供（单期横截面）</x:v>
      </x:c>
      <x:c r="Q1031" s="23" t="n">
        <x:v>4010</x:v>
      </x:c>
    </x:row>
    <x:row r="1032">
      <x:c r="A1032" s="30" t="n">
        <x:v>350500</x:v>
      </x:c>
      <x:c r="B1032" s="22" t="str">
        <x:v>泉州市</x:v>
      </x:c>
      <x:c r="C1032" s="31" t="n">
        <x:v>350505</x:v>
      </x:c>
      <x:c r="D1032" s="22" t="str">
        <x:v>泉港区</x:v>
      </x:c>
      <x:c r="E1032" s="22" t="str">
        <x:v>建设用地</x:v>
      </x:c>
      <x:c r="F1032" s="22" t="str">
        <x:v>工矿仓储用地</x:v>
      </x:c>
      <x:c r="G1032" s="32" t="str">
        <x:v>508</x:v>
      </x:c>
      <x:c r="H1032" s="32" t="str">
        <x:v>508</x:v>
      </x:c>
      <x:c r="I1032" s="22" t="str">
        <x:v>物流仓储用地</x:v>
      </x:c>
      <x:c r="J1032" s="22" t="str">
        <x:v>产业功能</x:v>
      </x:c>
      <x:c r="K1032" s="32" t="str">
        <x:v>203</x:v>
      </x:c>
      <x:c r="L1032" s="22" t="str">
        <x:v>村庄范围</x:v>
      </x:c>
      <x:c r="M1032" s="33" t="n">
        <x:v>162629.41999999993</x:v>
      </x:c>
      <x:c r="N1032" s="33" t="n">
        <x:v>16.262941999999992</x:v>
      </x:c>
      <x:c r="O1032" s="22" t="str">
        <x:v>公顷</x:v>
      </x:c>
      <x:c r="P1032" s="22" t="str">
        <x:v>未提供（单期横截面）</x:v>
      </x:c>
      <x:c r="Q1032" s="23" t="n">
        <x:v>4011</x:v>
      </x:c>
    </x:row>
    <x:row r="1033">
      <x:c r="A1033" s="30" t="n">
        <x:v>350500</x:v>
      </x:c>
      <x:c r="B1033" s="22" t="str">
        <x:v>泉州市</x:v>
      </x:c>
      <x:c r="C1033" s="31" t="n">
        <x:v>350505</x:v>
      </x:c>
      <x:c r="D1033" s="22" t="str">
        <x:v>泉港区</x:v>
      </x:c>
      <x:c r="E1033" s="22" t="str">
        <x:v>建设用地</x:v>
      </x:c>
      <x:c r="F1033" s="22" t="str">
        <x:v>商业服务业用地</x:v>
      </x:c>
      <x:c r="G1033" s="32" t="str">
        <x:v>05H1</x:v>
      </x:c>
      <x:c r="H1033" s="32" t="str">
        <x:v>05H1</x:v>
      </x:c>
      <x:c r="I1033" s="22" t="str">
        <x:v>商业服务业设施用地</x:v>
      </x:c>
      <x:c r="J1033" s="22" t="str">
        <x:v>商业服务</x:v>
      </x:c>
      <x:c r="K1033" s="32" t="str">
        <x:v>203</x:v>
      </x:c>
      <x:c r="L1033" s="22" t="str">
        <x:v>村庄范围</x:v>
      </x:c>
      <x:c r="M1033" s="33" t="n">
        <x:v>556709.36</x:v>
      </x:c>
      <x:c r="N1033" s="33" t="n">
        <x:v>55.670936</x:v>
      </x:c>
      <x:c r="O1033" s="22" t="str">
        <x:v>公顷</x:v>
      </x:c>
      <x:c r="P1033" s="22" t="str">
        <x:v>未提供（单期横截面）</x:v>
      </x:c>
      <x:c r="Q1033" s="23" t="n">
        <x:v>4012</x:v>
      </x:c>
    </x:row>
    <x:row r="1034">
      <x:c r="A1034" s="30" t="n">
        <x:v>350500</x:v>
      </x:c>
      <x:c r="B1034" s="22" t="str">
        <x:v>泉州市</x:v>
      </x:c>
      <x:c r="C1034" s="31" t="n">
        <x:v>350505</x:v>
      </x:c>
      <x:c r="D1034" s="22" t="str">
        <x:v>泉港区</x:v>
      </x:c>
      <x:c r="E1034" s="22" t="str">
        <x:v>建设用地</x:v>
      </x:c>
      <x:c r="F1034" s="22" t="str">
        <x:v>工矿仓储用地</x:v>
      </x:c>
      <x:c r="G1034" s="32" t="str">
        <x:v>601</x:v>
      </x:c>
      <x:c r="H1034" s="32" t="str">
        <x:v>601</x:v>
      </x:c>
      <x:c r="I1034" s="22" t="str">
        <x:v>工业用地</x:v>
      </x:c>
      <x:c r="J1034" s="22" t="str">
        <x:v>产业功能</x:v>
      </x:c>
      <x:c r="K1034" s="32" t="str">
        <x:v>203</x:v>
      </x:c>
      <x:c r="L1034" s="22" t="str">
        <x:v>村庄范围</x:v>
      </x:c>
      <x:c r="M1034" s="33" t="n">
        <x:v>3928538.4199999995</x:v>
      </x:c>
      <x:c r="N1034" s="33" t="n">
        <x:v>392.85384199999993</x:v>
      </x:c>
      <x:c r="O1034" s="22" t="str">
        <x:v>公顷</x:v>
      </x:c>
      <x:c r="P1034" s="22" t="str">
        <x:v>未提供（单期横截面）</x:v>
      </x:c>
      <x:c r="Q1034" s="23" t="n">
        <x:v>4013</x:v>
      </x:c>
    </x:row>
    <x:row r="1035">
      <x:c r="A1035" s="30" t="n">
        <x:v>350500</x:v>
      </x:c>
      <x:c r="B1035" s="22" t="str">
        <x:v>泉州市</x:v>
      </x:c>
      <x:c r="C1035" s="31" t="n">
        <x:v>350505</x:v>
      </x:c>
      <x:c r="D1035" s="22" t="str">
        <x:v>泉港区</x:v>
      </x:c>
      <x:c r="E1035" s="22" t="str">
        <x:v>建设用地</x:v>
      </x:c>
      <x:c r="F1035" s="22" t="str">
        <x:v>居住用地</x:v>
      </x:c>
      <x:c r="G1035" s="32" t="str">
        <x:v>701</x:v>
      </x:c>
      <x:c r="H1035" s="32" t="str">
        <x:v>701</x:v>
      </x:c>
      <x:c r="I1035" s="22" t="str">
        <x:v>城镇住宅用地</x:v>
      </x:c>
      <x:c r="J1035" s="22" t="str">
        <x:v>居住功能</x:v>
      </x:c>
      <x:c r="K1035" s="32" t="str">
        <x:v>203</x:v>
      </x:c>
      <x:c r="L1035" s="22" t="str">
        <x:v>村庄范围</x:v>
      </x:c>
      <x:c r="M1035" s="33" t="n">
        <x:v>824619.79</x:v>
      </x:c>
      <x:c r="N1035" s="33" t="n">
        <x:v>82.461979</x:v>
      </x:c>
      <x:c r="O1035" s="22" t="str">
        <x:v>公顷</x:v>
      </x:c>
      <x:c r="P1035" s="22" t="str">
        <x:v>未提供（单期横截面）</x:v>
      </x:c>
      <x:c r="Q1035" s="23" t="n">
        <x:v>4014</x:v>
      </x:c>
    </x:row>
    <x:row r="1036">
      <x:c r="A1036" s="30" t="n">
        <x:v>350500</x:v>
      </x:c>
      <x:c r="B1036" s="22" t="str">
        <x:v>泉州市</x:v>
      </x:c>
      <x:c r="C1036" s="31" t="n">
        <x:v>350505</x:v>
      </x:c>
      <x:c r="D1036" s="22" t="str">
        <x:v>泉港区</x:v>
      </x:c>
      <x:c r="E1036" s="22" t="str">
        <x:v>建设用地</x:v>
      </x:c>
      <x:c r="F1036" s="22" t="str">
        <x:v>居住用地</x:v>
      </x:c>
      <x:c r="G1036" s="32" t="str">
        <x:v>702</x:v>
      </x:c>
      <x:c r="H1036" s="32" t="str">
        <x:v>702</x:v>
      </x:c>
      <x:c r="I1036" s="22" t="str">
        <x:v>农村宅基地</x:v>
      </x:c>
      <x:c r="J1036" s="22" t="str">
        <x:v>居住功能</x:v>
      </x:c>
      <x:c r="K1036" s="32" t="str">
        <x:v>203</x:v>
      </x:c>
      <x:c r="L1036" s="22" t="str">
        <x:v>村庄范围</x:v>
      </x:c>
      <x:c r="M1036" s="33" t="n">
        <x:v>32750469.79999994</x:v>
      </x:c>
      <x:c r="N1036" s="33" t="n">
        <x:v>3275.046979999994</x:v>
      </x:c>
      <x:c r="O1036" s="22" t="str">
        <x:v>公顷</x:v>
      </x:c>
      <x:c r="P1036" s="22" t="str">
        <x:v>未提供（单期横截面）</x:v>
      </x:c>
      <x:c r="Q1036" s="23" t="n">
        <x:v>4015</x:v>
      </x:c>
    </x:row>
    <x:row r="1037">
      <x:c r="A1037" s="30" t="n">
        <x:v>350500</x:v>
      </x:c>
      <x:c r="B1037" s="22" t="str">
        <x:v>泉州市</x:v>
      </x:c>
      <x:c r="C1037" s="31" t="n">
        <x:v>350505</x:v>
      </x:c>
      <x:c r="D1037" s="22" t="str">
        <x:v>泉港区</x:v>
      </x:c>
      <x:c r="E1037" s="22" t="str">
        <x:v>建设用地</x:v>
      </x:c>
      <x:c r="F1037" s="22" t="str">
        <x:v>公用设施用地</x:v>
      </x:c>
      <x:c r="G1037" s="32" t="str">
        <x:v>809</x:v>
      </x:c>
      <x:c r="H1037" s="32" t="str">
        <x:v>809</x:v>
      </x:c>
      <x:c r="I1037" s="22" t="str">
        <x:v>公用设施用地</x:v>
      </x:c>
      <x:c r="J1037" s="22" t="str">
        <x:v>其他建设</x:v>
      </x:c>
      <x:c r="K1037" s="32" t="str">
        <x:v>203</x:v>
      </x:c>
      <x:c r="L1037" s="22" t="str">
        <x:v>村庄范围</x:v>
      </x:c>
      <x:c r="M1037" s="33" t="n">
        <x:v>314566.36000000016</x:v>
      </x:c>
      <x:c r="N1037" s="33" t="n">
        <x:v>31.456636000000017</x:v>
      </x:c>
      <x:c r="O1037" s="22" t="str">
        <x:v>公顷</x:v>
      </x:c>
      <x:c r="P1037" s="22" t="str">
        <x:v>未提供（单期横截面）</x:v>
      </x:c>
      <x:c r="Q1037" s="23" t="n">
        <x:v>4016</x:v>
      </x:c>
    </x:row>
    <x:row r="1038">
      <x:c r="A1038" s="30" t="n">
        <x:v>350500</x:v>
      </x:c>
      <x:c r="B1038" s="22" t="str">
        <x:v>泉州市</x:v>
      </x:c>
      <x:c r="C1038" s="31" t="n">
        <x:v>350505</x:v>
      </x:c>
      <x:c r="D1038" s="22" t="str">
        <x:v>泉港区</x:v>
      </x:c>
      <x:c r="E1038" s="22" t="str">
        <x:v>建设用地</x:v>
      </x:c>
      <x:c r="F1038" s="22" t="str">
        <x:v>绿地与广场用地</x:v>
      </x:c>
      <x:c r="G1038" s="32" t="str">
        <x:v>810</x:v>
      </x:c>
      <x:c r="H1038" s="32" t="str">
        <x:v>810</x:v>
      </x:c>
      <x:c r="I1038" s="22" t="str">
        <x:v>公园与绿地</x:v>
      </x:c>
      <x:c r="J1038" s="22" t="str">
        <x:v>公共空间</x:v>
      </x:c>
      <x:c r="K1038" s="32" t="str">
        <x:v>203</x:v>
      </x:c>
      <x:c r="L1038" s="22" t="str">
        <x:v>村庄范围</x:v>
      </x:c>
      <x:c r="M1038" s="33" t="n">
        <x:v>299164.83</x:v>
      </x:c>
      <x:c r="N1038" s="33" t="n">
        <x:v>29.916483000000003</x:v>
      </x:c>
      <x:c r="O1038" s="22" t="str">
        <x:v>公顷</x:v>
      </x:c>
      <x:c r="P1038" s="22" t="str">
        <x:v>未提供（单期横截面）</x:v>
      </x:c>
      <x:c r="Q1038" s="23" t="n">
        <x:v>4017</x:v>
      </x:c>
    </x:row>
    <x:row r="1039">
      <x:c r="A1039" s="30" t="n">
        <x:v>350500</x:v>
      </x:c>
      <x:c r="B1039" s="22" t="str">
        <x:v>泉州市</x:v>
      </x:c>
      <x:c r="C1039" s="31" t="n">
        <x:v>350505</x:v>
      </x:c>
      <x:c r="D1039" s="22" t="str">
        <x:v>泉港区</x:v>
      </x:c>
      <x:c r="E1039" s="22" t="str">
        <x:v>建设用地</x:v>
      </x:c>
      <x:c r="F1039" s="22" t="str">
        <x:v>绿地与广场用地</x:v>
      </x:c>
      <x:c r="G1039" s="32" t="str">
        <x:v>0810A</x:v>
      </x:c>
      <x:c r="H1039" s="32" t="str">
        <x:v>0810</x:v>
      </x:c>
      <x:c r="I1039" s="22" t="str">
        <x:v>广场用地</x:v>
      </x:c>
      <x:c r="J1039" s="22" t="str">
        <x:v>公共空间</x:v>
      </x:c>
      <x:c r="K1039" s="32" t="str">
        <x:v>203</x:v>
      </x:c>
      <x:c r="L1039" s="22" t="str">
        <x:v>村庄范围</x:v>
      </x:c>
      <x:c r="M1039" s="33" t="n">
        <x:v>7355.76</x:v>
      </x:c>
      <x:c r="N1039" s="33" t="n">
        <x:v>0.735576</x:v>
      </x:c>
      <x:c r="O1039" s="22" t="str">
        <x:v>公顷</x:v>
      </x:c>
      <x:c r="P1039" s="22" t="str">
        <x:v>未提供（单期横截面）</x:v>
      </x:c>
      <x:c r="Q1039" s="23" t="n">
        <x:v>4018</x:v>
      </x:c>
    </x:row>
    <x:row r="1040">
      <x:c r="A1040" s="30" t="n">
        <x:v>350500</x:v>
      </x:c>
      <x:c r="B1040" s="22" t="str">
        <x:v>泉州市</x:v>
      </x:c>
      <x:c r="C1040" s="31" t="n">
        <x:v>350505</x:v>
      </x:c>
      <x:c r="D1040" s="22" t="str">
        <x:v>泉港区</x:v>
      </x:c>
      <x:c r="E1040" s="22" t="str">
        <x:v>建设用地</x:v>
      </x:c>
      <x:c r="F1040" s="22" t="str">
        <x:v>公共管理与公共服务用地</x:v>
      </x:c>
      <x:c r="G1040" s="32" t="str">
        <x:v>08H1</x:v>
      </x:c>
      <x:c r="H1040" s="32" t="str">
        <x:v>08H1</x:v>
      </x:c>
      <x:c r="I1040" s="22" t="str">
        <x:v>机关团体新闻出版用地</x:v>
      </x:c>
      <x:c r="J1040" s="22" t="str">
        <x:v>公共服务</x:v>
      </x:c>
      <x:c r="K1040" s="32" t="str">
        <x:v>203</x:v>
      </x:c>
      <x:c r="L1040" s="22" t="str">
        <x:v>村庄范围</x:v>
      </x:c>
      <x:c r="M1040" s="33" t="n">
        <x:v>202202.4</x:v>
      </x:c>
      <x:c r="N1040" s="33" t="n">
        <x:v>20.22024</x:v>
      </x:c>
      <x:c r="O1040" s="22" t="str">
        <x:v>公顷</x:v>
      </x:c>
      <x:c r="P1040" s="22" t="str">
        <x:v>未提供（单期横截面）</x:v>
      </x:c>
      <x:c r="Q1040" s="23" t="n">
        <x:v>4019</x:v>
      </x:c>
    </x:row>
    <x:row r="1041">
      <x:c r="A1041" s="30" t="n">
        <x:v>350500</x:v>
      </x:c>
      <x:c r="B1041" s="22" t="str">
        <x:v>泉州市</x:v>
      </x:c>
      <x:c r="C1041" s="31" t="n">
        <x:v>350505</x:v>
      </x:c>
      <x:c r="D1041" s="22" t="str">
        <x:v>泉港区</x:v>
      </x:c>
      <x:c r="E1041" s="22" t="str">
        <x:v>建设用地</x:v>
      </x:c>
      <x:c r="F1041" s="22" t="str">
        <x:v>公共管理与公共服务用地</x:v>
      </x:c>
      <x:c r="G1041" s="32" t="str">
        <x:v>08H2</x:v>
      </x:c>
      <x:c r="H1041" s="32" t="str">
        <x:v>08H2</x:v>
      </x:c>
      <x:c r="I1041" s="22" t="str">
        <x:v>科教文卫用地</x:v>
      </x:c>
      <x:c r="J1041" s="22" t="str">
        <x:v>公共服务</x:v>
      </x:c>
      <x:c r="K1041" s="32" t="str">
        <x:v>203</x:v>
      </x:c>
      <x:c r="L1041" s="22" t="str">
        <x:v>村庄范围</x:v>
      </x:c>
      <x:c r="M1041" s="33" t="n">
        <x:v>990936.1099999998</x:v>
      </x:c>
      <x:c r="N1041" s="33" t="n">
        <x:v>99.09361099999998</x:v>
      </x:c>
      <x:c r="O1041" s="22" t="str">
        <x:v>公顷</x:v>
      </x:c>
      <x:c r="P1041" s="22" t="str">
        <x:v>未提供（单期横截面）</x:v>
      </x:c>
      <x:c r="Q1041" s="23" t="n">
        <x:v>4020</x:v>
      </x:c>
    </x:row>
    <x:row r="1042">
      <x:c r="A1042" s="30" t="n">
        <x:v>350500</x:v>
      </x:c>
      <x:c r="B1042" s="22" t="str">
        <x:v>泉州市</x:v>
      </x:c>
      <x:c r="C1042" s="31" t="n">
        <x:v>350505</x:v>
      </x:c>
      <x:c r="D1042" s="22" t="str">
        <x:v>泉港区</x:v>
      </x:c>
      <x:c r="E1042" s="22" t="str">
        <x:v>建设用地</x:v>
      </x:c>
      <x:c r="F1042" s="22" t="str">
        <x:v>特殊用地</x:v>
      </x:c>
      <x:c r="G1042" s="32" t="str">
        <x:v>9</x:v>
      </x:c>
      <x:c r="H1042" s="32" t="str">
        <x:v>9</x:v>
      </x:c>
      <x:c r="I1042" s="22" t="str">
        <x:v>特殊用地</x:v>
      </x:c>
      <x:c r="J1042" s="22" t="str">
        <x:v>其他建设</x:v>
      </x:c>
      <x:c r="K1042" s="32" t="str">
        <x:v>203</x:v>
      </x:c>
      <x:c r="L1042" s="22" t="str">
        <x:v>村庄范围</x:v>
      </x:c>
      <x:c r="M1042" s="33" t="n">
        <x:v>217401.65</x:v>
      </x:c>
      <x:c r="N1042" s="33" t="n">
        <x:v>21.740165</x:v>
      </x:c>
      <x:c r="O1042" s="22" t="str">
        <x:v>公顷</x:v>
      </x:c>
      <x:c r="P1042" s="22" t="str">
        <x:v>未提供（单期横截面）</x:v>
      </x:c>
      <x:c r="Q1042" s="23" t="n">
        <x:v>4021</x:v>
      </x:c>
    </x:row>
    <x:row r="1043">
      <x:c r="A1043" s="30" t="n">
        <x:v>350500</x:v>
      </x:c>
      <x:c r="B1043" s="22" t="str">
        <x:v>泉州市</x:v>
      </x:c>
      <x:c r="C1043" s="31" t="n">
        <x:v>350505</x:v>
      </x:c>
      <x:c r="D1043" s="22" t="str">
        <x:v>泉港区</x:v>
      </x:c>
      <x:c r="E1043" s="22" t="str">
        <x:v>建设用地</x:v>
      </x:c>
      <x:c r="F1043" s="22" t="str">
        <x:v>交通运输用地</x:v>
      </x:c>
      <x:c r="G1043" s="32" t="str">
        <x:v>1001</x:v>
      </x:c>
      <x:c r="H1043" s="32" t="str">
        <x:v>1001</x:v>
      </x:c>
      <x:c r="I1043" s="22" t="str">
        <x:v>铁路用地</x:v>
      </x:c>
      <x:c r="J1043" s="22" t="str">
        <x:v>交通门户</x:v>
      </x:c>
      <x:c r="K1043" s="32" t="str">
        <x:v>203</x:v>
      </x:c>
      <x:c r="L1043" s="22" t="str">
        <x:v>村庄范围</x:v>
      </x:c>
      <x:c r="M1043" s="33" t="n">
        <x:v>20791.37</x:v>
      </x:c>
      <x:c r="N1043" s="33" t="n">
        <x:v>2.079137</x:v>
      </x:c>
      <x:c r="O1043" s="22" t="str">
        <x:v>公顷</x:v>
      </x:c>
      <x:c r="P1043" s="22" t="str">
        <x:v>未提供（单期横截面）</x:v>
      </x:c>
      <x:c r="Q1043" s="23" t="n">
        <x:v>4022</x:v>
      </x:c>
    </x:row>
    <x:row r="1044">
      <x:c r="A1044" s="30" t="n">
        <x:v>350500</x:v>
      </x:c>
      <x:c r="B1044" s="22" t="str">
        <x:v>泉州市</x:v>
      </x:c>
      <x:c r="C1044" s="31" t="n">
        <x:v>350505</x:v>
      </x:c>
      <x:c r="D1044" s="22" t="str">
        <x:v>泉港区</x:v>
      </x:c>
      <x:c r="E1044" s="22" t="str">
        <x:v>建设用地</x:v>
      </x:c>
      <x:c r="F1044" s="22" t="str">
        <x:v>交通运输用地</x:v>
      </x:c>
      <x:c r="G1044" s="32" t="str">
        <x:v>1003</x:v>
      </x:c>
      <x:c r="H1044" s="32" t="str">
        <x:v>1003</x:v>
      </x:c>
      <x:c r="I1044" s="22" t="str">
        <x:v>公路用地</x:v>
      </x:c>
      <x:c r="J1044" s="22" t="str">
        <x:v>交通门户</x:v>
      </x:c>
      <x:c r="K1044" s="32" t="str">
        <x:v>203</x:v>
      </x:c>
      <x:c r="L1044" s="22" t="str">
        <x:v>村庄范围</x:v>
      </x:c>
      <x:c r="M1044" s="33" t="n">
        <x:v>1845.3</x:v>
      </x:c>
      <x:c r="N1044" s="33" t="n">
        <x:v>0.18453</x:v>
      </x:c>
      <x:c r="O1044" s="22" t="str">
        <x:v>公顷</x:v>
      </x:c>
      <x:c r="P1044" s="22" t="str">
        <x:v>未提供（单期横截面）</x:v>
      </x:c>
      <x:c r="Q1044" s="23" t="n">
        <x:v>4023</x:v>
      </x:c>
    </x:row>
    <x:row r="1045">
      <x:c r="A1045" s="30" t="n">
        <x:v>350500</x:v>
      </x:c>
      <x:c r="B1045" s="22" t="str">
        <x:v>泉州市</x:v>
      </x:c>
      <x:c r="C1045" s="31" t="n">
        <x:v>350505</x:v>
      </x:c>
      <x:c r="D1045" s="22" t="str">
        <x:v>泉港区</x:v>
      </x:c>
      <x:c r="E1045" s="22" t="str">
        <x:v>建设用地</x:v>
      </x:c>
      <x:c r="F1045" s="22" t="str">
        <x:v>交通运输用地</x:v>
      </x:c>
      <x:c r="G1045" s="32" t="str">
        <x:v>1004</x:v>
      </x:c>
      <x:c r="H1045" s="32" t="str">
        <x:v>1004</x:v>
      </x:c>
      <x:c r="I1045" s="22" t="str">
        <x:v>城镇村道路用地</x:v>
      </x:c>
      <x:c r="J1045" s="22" t="str">
        <x:v>交通门户</x:v>
      </x:c>
      <x:c r="K1045" s="32" t="str">
        <x:v>203</x:v>
      </x:c>
      <x:c r="L1045" s="22" t="str">
        <x:v>村庄范围</x:v>
      </x:c>
      <x:c r="M1045" s="33" t="n">
        <x:v>1364896.39</x:v>
      </x:c>
      <x:c r="N1045" s="33" t="n">
        <x:v>136.48963899999998</x:v>
      </x:c>
      <x:c r="O1045" s="22" t="str">
        <x:v>公顷</x:v>
      </x:c>
      <x:c r="P1045" s="22" t="str">
        <x:v>未提供（单期横截面）</x:v>
      </x:c>
      <x:c r="Q1045" s="23" t="n">
        <x:v>4024</x:v>
      </x:c>
    </x:row>
    <x:row r="1046">
      <x:c r="A1046" s="30" t="n">
        <x:v>350500</x:v>
      </x:c>
      <x:c r="B1046" s="22" t="str">
        <x:v>泉州市</x:v>
      </x:c>
      <x:c r="C1046" s="31" t="n">
        <x:v>350505</x:v>
      </x:c>
      <x:c r="D1046" s="22" t="str">
        <x:v>泉港区</x:v>
      </x:c>
      <x:c r="E1046" s="22" t="str">
        <x:v>建设用地</x:v>
      </x:c>
      <x:c r="F1046" s="22" t="str">
        <x:v>交通运输用地</x:v>
      </x:c>
      <x:c r="G1046" s="32" t="str">
        <x:v>1005</x:v>
      </x:c>
      <x:c r="H1046" s="32" t="str">
        <x:v>1005</x:v>
      </x:c>
      <x:c r="I1046" s="22" t="str">
        <x:v>交通服务场站用地</x:v>
      </x:c>
      <x:c r="J1046" s="22" t="str">
        <x:v>交通门户</x:v>
      </x:c>
      <x:c r="K1046" s="32" t="str">
        <x:v>203</x:v>
      </x:c>
      <x:c r="L1046" s="22" t="str">
        <x:v>村庄范围</x:v>
      </x:c>
      <x:c r="M1046" s="33" t="n">
        <x:v>160812.69000000003</x:v>
      </x:c>
      <x:c r="N1046" s="33" t="n">
        <x:v>16.081269000000002</x:v>
      </x:c>
      <x:c r="O1046" s="22" t="str">
        <x:v>公顷</x:v>
      </x:c>
      <x:c r="P1046" s="22" t="str">
        <x:v>未提供（单期横截面）</x:v>
      </x:c>
      <x:c r="Q1046" s="23" t="n">
        <x:v>4025</x:v>
      </x:c>
    </x:row>
    <x:row r="1047">
      <x:c r="A1047" s="30" t="n">
        <x:v>350500</x:v>
      </x:c>
      <x:c r="B1047" s="22" t="str">
        <x:v>泉州市</x:v>
      </x:c>
      <x:c r="C1047" s="31" t="n">
        <x:v>350505</x:v>
      </x:c>
      <x:c r="D1047" s="22" t="str">
        <x:v>泉港区</x:v>
      </x:c>
      <x:c r="E1047" s="22" t="str">
        <x:v>建设用地</x:v>
      </x:c>
      <x:c r="F1047" s="22" t="str">
        <x:v>交通运输用地</x:v>
      </x:c>
      <x:c r="G1047" s="32" t="str">
        <x:v>1008</x:v>
      </x:c>
      <x:c r="H1047" s="32" t="str">
        <x:v>1008</x:v>
      </x:c>
      <x:c r="I1047" s="22" t="str">
        <x:v>港口码头用地</x:v>
      </x:c>
      <x:c r="J1047" s="22" t="str">
        <x:v>交通门户</x:v>
      </x:c>
      <x:c r="K1047" s="32" t="str">
        <x:v>203</x:v>
      </x:c>
      <x:c r="L1047" s="22" t="str">
        <x:v>村庄范围</x:v>
      </x:c>
      <x:c r="M1047" s="33" t="n">
        <x:v>3425.28</x:v>
      </x:c>
      <x:c r="N1047" s="33" t="n">
        <x:v>0.342528</x:v>
      </x:c>
      <x:c r="O1047" s="22" t="str">
        <x:v>公顷</x:v>
      </x:c>
      <x:c r="P1047" s="22" t="str">
        <x:v>未提供（单期横截面）</x:v>
      </x:c>
      <x:c r="Q1047" s="23" t="n">
        <x:v>4026</x:v>
      </x:c>
    </x:row>
    <x:row r="1048">
      <x:c r="A1048" s="30" t="n">
        <x:v>350500</x:v>
      </x:c>
      <x:c r="B1048" s="22" t="str">
        <x:v>泉州市</x:v>
      </x:c>
      <x:c r="C1048" s="31" t="n">
        <x:v>350505</x:v>
      </x:c>
      <x:c r="D1048" s="22" t="str">
        <x:v>泉港区</x:v>
      </x:c>
      <x:c r="E1048" s="22" t="str">
        <x:v>建设用地</x:v>
      </x:c>
      <x:c r="F1048" s="22" t="str">
        <x:v>交通运输用地</x:v>
      </x:c>
      <x:c r="G1048" s="32" t="str">
        <x:v>1009</x:v>
      </x:c>
      <x:c r="H1048" s="32" t="str">
        <x:v>1009</x:v>
      </x:c>
      <x:c r="I1048" s="22" t="str">
        <x:v>管道运输用地</x:v>
      </x:c>
      <x:c r="J1048" s="22" t="str">
        <x:v>交通门户</x:v>
      </x:c>
      <x:c r="K1048" s="32" t="str">
        <x:v>203</x:v>
      </x:c>
      <x:c r="L1048" s="22" t="str">
        <x:v>村庄范围</x:v>
      </x:c>
      <x:c r="M1048" s="33" t="n">
        <x:v>115.63</x:v>
      </x:c>
      <x:c r="N1048" s="33" t="n">
        <x:v>0.011563</x:v>
      </x:c>
      <x:c r="O1048" s="22" t="str">
        <x:v>公顷</x:v>
      </x:c>
      <x:c r="P1048" s="22" t="str">
        <x:v>未提供（单期横截面）</x:v>
      </x:c>
      <x:c r="Q1048" s="23" t="n">
        <x:v>4027</x:v>
      </x:c>
    </x:row>
    <x:row r="1049">
      <x:c r="A1049" s="30" t="n">
        <x:v>350500</x:v>
      </x:c>
      <x:c r="B1049" s="22" t="str">
        <x:v>泉州市</x:v>
      </x:c>
      <x:c r="C1049" s="31" t="n">
        <x:v>350505</x:v>
      </x:c>
      <x:c r="D1049" s="22" t="str">
        <x:v>泉港区</x:v>
      </x:c>
      <x:c r="E1049" s="22" t="str">
        <x:v>建设用地</x:v>
      </x:c>
      <x:c r="F1049" s="22" t="str">
        <x:v>其他建设用地</x:v>
      </x:c>
      <x:c r="G1049" s="32" t="str">
        <x:v>1201</x:v>
      </x:c>
      <x:c r="H1049" s="32" t="str">
        <x:v>1201</x:v>
      </x:c>
      <x:c r="I1049" s="22" t="str">
        <x:v>空闲地</x:v>
      </x:c>
      <x:c r="J1049" s="22" t="str">
        <x:v>其他建设</x:v>
      </x:c>
      <x:c r="K1049" s="32" t="str">
        <x:v>203</x:v>
      </x:c>
      <x:c r="L1049" s="22" t="str">
        <x:v>村庄范围</x:v>
      </x:c>
      <x:c r="M1049" s="33" t="n">
        <x:v>20198.910000000003</x:v>
      </x:c>
      <x:c r="N1049" s="33" t="n">
        <x:v>2.0198910000000003</x:v>
      </x:c>
      <x:c r="O1049" s="22" t="str">
        <x:v>公顷</x:v>
      </x:c>
      <x:c r="P1049" s="22" t="str">
        <x:v>未提供（单期横截面）</x:v>
      </x:c>
      <x:c r="Q1049" s="23" t="n">
        <x:v>4028</x:v>
      </x:c>
    </x:row>
    <x:row r="1050">
      <x:c r="A1050" s="30" t="n">
        <x:v>350500</x:v>
      </x:c>
      <x:c r="B1050" s="22" t="str">
        <x:v>泉州市</x:v>
      </x:c>
      <x:c r="C1050" s="31" t="n">
        <x:v>350505</x:v>
      </x:c>
      <x:c r="D1050" s="22" t="str">
        <x:v>泉港区</x:v>
      </x:c>
      <x:c r="E1050" s="22" t="str">
        <x:v>建设用地</x:v>
      </x:c>
      <x:c r="F1050" s="22" t="str">
        <x:v>工矿仓储用地</x:v>
      </x:c>
      <x:c r="G1050" s="32" t="str">
        <x:v>601</x:v>
      </x:c>
      <x:c r="H1050" s="32" t="str">
        <x:v>601</x:v>
      </x:c>
      <x:c r="I1050" s="22" t="str">
        <x:v>工业用地</x:v>
      </x:c>
      <x:c r="J1050" s="22" t="str">
        <x:v>产业功能</x:v>
      </x:c>
      <x:c r="K1050" s="32" t="str">
        <x:v>203A</x:v>
      </x:c>
      <x:c r="L1050" s="22" t="str">
        <x:v>村庄独立工业用地</x:v>
      </x:c>
      <x:c r="M1050" s="33" t="n">
        <x:v>359878.60000000003</x:v>
      </x:c>
      <x:c r="N1050" s="33" t="n">
        <x:v>35.987860000000005</x:v>
      </x:c>
      <x:c r="O1050" s="22" t="str">
        <x:v>公顷</x:v>
      </x:c>
      <x:c r="P1050" s="22" t="str">
        <x:v>未提供（单期横截面）</x:v>
      </x:c>
      <x:c r="Q1050" s="23" t="n">
        <x:v>4029</x:v>
      </x:c>
    </x:row>
    <x:row r="1051">
      <x:c r="A1051" s="30" t="n">
        <x:v>350500</x:v>
      </x:c>
      <x:c r="B1051" s="22" t="str">
        <x:v>泉州市</x:v>
      </x:c>
      <x:c r="C1051" s="31" t="n">
        <x:v>350505</x:v>
      </x:c>
      <x:c r="D1051" s="22" t="str">
        <x:v>泉港区</x:v>
      </x:c>
      <x:c r="E1051" s="22" t="str">
        <x:v>建设用地</x:v>
      </x:c>
      <x:c r="F1051" s="22" t="str">
        <x:v>工矿仓储用地</x:v>
      </x:c>
      <x:c r="G1051" s="32" t="str">
        <x:v>602</x:v>
      </x:c>
      <x:c r="H1051" s="32" t="str">
        <x:v>602</x:v>
      </x:c>
      <x:c r="I1051" s="22" t="str">
        <x:v>采矿用地</x:v>
      </x:c>
      <x:c r="J1051" s="22" t="str">
        <x:v>产业功能</x:v>
      </x:c>
      <x:c r="K1051" s="32" t="str">
        <x:v>204</x:v>
      </x:c>
      <x:c r="L1051" s="22" t="str">
        <x:v>盐田及采矿用地</x:v>
      </x:c>
      <x:c r="M1051" s="33" t="n">
        <x:v>2850326.86</x:v>
      </x:c>
      <x:c r="N1051" s="33" t="n">
        <x:v>285.032686</x:v>
      </x:c>
      <x:c r="O1051" s="22" t="str">
        <x:v>公顷</x:v>
      </x:c>
      <x:c r="P1051" s="22" t="str">
        <x:v>未提供（单期横截面）</x:v>
      </x:c>
      <x:c r="Q1051" s="23" t="n">
        <x:v>4030</x:v>
      </x:c>
    </x:row>
    <x:row r="1052">
      <x:c r="A1052" s="30" t="n">
        <x:v>350500</x:v>
      </x:c>
      <x:c r="B1052" s="22" t="str">
        <x:v>泉州市</x:v>
      </x:c>
      <x:c r="C1052" s="31" t="n">
        <x:v>350505</x:v>
      </x:c>
      <x:c r="D1052" s="22" t="str">
        <x:v>泉港区</x:v>
      </x:c>
      <x:c r="E1052" s="22" t="str">
        <x:v>建设用地</x:v>
      </x:c>
      <x:c r="F1052" s="22" t="str">
        <x:v>工矿仓储用地</x:v>
      </x:c>
      <x:c r="G1052" s="32" t="str">
        <x:v>603</x:v>
      </x:c>
      <x:c r="H1052" s="32" t="str">
        <x:v>603</x:v>
      </x:c>
      <x:c r="I1052" s="22" t="str">
        <x:v>盐田</x:v>
      </x:c>
      <x:c r="J1052" s="22" t="str">
        <x:v>产业功能</x:v>
      </x:c>
      <x:c r="K1052" s="32" t="str">
        <x:v>204</x:v>
      </x:c>
      <x:c r="L1052" s="22" t="str">
        <x:v>盐田及采矿用地</x:v>
      </x:c>
      <x:c r="M1052" s="33" t="n">
        <x:v>6630849.240000001</x:v>
      </x:c>
      <x:c r="N1052" s="33" t="n">
        <x:v>663.0849240000001</x:v>
      </x:c>
      <x:c r="O1052" s="22" t="str">
        <x:v>公顷</x:v>
      </x:c>
      <x:c r="P1052" s="22" t="str">
        <x:v>未提供（单期横截面）</x:v>
      </x:c>
      <x:c r="Q1052" s="23" t="n">
        <x:v>4031</x:v>
      </x:c>
    </x:row>
    <x:row r="1053">
      <x:c r="A1053" s="30" t="n">
        <x:v>350500</x:v>
      </x:c>
      <x:c r="B1053" s="22" t="str">
        <x:v>泉州市</x:v>
      </x:c>
      <x:c r="C1053" s="31" t="n">
        <x:v>350505</x:v>
      </x:c>
      <x:c r="D1053" s="22" t="str">
        <x:v>泉港区</x:v>
      </x:c>
      <x:c r="E1053" s="22" t="str">
        <x:v>建设用地</x:v>
      </x:c>
      <x:c r="F1053" s="22" t="str">
        <x:v>其他建设用地</x:v>
      </x:c>
      <x:c r="G1053" s="32" t="str">
        <x:v>1201</x:v>
      </x:c>
      <x:c r="H1053" s="32" t="str">
        <x:v>1201</x:v>
      </x:c>
      <x:c r="I1053" s="22" t="str">
        <x:v>空闲地</x:v>
      </x:c>
      <x:c r="J1053" s="22" t="str">
        <x:v>其他建设</x:v>
      </x:c>
      <x:c r="K1053" s="32" t="str">
        <x:v>204</x:v>
      </x:c>
      <x:c r="L1053" s="22" t="str">
        <x:v>盐田及采矿用地</x:v>
      </x:c>
      <x:c r="M1053" s="33" t="n">
        <x:v>552231.95</x:v>
      </x:c>
      <x:c r="N1053" s="33" t="n">
        <x:v>55.223195</x:v>
      </x:c>
      <x:c r="O1053" s="22" t="str">
        <x:v>公顷</x:v>
      </x:c>
      <x:c r="P1053" s="22" t="str">
        <x:v>未提供（单期横截面）</x:v>
      </x:c>
      <x:c r="Q1053" s="23" t="n">
        <x:v>4032</x:v>
      </x:c>
    </x:row>
    <x:row r="1054">
      <x:c r="A1054" s="30" t="n">
        <x:v>350500</x:v>
      </x:c>
      <x:c r="B1054" s="22" t="str">
        <x:v>泉州市</x:v>
      </x:c>
      <x:c r="C1054" s="31" t="n">
        <x:v>350505</x:v>
      </x:c>
      <x:c r="D1054" s="22" t="str">
        <x:v>泉港区</x:v>
      </x:c>
      <x:c r="E1054" s="22" t="str">
        <x:v>建设用地</x:v>
      </x:c>
      <x:c r="F1054" s="22" t="str">
        <x:v>绿地与广场用地</x:v>
      </x:c>
      <x:c r="G1054" s="32" t="str">
        <x:v>810</x:v>
      </x:c>
      <x:c r="H1054" s="32" t="str">
        <x:v>810</x:v>
      </x:c>
      <x:c r="I1054" s="22" t="str">
        <x:v>公园与绿地</x:v>
      </x:c>
      <x:c r="J1054" s="22" t="str">
        <x:v>公共空间</x:v>
      </x:c>
      <x:c r="K1054" s="32" t="str">
        <x:v>205</x:v>
      </x:c>
      <x:c r="L1054" s="22" t="str">
        <x:v>特殊用地</x:v>
      </x:c>
      <x:c r="M1054" s="33" t="n">
        <x:v>1433.84</x:v>
      </x:c>
      <x:c r="N1054" s="33" t="n">
        <x:v>0.14338399999999998</x:v>
      </x:c>
      <x:c r="O1054" s="22" t="str">
        <x:v>公顷</x:v>
      </x:c>
      <x:c r="P1054" s="22" t="str">
        <x:v>未提供（单期横截面）</x:v>
      </x:c>
      <x:c r="Q1054" s="23" t="n">
        <x:v>4033</x:v>
      </x:c>
    </x:row>
    <x:row r="1055">
      <x:c r="A1055" s="30" t="n">
        <x:v>350500</x:v>
      </x:c>
      <x:c r="B1055" s="22" t="str">
        <x:v>泉州市</x:v>
      </x:c>
      <x:c r="C1055" s="31" t="n">
        <x:v>350505</x:v>
      </x:c>
      <x:c r="D1055" s="22" t="str">
        <x:v>泉港区</x:v>
      </x:c>
      <x:c r="E1055" s="22" t="str">
        <x:v>建设用地</x:v>
      </x:c>
      <x:c r="F1055" s="22" t="str">
        <x:v>特殊用地</x:v>
      </x:c>
      <x:c r="G1055" s="32" t="str">
        <x:v>9</x:v>
      </x:c>
      <x:c r="H1055" s="32" t="str">
        <x:v>9</x:v>
      </x:c>
      <x:c r="I1055" s="22" t="str">
        <x:v>特殊用地</x:v>
      </x:c>
      <x:c r="J1055" s="22" t="str">
        <x:v>其他建设</x:v>
      </x:c>
      <x:c r="K1055" s="32" t="str">
        <x:v>205</x:v>
      </x:c>
      <x:c r="L1055" s="22" t="str">
        <x:v>特殊用地</x:v>
      </x:c>
      <x:c r="M1055" s="33" t="n">
        <x:v>2532274.0700000017</x:v>
      </x:c>
      <x:c r="N1055" s="33" t="n">
        <x:v>253.22740700000017</x:v>
      </x:c>
      <x:c r="O1055" s="22" t="str">
        <x:v>公顷</x:v>
      </x:c>
      <x:c r="P1055" s="22" t="str">
        <x:v>未提供（单期横截面）</x:v>
      </x:c>
      <x:c r="Q1055" s="23" t="n">
        <x:v>4034</x:v>
      </x:c>
    </x:row>
    <x:row r="1056">
      <x:c r="A1056" s="30" t="n">
        <x:v>350500</x:v>
      </x:c>
      <x:c r="B1056" s="22" t="str">
        <x:v>泉州市</x:v>
      </x:c>
      <x:c r="C1056" s="31" t="n">
        <x:v>350505</x:v>
      </x:c>
      <x:c r="D1056" s="22" t="str">
        <x:v>泉港区</x:v>
      </x:c>
      <x:c r="E1056" s="22" t="str">
        <x:v>农用地</x:v>
      </x:c>
      <x:c r="F1056" s="22" t="str">
        <x:v>耕地</x:v>
      </x:c>
      <x:c r="G1056" s="32" t="str">
        <x:v>101</x:v>
      </x:c>
      <x:c r="H1056" s="32" t="str">
        <x:v>101</x:v>
      </x:c>
      <x:c r="I1056" s="22" t="str">
        <x:v>水田</x:v>
      </x:c>
      <x:c r="J1056" s="22" t="str">
        <x:v>农业生态</x:v>
      </x:c>
      <x:c r="K1056" s="32" t="str"/>
      <x:c r="L1056" s="22" t="str">
        <x:v>不适用/未标注</x:v>
      </x:c>
      <x:c r="M1056" s="33" t="n">
        <x:v>21606512.92000003</x:v>
      </x:c>
      <x:c r="N1056" s="33" t="n">
        <x:v>2160.651292000003</x:v>
      </x:c>
      <x:c r="O1056" s="22" t="str">
        <x:v>公顷</x:v>
      </x:c>
      <x:c r="P1056" s="22" t="str">
        <x:v>未提供（单期横截面）</x:v>
      </x:c>
      <x:c r="Q1056" s="23" t="n">
        <x:v>4035</x:v>
      </x:c>
    </x:row>
    <x:row r="1057">
      <x:c r="A1057" s="30" t="n">
        <x:v>350500</x:v>
      </x:c>
      <x:c r="B1057" s="22" t="str">
        <x:v>泉州市</x:v>
      </x:c>
      <x:c r="C1057" s="31" t="n">
        <x:v>350505</x:v>
      </x:c>
      <x:c r="D1057" s="22" t="str">
        <x:v>泉港区</x:v>
      </x:c>
      <x:c r="E1057" s="22" t="str">
        <x:v>农用地</x:v>
      </x:c>
      <x:c r="F1057" s="22" t="str">
        <x:v>耕地</x:v>
      </x:c>
      <x:c r="G1057" s="32" t="str">
        <x:v>102</x:v>
      </x:c>
      <x:c r="H1057" s="32" t="str">
        <x:v>102</x:v>
      </x:c>
      <x:c r="I1057" s="22" t="str">
        <x:v>水浇地</x:v>
      </x:c>
      <x:c r="J1057" s="22" t="str">
        <x:v>农业生态</x:v>
      </x:c>
      <x:c r="K1057" s="32" t="str"/>
      <x:c r="L1057" s="22" t="str">
        <x:v>不适用/未标注</x:v>
      </x:c>
      <x:c r="M1057" s="33" t="n">
        <x:v>1452794.7099999993</x:v>
      </x:c>
      <x:c r="N1057" s="33" t="n">
        <x:v>145.27947099999992</x:v>
      </x:c>
      <x:c r="O1057" s="22" t="str">
        <x:v>公顷</x:v>
      </x:c>
      <x:c r="P1057" s="22" t="str">
        <x:v>未提供（单期横截面）</x:v>
      </x:c>
      <x:c r="Q1057" s="23" t="n">
        <x:v>4036</x:v>
      </x:c>
    </x:row>
    <x:row r="1058">
      <x:c r="A1058" s="30" t="n">
        <x:v>350500</x:v>
      </x:c>
      <x:c r="B1058" s="22" t="str">
        <x:v>泉州市</x:v>
      </x:c>
      <x:c r="C1058" s="31" t="n">
        <x:v>350505</x:v>
      </x:c>
      <x:c r="D1058" s="22" t="str">
        <x:v>泉港区</x:v>
      </x:c>
      <x:c r="E1058" s="22" t="str">
        <x:v>农用地</x:v>
      </x:c>
      <x:c r="F1058" s="22" t="str">
        <x:v>耕地</x:v>
      </x:c>
      <x:c r="G1058" s="32" t="str">
        <x:v>103</x:v>
      </x:c>
      <x:c r="H1058" s="32" t="str">
        <x:v>103</x:v>
      </x:c>
      <x:c r="I1058" s="22" t="str">
        <x:v>旱地</x:v>
      </x:c>
      <x:c r="J1058" s="22" t="str">
        <x:v>农业生态</x:v>
      </x:c>
      <x:c r="K1058" s="32" t="str"/>
      <x:c r="L1058" s="22" t="str">
        <x:v>不适用/未标注</x:v>
      </x:c>
      <x:c r="M1058" s="33" t="n">
        <x:v>22677081.07000007</x:v>
      </x:c>
      <x:c r="N1058" s="33" t="n">
        <x:v>2267.708107000007</x:v>
      </x:c>
      <x:c r="O1058" s="22" t="str">
        <x:v>公顷</x:v>
      </x:c>
      <x:c r="P1058" s="22" t="str">
        <x:v>未提供（单期横截面）</x:v>
      </x:c>
      <x:c r="Q1058" s="23" t="n">
        <x:v>4037</x:v>
      </x:c>
    </x:row>
    <x:row r="1059">
      <x:c r="A1059" s="30" t="n">
        <x:v>350500</x:v>
      </x:c>
      <x:c r="B1059" s="22" t="str">
        <x:v>泉州市</x:v>
      </x:c>
      <x:c r="C1059" s="31" t="n">
        <x:v>350505</x:v>
      </x:c>
      <x:c r="D1059" s="22" t="str">
        <x:v>泉港区</x:v>
      </x:c>
      <x:c r="E1059" s="22" t="str">
        <x:v>农用地</x:v>
      </x:c>
      <x:c r="F1059" s="22" t="str">
        <x:v>园地</x:v>
      </x:c>
      <x:c r="G1059" s="32" t="str">
        <x:v>201</x:v>
      </x:c>
      <x:c r="H1059" s="32" t="str">
        <x:v>201</x:v>
      </x:c>
      <x:c r="I1059" s="22" t="str">
        <x:v>果园</x:v>
      </x:c>
      <x:c r="J1059" s="22" t="str">
        <x:v>农业生态</x:v>
      </x:c>
      <x:c r="K1059" s="32" t="str"/>
      <x:c r="L1059" s="22" t="str">
        <x:v>不适用/未标注</x:v>
      </x:c>
      <x:c r="M1059" s="33" t="n">
        <x:v>20483836.410000023</x:v>
      </x:c>
      <x:c r="N1059" s="33" t="n">
        <x:v>2048.383641000002</x:v>
      </x:c>
      <x:c r="O1059" s="22" t="str">
        <x:v>公顷</x:v>
      </x:c>
      <x:c r="P1059" s="22" t="str">
        <x:v>未提供（单期横截面）</x:v>
      </x:c>
      <x:c r="Q1059" s="23" t="n">
        <x:v>4038</x:v>
      </x:c>
    </x:row>
    <x:row r="1060">
      <x:c r="A1060" s="30" t="n">
        <x:v>350500</x:v>
      </x:c>
      <x:c r="B1060" s="22" t="str">
        <x:v>泉州市</x:v>
      </x:c>
      <x:c r="C1060" s="31" t="n">
        <x:v>350505</x:v>
      </x:c>
      <x:c r="D1060" s="22" t="str">
        <x:v>泉港区</x:v>
      </x:c>
      <x:c r="E1060" s="22" t="str">
        <x:v>农用地</x:v>
      </x:c>
      <x:c r="F1060" s="22" t="str">
        <x:v>园地</x:v>
      </x:c>
      <x:c r="G1060" s="32" t="str">
        <x:v>0201K</x:v>
      </x:c>
      <x:c r="H1060" s="32" t="str">
        <x:v>201</x:v>
      </x:c>
      <x:c r="I1060" s="22" t="str">
        <x:v>可调整果园</x:v>
      </x:c>
      <x:c r="J1060" s="22" t="str">
        <x:v>农业生态</x:v>
      </x:c>
      <x:c r="K1060" s="32" t="str"/>
      <x:c r="L1060" s="22" t="str">
        <x:v>不适用/未标注</x:v>
      </x:c>
      <x:c r="M1060" s="33" t="n">
        <x:v>6733.03</x:v>
      </x:c>
      <x:c r="N1060" s="33" t="n">
        <x:v>0.673303</x:v>
      </x:c>
      <x:c r="O1060" s="22" t="str">
        <x:v>公顷</x:v>
      </x:c>
      <x:c r="P1060" s="22" t="str">
        <x:v>未提供（单期横截面）</x:v>
      </x:c>
      <x:c r="Q1060" s="23" t="n">
        <x:v>4039</x:v>
      </x:c>
    </x:row>
    <x:row r="1061">
      <x:c r="A1061" s="30" t="n">
        <x:v>350500</x:v>
      </x:c>
      <x:c r="B1061" s="22" t="str">
        <x:v>泉州市</x:v>
      </x:c>
      <x:c r="C1061" s="31" t="n">
        <x:v>350505</x:v>
      </x:c>
      <x:c r="D1061" s="22" t="str">
        <x:v>泉港区</x:v>
      </x:c>
      <x:c r="E1061" s="22" t="str">
        <x:v>农用地</x:v>
      </x:c>
      <x:c r="F1061" s="22" t="str">
        <x:v>园地</x:v>
      </x:c>
      <x:c r="G1061" s="32" t="str">
        <x:v>202</x:v>
      </x:c>
      <x:c r="H1061" s="32" t="str">
        <x:v>202</x:v>
      </x:c>
      <x:c r="I1061" s="22" t="str">
        <x:v>茶园</x:v>
      </x:c>
      <x:c r="J1061" s="22" t="str">
        <x:v>农业生态</x:v>
      </x:c>
      <x:c r="K1061" s="32" t="str"/>
      <x:c r="L1061" s="22" t="str">
        <x:v>不适用/未标注</x:v>
      </x:c>
      <x:c r="M1061" s="33" t="n">
        <x:v>866217.8699999998</x:v>
      </x:c>
      <x:c r="N1061" s="33" t="n">
        <x:v>86.62178699999997</x:v>
      </x:c>
      <x:c r="O1061" s="22" t="str">
        <x:v>公顷</x:v>
      </x:c>
      <x:c r="P1061" s="22" t="str">
        <x:v>未提供（单期横截面）</x:v>
      </x:c>
      <x:c r="Q1061" s="23" t="n">
        <x:v>4040</x:v>
      </x:c>
    </x:row>
    <x:row r="1062">
      <x:c r="A1062" s="30" t="n">
        <x:v>350500</x:v>
      </x:c>
      <x:c r="B1062" s="22" t="str">
        <x:v>泉州市</x:v>
      </x:c>
      <x:c r="C1062" s="31" t="n">
        <x:v>350505</x:v>
      </x:c>
      <x:c r="D1062" s="22" t="str">
        <x:v>泉港区</x:v>
      </x:c>
      <x:c r="E1062" s="22" t="str">
        <x:v>农用地</x:v>
      </x:c>
      <x:c r="F1062" s="22" t="str">
        <x:v>园地</x:v>
      </x:c>
      <x:c r="G1062" s="32" t="str">
        <x:v>204</x:v>
      </x:c>
      <x:c r="H1062" s="32" t="str">
        <x:v>204</x:v>
      </x:c>
      <x:c r="I1062" s="22" t="str">
        <x:v>其他园地</x:v>
      </x:c>
      <x:c r="J1062" s="22" t="str">
        <x:v>农业生态</x:v>
      </x:c>
      <x:c r="K1062" s="32" t="str"/>
      <x:c r="L1062" s="22" t="str">
        <x:v>不适用/未标注</x:v>
      </x:c>
      <x:c r="M1062" s="33" t="n">
        <x:v>762711.7800000003</x:v>
      </x:c>
      <x:c r="N1062" s="33" t="n">
        <x:v>76.27117800000002</x:v>
      </x:c>
      <x:c r="O1062" s="22" t="str">
        <x:v>公顷</x:v>
      </x:c>
      <x:c r="P1062" s="22" t="str">
        <x:v>未提供（单期横截面）</x:v>
      </x:c>
      <x:c r="Q1062" s="23" t="n">
        <x:v>4041</x:v>
      </x:c>
    </x:row>
    <x:row r="1063">
      <x:c r="A1063" s="30" t="n">
        <x:v>350500</x:v>
      </x:c>
      <x:c r="B1063" s="22" t="str">
        <x:v>泉州市</x:v>
      </x:c>
      <x:c r="C1063" s="31" t="n">
        <x:v>350505</x:v>
      </x:c>
      <x:c r="D1063" s="22" t="str">
        <x:v>泉港区</x:v>
      </x:c>
      <x:c r="E1063" s="22" t="str">
        <x:v>农用地</x:v>
      </x:c>
      <x:c r="F1063" s="22" t="str">
        <x:v>林地</x:v>
      </x:c>
      <x:c r="G1063" s="32" t="str">
        <x:v>301</x:v>
      </x:c>
      <x:c r="H1063" s="32" t="str">
        <x:v>301</x:v>
      </x:c>
      <x:c r="I1063" s="22" t="str">
        <x:v>乔木林地</x:v>
      </x:c>
      <x:c r="J1063" s="22" t="str">
        <x:v>农业生态</x:v>
      </x:c>
      <x:c r="K1063" s="32" t="str"/>
      <x:c r="L1063" s="22" t="str">
        <x:v>不适用/未标注</x:v>
      </x:c>
      <x:c r="M1063" s="33" t="n">
        <x:v>95149533.86999986</x:v>
      </x:c>
      <x:c r="N1063" s="33" t="n">
        <x:v>9514.953386999985</x:v>
      </x:c>
      <x:c r="O1063" s="22" t="str">
        <x:v>公顷</x:v>
      </x:c>
      <x:c r="P1063" s="22" t="str">
        <x:v>未提供（单期横截面）</x:v>
      </x:c>
      <x:c r="Q1063" s="23" t="n">
        <x:v>4042</x:v>
      </x:c>
    </x:row>
    <x:row r="1064">
      <x:c r="A1064" s="30" t="n">
        <x:v>350500</x:v>
      </x:c>
      <x:c r="B1064" s="22" t="str">
        <x:v>泉州市</x:v>
      </x:c>
      <x:c r="C1064" s="31" t="n">
        <x:v>350505</x:v>
      </x:c>
      <x:c r="D1064" s="22" t="str">
        <x:v>泉港区</x:v>
      </x:c>
      <x:c r="E1064" s="22" t="str">
        <x:v>农用地</x:v>
      </x:c>
      <x:c r="F1064" s="22" t="str">
        <x:v>林地</x:v>
      </x:c>
      <x:c r="G1064" s="32" t="str">
        <x:v>0301K</x:v>
      </x:c>
      <x:c r="H1064" s="32" t="str">
        <x:v>0301</x:v>
      </x:c>
      <x:c r="I1064" s="22" t="str">
        <x:v>可调整乔木林地</x:v>
      </x:c>
      <x:c r="J1064" s="22" t="str">
        <x:v>农业生态</x:v>
      </x:c>
      <x:c r="K1064" s="32" t="str"/>
      <x:c r="L1064" s="22" t="str">
        <x:v>不适用/未标注</x:v>
      </x:c>
      <x:c r="M1064" s="33" t="n">
        <x:v>2826.47</x:v>
      </x:c>
      <x:c r="N1064" s="33" t="n">
        <x:v>0.282647</x:v>
      </x:c>
      <x:c r="O1064" s="22" t="str">
        <x:v>公顷</x:v>
      </x:c>
      <x:c r="P1064" s="22" t="str">
        <x:v>未提供（单期横截面）</x:v>
      </x:c>
      <x:c r="Q1064" s="23" t="n">
        <x:v>4043</x:v>
      </x:c>
    </x:row>
    <x:row r="1065">
      <x:c r="A1065" s="30" t="n">
        <x:v>350500</x:v>
      </x:c>
      <x:c r="B1065" s="22" t="str">
        <x:v>泉州市</x:v>
      </x:c>
      <x:c r="C1065" s="31" t="n">
        <x:v>350505</x:v>
      </x:c>
      <x:c r="D1065" s="22" t="str">
        <x:v>泉港区</x:v>
      </x:c>
      <x:c r="E1065" s="22" t="str">
        <x:v>农用地</x:v>
      </x:c>
      <x:c r="F1065" s="22" t="str">
        <x:v>林地</x:v>
      </x:c>
      <x:c r="G1065" s="32" t="str">
        <x:v>302</x:v>
      </x:c>
      <x:c r="H1065" s="32" t="str">
        <x:v>302</x:v>
      </x:c>
      <x:c r="I1065" s="22" t="str">
        <x:v>竹林地</x:v>
      </x:c>
      <x:c r="J1065" s="22" t="str">
        <x:v>农业生态</x:v>
      </x:c>
      <x:c r="K1065" s="32" t="str"/>
      <x:c r="L1065" s="22" t="str">
        <x:v>不适用/未标注</x:v>
      </x:c>
      <x:c r="M1065" s="33" t="n">
        <x:v>16082.77</x:v>
      </x:c>
      <x:c r="N1065" s="33" t="n">
        <x:v>1.608277</x:v>
      </x:c>
      <x:c r="O1065" s="22" t="str">
        <x:v>公顷</x:v>
      </x:c>
      <x:c r="P1065" s="22" t="str">
        <x:v>未提供（单期横截面）</x:v>
      </x:c>
      <x:c r="Q1065" s="23" t="n">
        <x:v>4044</x:v>
      </x:c>
    </x:row>
    <x:row r="1066">
      <x:c r="A1066" s="30" t="n">
        <x:v>350500</x:v>
      </x:c>
      <x:c r="B1066" s="22" t="str">
        <x:v>泉州市</x:v>
      </x:c>
      <x:c r="C1066" s="31" t="n">
        <x:v>350505</x:v>
      </x:c>
      <x:c r="D1066" s="22" t="str">
        <x:v>泉港区</x:v>
      </x:c>
      <x:c r="E1066" s="22" t="str">
        <x:v>农用地</x:v>
      </x:c>
      <x:c r="F1066" s="22" t="str">
        <x:v>林地</x:v>
      </x:c>
      <x:c r="G1066" s="32" t="str">
        <x:v>303</x:v>
      </x:c>
      <x:c r="H1066" s="32" t="str">
        <x:v>303</x:v>
      </x:c>
      <x:c r="I1066" s="22" t="str">
        <x:v>红树林地</x:v>
      </x:c>
      <x:c r="J1066" s="22" t="str">
        <x:v>农业生态</x:v>
      </x:c>
      <x:c r="K1066" s="32" t="str"/>
      <x:c r="L1066" s="22" t="str">
        <x:v>不适用/未标注</x:v>
      </x:c>
      <x:c r="M1066" s="33" t="n">
        <x:v>143309.05</x:v>
      </x:c>
      <x:c r="N1066" s="33" t="n">
        <x:v>14.330905</x:v>
      </x:c>
      <x:c r="O1066" s="22" t="str">
        <x:v>公顷</x:v>
      </x:c>
      <x:c r="P1066" s="22" t="str">
        <x:v>未提供（单期横截面）</x:v>
      </x:c>
      <x:c r="Q1066" s="23" t="n">
        <x:v>4045</x:v>
      </x:c>
    </x:row>
    <x:row r="1067">
      <x:c r="A1067" s="30" t="n">
        <x:v>350500</x:v>
      </x:c>
      <x:c r="B1067" s="22" t="str">
        <x:v>泉州市</x:v>
      </x:c>
      <x:c r="C1067" s="31" t="n">
        <x:v>350505</x:v>
      </x:c>
      <x:c r="D1067" s="22" t="str">
        <x:v>泉港区</x:v>
      </x:c>
      <x:c r="E1067" s="22" t="str">
        <x:v>农用地</x:v>
      </x:c>
      <x:c r="F1067" s="22" t="str">
        <x:v>林地</x:v>
      </x:c>
      <x:c r="G1067" s="32" t="str">
        <x:v>305</x:v>
      </x:c>
      <x:c r="H1067" s="32" t="str">
        <x:v>305</x:v>
      </x:c>
      <x:c r="I1067" s="22" t="str">
        <x:v>灌木林地</x:v>
      </x:c>
      <x:c r="J1067" s="22" t="str">
        <x:v>农业生态</x:v>
      </x:c>
      <x:c r="K1067" s="32" t="str"/>
      <x:c r="L1067" s="22" t="str">
        <x:v>不适用/未标注</x:v>
      </x:c>
      <x:c r="M1067" s="33" t="n">
        <x:v>2138968.7599999993</x:v>
      </x:c>
      <x:c r="N1067" s="33" t="n">
        <x:v>213.89687599999993</x:v>
      </x:c>
      <x:c r="O1067" s="22" t="str">
        <x:v>公顷</x:v>
      </x:c>
      <x:c r="P1067" s="22" t="str">
        <x:v>未提供（单期横截面）</x:v>
      </x:c>
      <x:c r="Q1067" s="23" t="n">
        <x:v>4046</x:v>
      </x:c>
    </x:row>
    <x:row r="1068">
      <x:c r="A1068" s="30" t="n">
        <x:v>350500</x:v>
      </x:c>
      <x:c r="B1068" s="22" t="str">
        <x:v>泉州市</x:v>
      </x:c>
      <x:c r="C1068" s="31" t="n">
        <x:v>350505</x:v>
      </x:c>
      <x:c r="D1068" s="22" t="str">
        <x:v>泉港区</x:v>
      </x:c>
      <x:c r="E1068" s="22" t="str">
        <x:v>农用地</x:v>
      </x:c>
      <x:c r="F1068" s="22" t="str">
        <x:v>林地</x:v>
      </x:c>
      <x:c r="G1068" s="32" t="str">
        <x:v>307</x:v>
      </x:c>
      <x:c r="H1068" s="32" t="str">
        <x:v>307</x:v>
      </x:c>
      <x:c r="I1068" s="22" t="str">
        <x:v>其他林地</x:v>
      </x:c>
      <x:c r="J1068" s="22" t="str">
        <x:v>农业生态</x:v>
      </x:c>
      <x:c r="K1068" s="32" t="str"/>
      <x:c r="L1068" s="22" t="str">
        <x:v>不适用/未标注</x:v>
      </x:c>
      <x:c r="M1068" s="33" t="n">
        <x:v>12561858.070000015</x:v>
      </x:c>
      <x:c r="N1068" s="33" t="n">
        <x:v>1256.1858070000014</x:v>
      </x:c>
      <x:c r="O1068" s="22" t="str">
        <x:v>公顷</x:v>
      </x:c>
      <x:c r="P1068" s="22" t="str">
        <x:v>未提供（单期横截面）</x:v>
      </x:c>
      <x:c r="Q1068" s="23" t="n">
        <x:v>4047</x:v>
      </x:c>
    </x:row>
    <x:row r="1069">
      <x:c r="A1069" s="30" t="n">
        <x:v>350500</x:v>
      </x:c>
      <x:c r="B1069" s="22" t="str">
        <x:v>泉州市</x:v>
      </x:c>
      <x:c r="C1069" s="31" t="n">
        <x:v>350505</x:v>
      </x:c>
      <x:c r="D1069" s="22" t="str">
        <x:v>泉港区</x:v>
      </x:c>
      <x:c r="E1069" s="22" t="str">
        <x:v>农用地</x:v>
      </x:c>
      <x:c r="F1069" s="22" t="str">
        <x:v>其他农用地</x:v>
      </x:c>
      <x:c r="G1069" s="32" t="str">
        <x:v>1006</x:v>
      </x:c>
      <x:c r="H1069" s="32" t="str">
        <x:v>1006</x:v>
      </x:c>
      <x:c r="I1069" s="22" t="str">
        <x:v>农村道路</x:v>
      </x:c>
      <x:c r="J1069" s="22" t="str">
        <x:v>农业生态</x:v>
      </x:c>
      <x:c r="K1069" s="32" t="str"/>
      <x:c r="L1069" s="22" t="str">
        <x:v>不适用/未标注</x:v>
      </x:c>
      <x:c r="M1069" s="33" t="n">
        <x:v>3436522.980000002</x:v>
      </x:c>
      <x:c r="N1069" s="33" t="n">
        <x:v>343.6522980000002</x:v>
      </x:c>
      <x:c r="O1069" s="22" t="str">
        <x:v>公顷</x:v>
      </x:c>
      <x:c r="P1069" s="22" t="str">
        <x:v>未提供（单期横截面）</x:v>
      </x:c>
      <x:c r="Q1069" s="23" t="n">
        <x:v>4048</x:v>
      </x:c>
    </x:row>
    <x:row r="1070">
      <x:c r="A1070" s="30" t="n">
        <x:v>350500</x:v>
      </x:c>
      <x:c r="B1070" s="22" t="str">
        <x:v>泉州市</x:v>
      </x:c>
      <x:c r="C1070" s="31" t="n">
        <x:v>350505</x:v>
      </x:c>
      <x:c r="D1070" s="22" t="str">
        <x:v>泉港区</x:v>
      </x:c>
      <x:c r="E1070" s="22" t="str">
        <x:v>农用地</x:v>
      </x:c>
      <x:c r="F1070" s="22" t="str">
        <x:v>水域及水利设施</x:v>
      </x:c>
      <x:c r="G1070" s="32" t="str">
        <x:v>1103</x:v>
      </x:c>
      <x:c r="H1070" s="32" t="str">
        <x:v>1103</x:v>
      </x:c>
      <x:c r="I1070" s="22" t="str">
        <x:v>水库水面</x:v>
      </x:c>
      <x:c r="J1070" s="22" t="str">
        <x:v>农业生态</x:v>
      </x:c>
      <x:c r="K1070" s="32" t="str"/>
      <x:c r="L1070" s="22" t="str">
        <x:v>不适用/未标注</x:v>
      </x:c>
      <x:c r="M1070" s="33" t="n">
        <x:v>3471862.49</x:v>
      </x:c>
      <x:c r="N1070" s="33" t="n">
        <x:v>347.18624900000003</x:v>
      </x:c>
      <x:c r="O1070" s="22" t="str">
        <x:v>公顷</x:v>
      </x:c>
      <x:c r="P1070" s="22" t="str">
        <x:v>未提供（单期横截面）</x:v>
      </x:c>
      <x:c r="Q1070" s="23" t="n">
        <x:v>4049</x:v>
      </x:c>
    </x:row>
    <x:row r="1071">
      <x:c r="A1071" s="30" t="n">
        <x:v>350500</x:v>
      </x:c>
      <x:c r="B1071" s="22" t="str">
        <x:v>泉州市</x:v>
      </x:c>
      <x:c r="C1071" s="31" t="n">
        <x:v>350505</x:v>
      </x:c>
      <x:c r="D1071" s="22" t="str">
        <x:v>泉港区</x:v>
      </x:c>
      <x:c r="E1071" s="22" t="str">
        <x:v>农用地</x:v>
      </x:c>
      <x:c r="F1071" s="22" t="str">
        <x:v>水域及水利设施</x:v>
      </x:c>
      <x:c r="G1071" s="32" t="str">
        <x:v>1104</x:v>
      </x:c>
      <x:c r="H1071" s="32" t="str">
        <x:v>1104</x:v>
      </x:c>
      <x:c r="I1071" s="22" t="str">
        <x:v>坑塘水面</x:v>
      </x:c>
      <x:c r="J1071" s="22" t="str">
        <x:v>农业生态</x:v>
      </x:c>
      <x:c r="K1071" s="32" t="str"/>
      <x:c r="L1071" s="22" t="str">
        <x:v>不适用/未标注</x:v>
      </x:c>
      <x:c r="M1071" s="33" t="n">
        <x:v>2754154.8300000024</x:v>
      </x:c>
      <x:c r="N1071" s="33" t="n">
        <x:v>275.4154830000002</x:v>
      </x:c>
      <x:c r="O1071" s="22" t="str">
        <x:v>公顷</x:v>
      </x:c>
      <x:c r="P1071" s="22" t="str">
        <x:v>未提供（单期横截面）</x:v>
      </x:c>
      <x:c r="Q1071" s="23" t="n">
        <x:v>4050</x:v>
      </x:c>
    </x:row>
    <x:row r="1072">
      <x:c r="A1072" s="30" t="n">
        <x:v>350500</x:v>
      </x:c>
      <x:c r="B1072" s="22" t="str">
        <x:v>泉州市</x:v>
      </x:c>
      <x:c r="C1072" s="31" t="n">
        <x:v>350505</x:v>
      </x:c>
      <x:c r="D1072" s="22" t="str">
        <x:v>泉港区</x:v>
      </x:c>
      <x:c r="E1072" s="22" t="str">
        <x:v>农用地</x:v>
      </x:c>
      <x:c r="F1072" s="22" t="str">
        <x:v>水域及水利设施</x:v>
      </x:c>
      <x:c r="G1072" s="32" t="str">
        <x:v>1104A</x:v>
      </x:c>
      <x:c r="H1072" s="32" t="str">
        <x:v>1104</x:v>
      </x:c>
      <x:c r="I1072" s="22" t="str">
        <x:v>养殖坑塘</x:v>
      </x:c>
      <x:c r="J1072" s="22" t="str">
        <x:v>农业生态</x:v>
      </x:c>
      <x:c r="K1072" s="32" t="str"/>
      <x:c r="L1072" s="22" t="str">
        <x:v>不适用/未标注</x:v>
      </x:c>
      <x:c r="M1072" s="33" t="n">
        <x:v>1312726.01</x:v>
      </x:c>
      <x:c r="N1072" s="33" t="n">
        <x:v>131.272601</x:v>
      </x:c>
      <x:c r="O1072" s="22" t="str">
        <x:v>公顷</x:v>
      </x:c>
      <x:c r="P1072" s="22" t="str">
        <x:v>未提供（单期横截面）</x:v>
      </x:c>
      <x:c r="Q1072" s="23" t="n">
        <x:v>4051</x:v>
      </x:c>
    </x:row>
    <x:row r="1073">
      <x:c r="A1073" s="30" t="n">
        <x:v>350500</x:v>
      </x:c>
      <x:c r="B1073" s="22" t="str">
        <x:v>泉州市</x:v>
      </x:c>
      <x:c r="C1073" s="31" t="n">
        <x:v>350505</x:v>
      </x:c>
      <x:c r="D1073" s="22" t="str">
        <x:v>泉港区</x:v>
      </x:c>
      <x:c r="E1073" s="22" t="str">
        <x:v>农用地</x:v>
      </x:c>
      <x:c r="F1073" s="22" t="str">
        <x:v>水域及水利设施</x:v>
      </x:c>
      <x:c r="G1073" s="32" t="str">
        <x:v>1107</x:v>
      </x:c>
      <x:c r="H1073" s="32" t="str">
        <x:v>1107</x:v>
      </x:c>
      <x:c r="I1073" s="22" t="str">
        <x:v>沟渠</x:v>
      </x:c>
      <x:c r="J1073" s="22" t="str">
        <x:v>农业生态</x:v>
      </x:c>
      <x:c r="K1073" s="32" t="str"/>
      <x:c r="L1073" s="22" t="str">
        <x:v>不适用/未标注</x:v>
      </x:c>
      <x:c r="M1073" s="33" t="n">
        <x:v>1346529.4799999984</x:v>
      </x:c>
      <x:c r="N1073" s="33" t="n">
        <x:v>134.65294799999984</x:v>
      </x:c>
      <x:c r="O1073" s="22" t="str">
        <x:v>公顷</x:v>
      </x:c>
      <x:c r="P1073" s="22" t="str">
        <x:v>未提供（单期横截面）</x:v>
      </x:c>
      <x:c r="Q1073" s="23" t="n">
        <x:v>4052</x:v>
      </x:c>
    </x:row>
    <x:row r="1074">
      <x:c r="A1074" s="30" t="n">
        <x:v>350500</x:v>
      </x:c>
      <x:c r="B1074" s="22" t="str">
        <x:v>泉州市</x:v>
      </x:c>
      <x:c r="C1074" s="31" t="n">
        <x:v>350505</x:v>
      </x:c>
      <x:c r="D1074" s="22" t="str">
        <x:v>泉港区</x:v>
      </x:c>
      <x:c r="E1074" s="22" t="str">
        <x:v>农用地</x:v>
      </x:c>
      <x:c r="F1074" s="22" t="str">
        <x:v>其他农用地</x:v>
      </x:c>
      <x:c r="G1074" s="32" t="str">
        <x:v>1202</x:v>
      </x:c>
      <x:c r="H1074" s="32" t="str">
        <x:v>1202</x:v>
      </x:c>
      <x:c r="I1074" s="22" t="str">
        <x:v>设施农用地</x:v>
      </x:c>
      <x:c r="J1074" s="22" t="str">
        <x:v>农业生态</x:v>
      </x:c>
      <x:c r="K1074" s="32" t="str"/>
      <x:c r="L1074" s="22" t="str">
        <x:v>不适用/未标注</x:v>
      </x:c>
      <x:c r="M1074" s="33" t="n">
        <x:v>868645.9600000001</x:v>
      </x:c>
      <x:c r="N1074" s="33" t="n">
        <x:v>86.864596</x:v>
      </x:c>
      <x:c r="O1074" s="22" t="str">
        <x:v>公顷</x:v>
      </x:c>
      <x:c r="P1074" s="22" t="str">
        <x:v>未提供（单期横截面）</x:v>
      </x:c>
      <x:c r="Q1074" s="23" t="n">
        <x:v>4053</x:v>
      </x:c>
    </x:row>
    <x:row r="1075">
      <x:c r="A1075" s="30" t="n">
        <x:v>350500</x:v>
      </x:c>
      <x:c r="B1075" s="22" t="str">
        <x:v>泉州市</x:v>
      </x:c>
      <x:c r="C1075" s="31" t="n">
        <x:v>350505</x:v>
      </x:c>
      <x:c r="D1075" s="22" t="str">
        <x:v>泉港区</x:v>
      </x:c>
      <x:c r="E1075" s="22" t="str">
        <x:v>农用地</x:v>
      </x:c>
      <x:c r="F1075" s="22" t="str">
        <x:v>耕地</x:v>
      </x:c>
      <x:c r="G1075" s="32" t="str">
        <x:v>103</x:v>
      </x:c>
      <x:c r="H1075" s="32" t="str">
        <x:v>103</x:v>
      </x:c>
      <x:c r="I1075" s="22" t="str">
        <x:v>旱地</x:v>
      </x:c>
      <x:c r="J1075" s="22" t="str">
        <x:v>农业生态</x:v>
      </x:c>
      <x:c r="K1075" s="32" t="str">
        <x:v>201</x:v>
      </x:c>
      <x:c r="L1075" s="22" t="str">
        <x:v>城市范围</x:v>
      </x:c>
      <x:c r="M1075" s="33" t="n">
        <x:v>131095.87000000002</x:v>
      </x:c>
      <x:c r="N1075" s="33" t="n">
        <x:v>13.109587000000003</x:v>
      </x:c>
      <x:c r="O1075" s="22" t="str">
        <x:v>公顷</x:v>
      </x:c>
      <x:c r="P1075" s="22" t="str">
        <x:v>未提供（单期横截面）</x:v>
      </x:c>
      <x:c r="Q1075" s="23" t="n">
        <x:v>4054</x:v>
      </x:c>
    </x:row>
    <x:row r="1076">
      <x:c r="A1076" s="30" t="n">
        <x:v>350500</x:v>
      </x:c>
      <x:c r="B1076" s="22" t="str">
        <x:v>泉州市</x:v>
      </x:c>
      <x:c r="C1076" s="31" t="n">
        <x:v>350505</x:v>
      </x:c>
      <x:c r="D1076" s="22" t="str">
        <x:v>泉港区</x:v>
      </x:c>
      <x:c r="E1076" s="22" t="str">
        <x:v>农用地</x:v>
      </x:c>
      <x:c r="F1076" s="22" t="str">
        <x:v>园地</x:v>
      </x:c>
      <x:c r="G1076" s="32" t="str">
        <x:v>201</x:v>
      </x:c>
      <x:c r="H1076" s="32" t="str">
        <x:v>201</x:v>
      </x:c>
      <x:c r="I1076" s="22" t="str">
        <x:v>果园</x:v>
      </x:c>
      <x:c r="J1076" s="22" t="str">
        <x:v>农业生态</x:v>
      </x:c>
      <x:c r="K1076" s="32" t="str">
        <x:v>201</x:v>
      </x:c>
      <x:c r="L1076" s="22" t="str">
        <x:v>城市范围</x:v>
      </x:c>
      <x:c r="M1076" s="33" t="n">
        <x:v>23230.820000000007</x:v>
      </x:c>
      <x:c r="N1076" s="33" t="n">
        <x:v>2.3230820000000008</x:v>
      </x:c>
      <x:c r="O1076" s="22" t="str">
        <x:v>公顷</x:v>
      </x:c>
      <x:c r="P1076" s="22" t="str">
        <x:v>未提供（单期横截面）</x:v>
      </x:c>
      <x:c r="Q1076" s="23" t="n">
        <x:v>4055</x:v>
      </x:c>
    </x:row>
    <x:row r="1077">
      <x:c r="A1077" s="30" t="n">
        <x:v>350500</x:v>
      </x:c>
      <x:c r="B1077" s="22" t="str">
        <x:v>泉州市</x:v>
      </x:c>
      <x:c r="C1077" s="31" t="n">
        <x:v>350505</x:v>
      </x:c>
      <x:c r="D1077" s="22" t="str">
        <x:v>泉港区</x:v>
      </x:c>
      <x:c r="E1077" s="22" t="str">
        <x:v>农用地</x:v>
      </x:c>
      <x:c r="F1077" s="22" t="str">
        <x:v>林地</x:v>
      </x:c>
      <x:c r="G1077" s="32" t="str">
        <x:v>301</x:v>
      </x:c>
      <x:c r="H1077" s="32" t="str">
        <x:v>301</x:v>
      </x:c>
      <x:c r="I1077" s="22" t="str">
        <x:v>乔木林地</x:v>
      </x:c>
      <x:c r="J1077" s="22" t="str">
        <x:v>农业生态</x:v>
      </x:c>
      <x:c r="K1077" s="32" t="str">
        <x:v>201</x:v>
      </x:c>
      <x:c r="L1077" s="22" t="str">
        <x:v>城市范围</x:v>
      </x:c>
      <x:c r="M1077" s="33" t="n">
        <x:v>14253.329999999998</x:v>
      </x:c>
      <x:c r="N1077" s="33" t="n">
        <x:v>1.4253329999999997</x:v>
      </x:c>
      <x:c r="O1077" s="22" t="str">
        <x:v>公顷</x:v>
      </x:c>
      <x:c r="P1077" s="22" t="str">
        <x:v>未提供（单期横截面）</x:v>
      </x:c>
      <x:c r="Q1077" s="23" t="n">
        <x:v>4056</x:v>
      </x:c>
    </x:row>
    <x:row r="1078">
      <x:c r="A1078" s="30" t="n">
        <x:v>350500</x:v>
      </x:c>
      <x:c r="B1078" s="22" t="str">
        <x:v>泉州市</x:v>
      </x:c>
      <x:c r="C1078" s="31" t="n">
        <x:v>350505</x:v>
      </x:c>
      <x:c r="D1078" s="22" t="str">
        <x:v>泉港区</x:v>
      </x:c>
      <x:c r="E1078" s="22" t="str">
        <x:v>农用地</x:v>
      </x:c>
      <x:c r="F1078" s="22" t="str">
        <x:v>林地</x:v>
      </x:c>
      <x:c r="G1078" s="32" t="str">
        <x:v>307</x:v>
      </x:c>
      <x:c r="H1078" s="32" t="str">
        <x:v>307</x:v>
      </x:c>
      <x:c r="I1078" s="22" t="str">
        <x:v>其他林地</x:v>
      </x:c>
      <x:c r="J1078" s="22" t="str">
        <x:v>农业生态</x:v>
      </x:c>
      <x:c r="K1078" s="32" t="str">
        <x:v>201</x:v>
      </x:c>
      <x:c r="L1078" s="22" t="str">
        <x:v>城市范围</x:v>
      </x:c>
      <x:c r="M1078" s="33" t="n">
        <x:v>25460.63</x:v>
      </x:c>
      <x:c r="N1078" s="33" t="n">
        <x:v>2.546063</x:v>
      </x:c>
      <x:c r="O1078" s="22" t="str">
        <x:v>公顷</x:v>
      </x:c>
      <x:c r="P1078" s="22" t="str">
        <x:v>未提供（单期横截面）</x:v>
      </x:c>
      <x:c r="Q1078" s="23" t="n">
        <x:v>4057</x:v>
      </x:c>
    </x:row>
    <x:row r="1079">
      <x:c r="A1079" s="30" t="n">
        <x:v>350500</x:v>
      </x:c>
      <x:c r="B1079" s="22" t="str">
        <x:v>泉州市</x:v>
      </x:c>
      <x:c r="C1079" s="31" t="n">
        <x:v>350505</x:v>
      </x:c>
      <x:c r="D1079" s="22" t="str">
        <x:v>泉港区</x:v>
      </x:c>
      <x:c r="E1079" s="22" t="str">
        <x:v>农用地</x:v>
      </x:c>
      <x:c r="F1079" s="22" t="str">
        <x:v>水域及水利设施</x:v>
      </x:c>
      <x:c r="G1079" s="32" t="str">
        <x:v>1104</x:v>
      </x:c>
      <x:c r="H1079" s="32" t="str">
        <x:v>1104</x:v>
      </x:c>
      <x:c r="I1079" s="22" t="str">
        <x:v>坑塘水面</x:v>
      </x:c>
      <x:c r="J1079" s="22" t="str">
        <x:v>农业生态</x:v>
      </x:c>
      <x:c r="K1079" s="32" t="str">
        <x:v>201</x:v>
      </x:c>
      <x:c r="L1079" s="22" t="str">
        <x:v>城市范围</x:v>
      </x:c>
      <x:c r="M1079" s="33" t="n">
        <x:v>11810.9</x:v>
      </x:c>
      <x:c r="N1079" s="33" t="n">
        <x:v>1.18109</x:v>
      </x:c>
      <x:c r="O1079" s="22" t="str">
        <x:v>公顷</x:v>
      </x:c>
      <x:c r="P1079" s="22" t="str">
        <x:v>未提供（单期横截面）</x:v>
      </x:c>
      <x:c r="Q1079" s="23" t="n">
        <x:v>4058</x:v>
      </x:c>
    </x:row>
    <x:row r="1080">
      <x:c r="A1080" s="30" t="n">
        <x:v>350500</x:v>
      </x:c>
      <x:c r="B1080" s="22" t="str">
        <x:v>泉州市</x:v>
      </x:c>
      <x:c r="C1080" s="31" t="n">
        <x:v>350505</x:v>
      </x:c>
      <x:c r="D1080" s="22" t="str">
        <x:v>泉港区</x:v>
      </x:c>
      <x:c r="E1080" s="22" t="str">
        <x:v>农用地</x:v>
      </x:c>
      <x:c r="F1080" s="22" t="str">
        <x:v>水域及水利设施</x:v>
      </x:c>
      <x:c r="G1080" s="32" t="str">
        <x:v>1107</x:v>
      </x:c>
      <x:c r="H1080" s="32" t="str">
        <x:v>1107</x:v>
      </x:c>
      <x:c r="I1080" s="22" t="str">
        <x:v>沟渠</x:v>
      </x:c>
      <x:c r="J1080" s="22" t="str">
        <x:v>农业生态</x:v>
      </x:c>
      <x:c r="K1080" s="32" t="str">
        <x:v>201</x:v>
      </x:c>
      <x:c r="L1080" s="22" t="str">
        <x:v>城市范围</x:v>
      </x:c>
      <x:c r="M1080" s="33" t="n">
        <x:v>1295.76</x:v>
      </x:c>
      <x:c r="N1080" s="33" t="n">
        <x:v>0.129576</x:v>
      </x:c>
      <x:c r="O1080" s="22" t="str">
        <x:v>公顷</x:v>
      </x:c>
      <x:c r="P1080" s="22" t="str">
        <x:v>未提供（单期横截面）</x:v>
      </x:c>
      <x:c r="Q1080" s="23" t="n">
        <x:v>4059</x:v>
      </x:c>
    </x:row>
    <x:row r="1081">
      <x:c r="A1081" s="30" t="n">
        <x:v>350500</x:v>
      </x:c>
      <x:c r="B1081" s="22" t="str">
        <x:v>泉州市</x:v>
      </x:c>
      <x:c r="C1081" s="31" t="n">
        <x:v>350505</x:v>
      </x:c>
      <x:c r="D1081" s="22" t="str">
        <x:v>泉港区</x:v>
      </x:c>
      <x:c r="E1081" s="22" t="str">
        <x:v>农用地</x:v>
      </x:c>
      <x:c r="F1081" s="22" t="str">
        <x:v>其他农用地</x:v>
      </x:c>
      <x:c r="G1081" s="32" t="str">
        <x:v>1202</x:v>
      </x:c>
      <x:c r="H1081" s="32" t="str">
        <x:v>1202</x:v>
      </x:c>
      <x:c r="I1081" s="22" t="str">
        <x:v>设施农用地</x:v>
      </x:c>
      <x:c r="J1081" s="22" t="str">
        <x:v>农业生态</x:v>
      </x:c>
      <x:c r="K1081" s="32" t="str">
        <x:v>201</x:v>
      </x:c>
      <x:c r="L1081" s="22" t="str">
        <x:v>城市范围</x:v>
      </x:c>
      <x:c r="M1081" s="33" t="n">
        <x:v>2513.9</x:v>
      </x:c>
      <x:c r="N1081" s="33" t="n">
        <x:v>0.25139</x:v>
      </x:c>
      <x:c r="O1081" s="22" t="str">
        <x:v>公顷</x:v>
      </x:c>
      <x:c r="P1081" s="22" t="str">
        <x:v>未提供（单期横截面）</x:v>
      </x:c>
      <x:c r="Q1081" s="23" t="n">
        <x:v>4060</x:v>
      </x:c>
    </x:row>
    <x:row r="1082">
      <x:c r="A1082" s="30" t="n">
        <x:v>350500</x:v>
      </x:c>
      <x:c r="B1082" s="22" t="str">
        <x:v>泉州市</x:v>
      </x:c>
      <x:c r="C1082" s="31" t="n">
        <x:v>350505</x:v>
      </x:c>
      <x:c r="D1082" s="22" t="str">
        <x:v>泉港区</x:v>
      </x:c>
      <x:c r="E1082" s="22" t="str">
        <x:v>农用地</x:v>
      </x:c>
      <x:c r="F1082" s="22" t="str">
        <x:v>耕地</x:v>
      </x:c>
      <x:c r="G1082" s="32" t="str">
        <x:v>101</x:v>
      </x:c>
      <x:c r="H1082" s="32" t="str">
        <x:v>101</x:v>
      </x:c>
      <x:c r="I1082" s="22" t="str">
        <x:v>水田</x:v>
      </x:c>
      <x:c r="J1082" s="22" t="str">
        <x:v>农业生态</x:v>
      </x:c>
      <x:c r="K1082" s="32" t="str">
        <x:v>202</x:v>
      </x:c>
      <x:c r="L1082" s="22" t="str">
        <x:v>建制镇范围</x:v>
      </x:c>
      <x:c r="M1082" s="33" t="n">
        <x:v>80422.48</x:v>
      </x:c>
      <x:c r="N1082" s="33" t="n">
        <x:v>8.042247999999999</x:v>
      </x:c>
      <x:c r="O1082" s="22" t="str">
        <x:v>公顷</x:v>
      </x:c>
      <x:c r="P1082" s="22" t="str">
        <x:v>未提供（单期横截面）</x:v>
      </x:c>
      <x:c r="Q1082" s="23" t="n">
        <x:v>4061</x:v>
      </x:c>
    </x:row>
    <x:row r="1083">
      <x:c r="A1083" s="30" t="n">
        <x:v>350500</x:v>
      </x:c>
      <x:c r="B1083" s="22" t="str">
        <x:v>泉州市</x:v>
      </x:c>
      <x:c r="C1083" s="31" t="n">
        <x:v>350505</x:v>
      </x:c>
      <x:c r="D1083" s="22" t="str">
        <x:v>泉港区</x:v>
      </x:c>
      <x:c r="E1083" s="22" t="str">
        <x:v>农用地</x:v>
      </x:c>
      <x:c r="F1083" s="22" t="str">
        <x:v>耕地</x:v>
      </x:c>
      <x:c r="G1083" s="32" t="str">
        <x:v>103</x:v>
      </x:c>
      <x:c r="H1083" s="32" t="str">
        <x:v>103</x:v>
      </x:c>
      <x:c r="I1083" s="22" t="str">
        <x:v>旱地</x:v>
      </x:c>
      <x:c r="J1083" s="22" t="str">
        <x:v>农业生态</x:v>
      </x:c>
      <x:c r="K1083" s="32" t="str">
        <x:v>202</x:v>
      </x:c>
      <x:c r="L1083" s="22" t="str">
        <x:v>建制镇范围</x:v>
      </x:c>
      <x:c r="M1083" s="33" t="n">
        <x:v>396843.6599999999</x:v>
      </x:c>
      <x:c r="N1083" s="33" t="n">
        <x:v>39.68436599999999</x:v>
      </x:c>
      <x:c r="O1083" s="22" t="str">
        <x:v>公顷</x:v>
      </x:c>
      <x:c r="P1083" s="22" t="str">
        <x:v>未提供（单期横截面）</x:v>
      </x:c>
      <x:c r="Q1083" s="23" t="n">
        <x:v>4062</x:v>
      </x:c>
    </x:row>
    <x:row r="1084">
      <x:c r="A1084" s="30" t="n">
        <x:v>350500</x:v>
      </x:c>
      <x:c r="B1084" s="22" t="str">
        <x:v>泉州市</x:v>
      </x:c>
      <x:c r="C1084" s="31" t="n">
        <x:v>350505</x:v>
      </x:c>
      <x:c r="D1084" s="22" t="str">
        <x:v>泉港区</x:v>
      </x:c>
      <x:c r="E1084" s="22" t="str">
        <x:v>农用地</x:v>
      </x:c>
      <x:c r="F1084" s="22" t="str">
        <x:v>园地</x:v>
      </x:c>
      <x:c r="G1084" s="32" t="str">
        <x:v>201</x:v>
      </x:c>
      <x:c r="H1084" s="32" t="str">
        <x:v>201</x:v>
      </x:c>
      <x:c r="I1084" s="22" t="str">
        <x:v>果园</x:v>
      </x:c>
      <x:c r="J1084" s="22" t="str">
        <x:v>农业生态</x:v>
      </x:c>
      <x:c r="K1084" s="32" t="str">
        <x:v>202</x:v>
      </x:c>
      <x:c r="L1084" s="22" t="str">
        <x:v>建制镇范围</x:v>
      </x:c>
      <x:c r="M1084" s="33" t="n">
        <x:v>75355.03000000001</x:v>
      </x:c>
      <x:c r="N1084" s="33" t="n">
        <x:v>7.535503000000001</x:v>
      </x:c>
      <x:c r="O1084" s="22" t="str">
        <x:v>公顷</x:v>
      </x:c>
      <x:c r="P1084" s="22" t="str">
        <x:v>未提供（单期横截面）</x:v>
      </x:c>
      <x:c r="Q1084" s="23" t="n">
        <x:v>4063</x:v>
      </x:c>
    </x:row>
    <x:row r="1085">
      <x:c r="A1085" s="30" t="n">
        <x:v>350500</x:v>
      </x:c>
      <x:c r="B1085" s="22" t="str">
        <x:v>泉州市</x:v>
      </x:c>
      <x:c r="C1085" s="31" t="n">
        <x:v>350505</x:v>
      </x:c>
      <x:c r="D1085" s="22" t="str">
        <x:v>泉港区</x:v>
      </x:c>
      <x:c r="E1085" s="22" t="str">
        <x:v>农用地</x:v>
      </x:c>
      <x:c r="F1085" s="22" t="str">
        <x:v>园地</x:v>
      </x:c>
      <x:c r="G1085" s="32" t="str">
        <x:v>204</x:v>
      </x:c>
      <x:c r="H1085" s="32" t="str">
        <x:v>204</x:v>
      </x:c>
      <x:c r="I1085" s="22" t="str">
        <x:v>其他园地</x:v>
      </x:c>
      <x:c r="J1085" s="22" t="str">
        <x:v>农业生态</x:v>
      </x:c>
      <x:c r="K1085" s="32" t="str">
        <x:v>202</x:v>
      </x:c>
      <x:c r="L1085" s="22" t="str">
        <x:v>建制镇范围</x:v>
      </x:c>
      <x:c r="M1085" s="33" t="n">
        <x:v>12772.47</x:v>
      </x:c>
      <x:c r="N1085" s="33" t="n">
        <x:v>1.277247</x:v>
      </x:c>
      <x:c r="O1085" s="22" t="str">
        <x:v>公顷</x:v>
      </x:c>
      <x:c r="P1085" s="22" t="str">
        <x:v>未提供（单期横截面）</x:v>
      </x:c>
      <x:c r="Q1085" s="23" t="n">
        <x:v>4064</x:v>
      </x:c>
    </x:row>
    <x:row r="1086">
      <x:c r="A1086" s="30" t="n">
        <x:v>350500</x:v>
      </x:c>
      <x:c r="B1086" s="22" t="str">
        <x:v>泉州市</x:v>
      </x:c>
      <x:c r="C1086" s="31" t="n">
        <x:v>350505</x:v>
      </x:c>
      <x:c r="D1086" s="22" t="str">
        <x:v>泉港区</x:v>
      </x:c>
      <x:c r="E1086" s="22" t="str">
        <x:v>农用地</x:v>
      </x:c>
      <x:c r="F1086" s="22" t="str">
        <x:v>林地</x:v>
      </x:c>
      <x:c r="G1086" s="32" t="str">
        <x:v>301</x:v>
      </x:c>
      <x:c r="H1086" s="32" t="str">
        <x:v>301</x:v>
      </x:c>
      <x:c r="I1086" s="22" t="str">
        <x:v>乔木林地</x:v>
      </x:c>
      <x:c r="J1086" s="22" t="str">
        <x:v>农业生态</x:v>
      </x:c>
      <x:c r="K1086" s="32" t="str">
        <x:v>202</x:v>
      </x:c>
      <x:c r="L1086" s="22" t="str">
        <x:v>建制镇范围</x:v>
      </x:c>
      <x:c r="M1086" s="33" t="n">
        <x:v>24196.199999999997</x:v>
      </x:c>
      <x:c r="N1086" s="33" t="n">
        <x:v>2.4196199999999997</x:v>
      </x:c>
      <x:c r="O1086" s="22" t="str">
        <x:v>公顷</x:v>
      </x:c>
      <x:c r="P1086" s="22" t="str">
        <x:v>未提供（单期横截面）</x:v>
      </x:c>
      <x:c r="Q1086" s="23" t="n">
        <x:v>4065</x:v>
      </x:c>
    </x:row>
    <x:row r="1087">
      <x:c r="A1087" s="30" t="n">
        <x:v>350500</x:v>
      </x:c>
      <x:c r="B1087" s="22" t="str">
        <x:v>泉州市</x:v>
      </x:c>
      <x:c r="C1087" s="31" t="n">
        <x:v>350505</x:v>
      </x:c>
      <x:c r="D1087" s="22" t="str">
        <x:v>泉港区</x:v>
      </x:c>
      <x:c r="E1087" s="22" t="str">
        <x:v>农用地</x:v>
      </x:c>
      <x:c r="F1087" s="22" t="str">
        <x:v>林地</x:v>
      </x:c>
      <x:c r="G1087" s="32" t="str">
        <x:v>307</x:v>
      </x:c>
      <x:c r="H1087" s="32" t="str">
        <x:v>307</x:v>
      </x:c>
      <x:c r="I1087" s="22" t="str">
        <x:v>其他林地</x:v>
      </x:c>
      <x:c r="J1087" s="22" t="str">
        <x:v>农业生态</x:v>
      </x:c>
      <x:c r="K1087" s="32" t="str">
        <x:v>202</x:v>
      </x:c>
      <x:c r="L1087" s="22" t="str">
        <x:v>建制镇范围</x:v>
      </x:c>
      <x:c r="M1087" s="33" t="n">
        <x:v>15687.59</x:v>
      </x:c>
      <x:c r="N1087" s="33" t="n">
        <x:v>1.568759</x:v>
      </x:c>
      <x:c r="O1087" s="22" t="str">
        <x:v>公顷</x:v>
      </x:c>
      <x:c r="P1087" s="22" t="str">
        <x:v>未提供（单期横截面）</x:v>
      </x:c>
      <x:c r="Q1087" s="23" t="n">
        <x:v>4066</x:v>
      </x:c>
    </x:row>
    <x:row r="1088">
      <x:c r="A1088" s="30" t="n">
        <x:v>350500</x:v>
      </x:c>
      <x:c r="B1088" s="22" t="str">
        <x:v>泉州市</x:v>
      </x:c>
      <x:c r="C1088" s="31" t="n">
        <x:v>350505</x:v>
      </x:c>
      <x:c r="D1088" s="22" t="str">
        <x:v>泉港区</x:v>
      </x:c>
      <x:c r="E1088" s="22" t="str">
        <x:v>农用地</x:v>
      </x:c>
      <x:c r="F1088" s="22" t="str">
        <x:v>水域及水利设施</x:v>
      </x:c>
      <x:c r="G1088" s="32" t="str">
        <x:v>1104</x:v>
      </x:c>
      <x:c r="H1088" s="32" t="str">
        <x:v>1104</x:v>
      </x:c>
      <x:c r="I1088" s="22" t="str">
        <x:v>坑塘水面</x:v>
      </x:c>
      <x:c r="J1088" s="22" t="str">
        <x:v>农业生态</x:v>
      </x:c>
      <x:c r="K1088" s="32" t="str">
        <x:v>202</x:v>
      </x:c>
      <x:c r="L1088" s="22" t="str">
        <x:v>建制镇范围</x:v>
      </x:c>
      <x:c r="M1088" s="33" t="n">
        <x:v>26767.270000000004</x:v>
      </x:c>
      <x:c r="N1088" s="33" t="n">
        <x:v>2.6767270000000005</x:v>
      </x:c>
      <x:c r="O1088" s="22" t="str">
        <x:v>公顷</x:v>
      </x:c>
      <x:c r="P1088" s="22" t="str">
        <x:v>未提供（单期横截面）</x:v>
      </x:c>
      <x:c r="Q1088" s="23" t="n">
        <x:v>4067</x:v>
      </x:c>
    </x:row>
    <x:row r="1089">
      <x:c r="A1089" s="30" t="n">
        <x:v>350500</x:v>
      </x:c>
      <x:c r="B1089" s="22" t="str">
        <x:v>泉州市</x:v>
      </x:c>
      <x:c r="C1089" s="31" t="n">
        <x:v>350505</x:v>
      </x:c>
      <x:c r="D1089" s="22" t="str">
        <x:v>泉港区</x:v>
      </x:c>
      <x:c r="E1089" s="22" t="str">
        <x:v>农用地</x:v>
      </x:c>
      <x:c r="F1089" s="22" t="str">
        <x:v>水域及水利设施</x:v>
      </x:c>
      <x:c r="G1089" s="32" t="str">
        <x:v>1107</x:v>
      </x:c>
      <x:c r="H1089" s="32" t="str">
        <x:v>1107</x:v>
      </x:c>
      <x:c r="I1089" s="22" t="str">
        <x:v>沟渠</x:v>
      </x:c>
      <x:c r="J1089" s="22" t="str">
        <x:v>农业生态</x:v>
      </x:c>
      <x:c r="K1089" s="32" t="str">
        <x:v>202</x:v>
      </x:c>
      <x:c r="L1089" s="22" t="str">
        <x:v>建制镇范围</x:v>
      </x:c>
      <x:c r="M1089" s="33" t="n">
        <x:v>9965.7</x:v>
      </x:c>
      <x:c r="N1089" s="33" t="n">
        <x:v>0.9965700000000001</x:v>
      </x:c>
      <x:c r="O1089" s="22" t="str">
        <x:v>公顷</x:v>
      </x:c>
      <x:c r="P1089" s="22" t="str">
        <x:v>未提供（单期横截面）</x:v>
      </x:c>
      <x:c r="Q1089" s="23" t="n">
        <x:v>4068</x:v>
      </x:c>
    </x:row>
    <x:row r="1090">
      <x:c r="A1090" s="30" t="n">
        <x:v>350500</x:v>
      </x:c>
      <x:c r="B1090" s="22" t="str">
        <x:v>泉州市</x:v>
      </x:c>
      <x:c r="C1090" s="31" t="n">
        <x:v>350505</x:v>
      </x:c>
      <x:c r="D1090" s="22" t="str">
        <x:v>泉港区</x:v>
      </x:c>
      <x:c r="E1090" s="22" t="str">
        <x:v>农用地</x:v>
      </x:c>
      <x:c r="F1090" s="22" t="str">
        <x:v>其他农用地</x:v>
      </x:c>
      <x:c r="G1090" s="32" t="str">
        <x:v>1202</x:v>
      </x:c>
      <x:c r="H1090" s="32" t="str">
        <x:v>1202</x:v>
      </x:c>
      <x:c r="I1090" s="22" t="str">
        <x:v>设施农用地</x:v>
      </x:c>
      <x:c r="J1090" s="22" t="str">
        <x:v>农业生态</x:v>
      </x:c>
      <x:c r="K1090" s="32" t="str">
        <x:v>202</x:v>
      </x:c>
      <x:c r="L1090" s="22" t="str">
        <x:v>建制镇范围</x:v>
      </x:c>
      <x:c r="M1090" s="33" t="n">
        <x:v>3905.7899999999995</x:v>
      </x:c>
      <x:c r="N1090" s="33" t="n">
        <x:v>0.39057899999999995</x:v>
      </x:c>
      <x:c r="O1090" s="22" t="str">
        <x:v>公顷</x:v>
      </x:c>
      <x:c r="P1090" s="22" t="str">
        <x:v>未提供（单期横截面）</x:v>
      </x:c>
      <x:c r="Q1090" s="23" t="n">
        <x:v>4069</x:v>
      </x:c>
    </x:row>
    <x:row r="1091">
      <x:c r="A1091" s="30" t="n">
        <x:v>350500</x:v>
      </x:c>
      <x:c r="B1091" s="22" t="str">
        <x:v>泉州市</x:v>
      </x:c>
      <x:c r="C1091" s="31" t="n">
        <x:v>350505</x:v>
      </x:c>
      <x:c r="D1091" s="22" t="str">
        <x:v>泉港区</x:v>
      </x:c>
      <x:c r="E1091" s="22" t="str">
        <x:v>农用地</x:v>
      </x:c>
      <x:c r="F1091" s="22" t="str">
        <x:v>耕地</x:v>
      </x:c>
      <x:c r="G1091" s="32" t="str">
        <x:v>101</x:v>
      </x:c>
      <x:c r="H1091" s="32" t="str">
        <x:v>101</x:v>
      </x:c>
      <x:c r="I1091" s="22" t="str">
        <x:v>水田</x:v>
      </x:c>
      <x:c r="J1091" s="22" t="str">
        <x:v>农业生态</x:v>
      </x:c>
      <x:c r="K1091" s="32" t="str">
        <x:v>203</x:v>
      </x:c>
      <x:c r="L1091" s="22" t="str">
        <x:v>村庄范围</x:v>
      </x:c>
      <x:c r="M1091" s="33" t="n">
        <x:v>231875.37000000002</x:v>
      </x:c>
      <x:c r="N1091" s="33" t="n">
        <x:v>23.187537000000003</x:v>
      </x:c>
      <x:c r="O1091" s="22" t="str">
        <x:v>公顷</x:v>
      </x:c>
      <x:c r="P1091" s="22" t="str">
        <x:v>未提供（单期横截面）</x:v>
      </x:c>
      <x:c r="Q1091" s="23" t="n">
        <x:v>4070</x:v>
      </x:c>
    </x:row>
    <x:row r="1092">
      <x:c r="A1092" s="30" t="n">
        <x:v>350500</x:v>
      </x:c>
      <x:c r="B1092" s="22" t="str">
        <x:v>泉州市</x:v>
      </x:c>
      <x:c r="C1092" s="31" t="n">
        <x:v>350505</x:v>
      </x:c>
      <x:c r="D1092" s="22" t="str">
        <x:v>泉港区</x:v>
      </x:c>
      <x:c r="E1092" s="22" t="str">
        <x:v>农用地</x:v>
      </x:c>
      <x:c r="F1092" s="22" t="str">
        <x:v>耕地</x:v>
      </x:c>
      <x:c r="G1092" s="32" t="str">
        <x:v>102</x:v>
      </x:c>
      <x:c r="H1092" s="32" t="str">
        <x:v>102</x:v>
      </x:c>
      <x:c r="I1092" s="22" t="str">
        <x:v>水浇地</x:v>
      </x:c>
      <x:c r="J1092" s="22" t="str">
        <x:v>农业生态</x:v>
      </x:c>
      <x:c r="K1092" s="32" t="str">
        <x:v>203</x:v>
      </x:c>
      <x:c r="L1092" s="22" t="str">
        <x:v>村庄范围</x:v>
      </x:c>
      <x:c r="M1092" s="33" t="n">
        <x:v>27472.01</x:v>
      </x:c>
      <x:c r="N1092" s="33" t="n">
        <x:v>2.747201</x:v>
      </x:c>
      <x:c r="O1092" s="22" t="str">
        <x:v>公顷</x:v>
      </x:c>
      <x:c r="P1092" s="22" t="str">
        <x:v>未提供（单期横截面）</x:v>
      </x:c>
      <x:c r="Q1092" s="23" t="n">
        <x:v>4071</x:v>
      </x:c>
    </x:row>
    <x:row r="1093">
      <x:c r="A1093" s="30" t="n">
        <x:v>350500</x:v>
      </x:c>
      <x:c r="B1093" s="22" t="str">
        <x:v>泉州市</x:v>
      </x:c>
      <x:c r="C1093" s="31" t="n">
        <x:v>350505</x:v>
      </x:c>
      <x:c r="D1093" s="22" t="str">
        <x:v>泉港区</x:v>
      </x:c>
      <x:c r="E1093" s="22" t="str">
        <x:v>农用地</x:v>
      </x:c>
      <x:c r="F1093" s="22" t="str">
        <x:v>耕地</x:v>
      </x:c>
      <x:c r="G1093" s="32" t="str">
        <x:v>103</x:v>
      </x:c>
      <x:c r="H1093" s="32" t="str">
        <x:v>103</x:v>
      </x:c>
      <x:c r="I1093" s="22" t="str">
        <x:v>旱地</x:v>
      </x:c>
      <x:c r="J1093" s="22" t="str">
        <x:v>农业生态</x:v>
      </x:c>
      <x:c r="K1093" s="32" t="str">
        <x:v>203</x:v>
      </x:c>
      <x:c r="L1093" s="22" t="str">
        <x:v>村庄范围</x:v>
      </x:c>
      <x:c r="M1093" s="33" t="n">
        <x:v>855964.4699999992</x:v>
      </x:c>
      <x:c r="N1093" s="33" t="n">
        <x:v>85.59644699999991</x:v>
      </x:c>
      <x:c r="O1093" s="22" t="str">
        <x:v>公顷</x:v>
      </x:c>
      <x:c r="P1093" s="22" t="str">
        <x:v>未提供（单期横截面）</x:v>
      </x:c>
      <x:c r="Q1093" s="23" t="n">
        <x:v>4072</x:v>
      </x:c>
    </x:row>
    <x:row r="1094">
      <x:c r="A1094" s="30" t="n">
        <x:v>350500</x:v>
      </x:c>
      <x:c r="B1094" s="22" t="str">
        <x:v>泉州市</x:v>
      </x:c>
      <x:c r="C1094" s="31" t="n">
        <x:v>350505</x:v>
      </x:c>
      <x:c r="D1094" s="22" t="str">
        <x:v>泉港区</x:v>
      </x:c>
      <x:c r="E1094" s="22" t="str">
        <x:v>农用地</x:v>
      </x:c>
      <x:c r="F1094" s="22" t="str">
        <x:v>园地</x:v>
      </x:c>
      <x:c r="G1094" s="32" t="str">
        <x:v>201</x:v>
      </x:c>
      <x:c r="H1094" s="32" t="str">
        <x:v>201</x:v>
      </x:c>
      <x:c r="I1094" s="22" t="str">
        <x:v>果园</x:v>
      </x:c>
      <x:c r="J1094" s="22" t="str">
        <x:v>农业生态</x:v>
      </x:c>
      <x:c r="K1094" s="32" t="str">
        <x:v>203</x:v>
      </x:c>
      <x:c r="L1094" s="22" t="str">
        <x:v>村庄范围</x:v>
      </x:c>
      <x:c r="M1094" s="33" t="n">
        <x:v>266848.83999999973</x:v>
      </x:c>
      <x:c r="N1094" s="33" t="n">
        <x:v>26.684883999999972</x:v>
      </x:c>
      <x:c r="O1094" s="22" t="str">
        <x:v>公顷</x:v>
      </x:c>
      <x:c r="P1094" s="22" t="str">
        <x:v>未提供（单期横截面）</x:v>
      </x:c>
      <x:c r="Q1094" s="23" t="n">
        <x:v>4073</x:v>
      </x:c>
    </x:row>
    <x:row r="1095">
      <x:c r="A1095" s="30" t="n">
        <x:v>350500</x:v>
      </x:c>
      <x:c r="B1095" s="22" t="str">
        <x:v>泉州市</x:v>
      </x:c>
      <x:c r="C1095" s="31" t="n">
        <x:v>350505</x:v>
      </x:c>
      <x:c r="D1095" s="22" t="str">
        <x:v>泉港区</x:v>
      </x:c>
      <x:c r="E1095" s="22" t="str">
        <x:v>农用地</x:v>
      </x:c>
      <x:c r="F1095" s="22" t="str">
        <x:v>园地</x:v>
      </x:c>
      <x:c r="G1095" s="32" t="str">
        <x:v>0201K</x:v>
      </x:c>
      <x:c r="H1095" s="32" t="str">
        <x:v>201</x:v>
      </x:c>
      <x:c r="I1095" s="22" t="str">
        <x:v>可调整果园</x:v>
      </x:c>
      <x:c r="J1095" s="22" t="str">
        <x:v>农业生态</x:v>
      </x:c>
      <x:c r="K1095" s="32" t="str">
        <x:v>203</x:v>
      </x:c>
      <x:c r="L1095" s="22" t="str">
        <x:v>村庄范围</x:v>
      </x:c>
      <x:c r="M1095" s="33" t="n">
        <x:v>1076.25</x:v>
      </x:c>
      <x:c r="N1095" s="33" t="n">
        <x:v>0.107625</x:v>
      </x:c>
      <x:c r="O1095" s="22" t="str">
        <x:v>公顷</x:v>
      </x:c>
      <x:c r="P1095" s="22" t="str">
        <x:v>未提供（单期横截面）</x:v>
      </x:c>
      <x:c r="Q1095" s="23" t="n">
        <x:v>4074</x:v>
      </x:c>
    </x:row>
    <x:row r="1096">
      <x:c r="A1096" s="30" t="n">
        <x:v>350500</x:v>
      </x:c>
      <x:c r="B1096" s="22" t="str">
        <x:v>泉州市</x:v>
      </x:c>
      <x:c r="C1096" s="31" t="n">
        <x:v>350505</x:v>
      </x:c>
      <x:c r="D1096" s="22" t="str">
        <x:v>泉港区</x:v>
      </x:c>
      <x:c r="E1096" s="22" t="str">
        <x:v>农用地</x:v>
      </x:c>
      <x:c r="F1096" s="22" t="str">
        <x:v>园地</x:v>
      </x:c>
      <x:c r="G1096" s="32" t="str">
        <x:v>204</x:v>
      </x:c>
      <x:c r="H1096" s="32" t="str">
        <x:v>204</x:v>
      </x:c>
      <x:c r="I1096" s="22" t="str">
        <x:v>其他园地</x:v>
      </x:c>
      <x:c r="J1096" s="22" t="str">
        <x:v>农业生态</x:v>
      </x:c>
      <x:c r="K1096" s="32" t="str">
        <x:v>203</x:v>
      </x:c>
      <x:c r="L1096" s="22" t="str">
        <x:v>村庄范围</x:v>
      </x:c>
      <x:c r="M1096" s="33" t="n">
        <x:v>4549.18</x:v>
      </x:c>
      <x:c r="N1096" s="33" t="n">
        <x:v>0.45491800000000004</x:v>
      </x:c>
      <x:c r="O1096" s="22" t="str">
        <x:v>公顷</x:v>
      </x:c>
      <x:c r="P1096" s="22" t="str">
        <x:v>未提供（单期横截面）</x:v>
      </x:c>
      <x:c r="Q1096" s="23" t="n">
        <x:v>4075</x:v>
      </x:c>
    </x:row>
    <x:row r="1097">
      <x:c r="A1097" s="30" t="n">
        <x:v>350500</x:v>
      </x:c>
      <x:c r="B1097" s="22" t="str">
        <x:v>泉州市</x:v>
      </x:c>
      <x:c r="C1097" s="31" t="n">
        <x:v>350505</x:v>
      </x:c>
      <x:c r="D1097" s="22" t="str">
        <x:v>泉港区</x:v>
      </x:c>
      <x:c r="E1097" s="22" t="str">
        <x:v>农用地</x:v>
      </x:c>
      <x:c r="F1097" s="22" t="str">
        <x:v>林地</x:v>
      </x:c>
      <x:c r="G1097" s="32" t="str">
        <x:v>301</x:v>
      </x:c>
      <x:c r="H1097" s="32" t="str">
        <x:v>301</x:v>
      </x:c>
      <x:c r="I1097" s="22" t="str">
        <x:v>乔木林地</x:v>
      </x:c>
      <x:c r="J1097" s="22" t="str">
        <x:v>农业生态</x:v>
      </x:c>
      <x:c r="K1097" s="32" t="str">
        <x:v>203</x:v>
      </x:c>
      <x:c r="L1097" s="22" t="str">
        <x:v>村庄范围</x:v>
      </x:c>
      <x:c r="M1097" s="33" t="n">
        <x:v>18800.02</x:v>
      </x:c>
      <x:c r="N1097" s="33" t="n">
        <x:v>1.880002</x:v>
      </x:c>
      <x:c r="O1097" s="22" t="str">
        <x:v>公顷</x:v>
      </x:c>
      <x:c r="P1097" s="22" t="str">
        <x:v>未提供（单期横截面）</x:v>
      </x:c>
      <x:c r="Q1097" s="23" t="n">
        <x:v>4076</x:v>
      </x:c>
    </x:row>
    <x:row r="1098">
      <x:c r="A1098" s="30" t="n">
        <x:v>350500</x:v>
      </x:c>
      <x:c r="B1098" s="22" t="str">
        <x:v>泉州市</x:v>
      </x:c>
      <x:c r="C1098" s="31" t="n">
        <x:v>350505</x:v>
      </x:c>
      <x:c r="D1098" s="22" t="str">
        <x:v>泉港区</x:v>
      </x:c>
      <x:c r="E1098" s="22" t="str">
        <x:v>农用地</x:v>
      </x:c>
      <x:c r="F1098" s="22" t="str">
        <x:v>林地</x:v>
      </x:c>
      <x:c r="G1098" s="32" t="str">
        <x:v>302</x:v>
      </x:c>
      <x:c r="H1098" s="32" t="str">
        <x:v>302</x:v>
      </x:c>
      <x:c r="I1098" s="22" t="str">
        <x:v>竹林地</x:v>
      </x:c>
      <x:c r="J1098" s="22" t="str">
        <x:v>农业生态</x:v>
      </x:c>
      <x:c r="K1098" s="32" t="str">
        <x:v>203</x:v>
      </x:c>
      <x:c r="L1098" s="22" t="str">
        <x:v>村庄范围</x:v>
      </x:c>
      <x:c r="M1098" s="33" t="n">
        <x:v>2438.85</x:v>
      </x:c>
      <x:c r="N1098" s="33" t="n">
        <x:v>0.243885</x:v>
      </x:c>
      <x:c r="O1098" s="22" t="str">
        <x:v>公顷</x:v>
      </x:c>
      <x:c r="P1098" s="22" t="str">
        <x:v>未提供（单期横截面）</x:v>
      </x:c>
      <x:c r="Q1098" s="23" t="n">
        <x:v>4077</x:v>
      </x:c>
    </x:row>
    <x:row r="1099">
      <x:c r="A1099" s="30" t="n">
        <x:v>350500</x:v>
      </x:c>
      <x:c r="B1099" s="22" t="str">
        <x:v>泉州市</x:v>
      </x:c>
      <x:c r="C1099" s="31" t="n">
        <x:v>350505</x:v>
      </x:c>
      <x:c r="D1099" s="22" t="str">
        <x:v>泉港区</x:v>
      </x:c>
      <x:c r="E1099" s="22" t="str">
        <x:v>农用地</x:v>
      </x:c>
      <x:c r="F1099" s="22" t="str">
        <x:v>林地</x:v>
      </x:c>
      <x:c r="G1099" s="32" t="str">
        <x:v>305</x:v>
      </x:c>
      <x:c r="H1099" s="32" t="str">
        <x:v>305</x:v>
      </x:c>
      <x:c r="I1099" s="22" t="str">
        <x:v>灌木林地</x:v>
      </x:c>
      <x:c r="J1099" s="22" t="str">
        <x:v>农业生态</x:v>
      </x:c>
      <x:c r="K1099" s="32" t="str">
        <x:v>203</x:v>
      </x:c>
      <x:c r="L1099" s="22" t="str">
        <x:v>村庄范围</x:v>
      </x:c>
      <x:c r="M1099" s="33" t="n">
        <x:v>4570.6</x:v>
      </x:c>
      <x:c r="N1099" s="33" t="n">
        <x:v>0.45706</x:v>
      </x:c>
      <x:c r="O1099" s="22" t="str">
        <x:v>公顷</x:v>
      </x:c>
      <x:c r="P1099" s="22" t="str">
        <x:v>未提供（单期横截面）</x:v>
      </x:c>
      <x:c r="Q1099" s="23" t="n">
        <x:v>4078</x:v>
      </x:c>
    </x:row>
    <x:row r="1100">
      <x:c r="A1100" s="30" t="n">
        <x:v>350500</x:v>
      </x:c>
      <x:c r="B1100" s="22" t="str">
        <x:v>泉州市</x:v>
      </x:c>
      <x:c r="C1100" s="31" t="n">
        <x:v>350505</x:v>
      </x:c>
      <x:c r="D1100" s="22" t="str">
        <x:v>泉港区</x:v>
      </x:c>
      <x:c r="E1100" s="22" t="str">
        <x:v>农用地</x:v>
      </x:c>
      <x:c r="F1100" s="22" t="str">
        <x:v>林地</x:v>
      </x:c>
      <x:c r="G1100" s="32" t="str">
        <x:v>307</x:v>
      </x:c>
      <x:c r="H1100" s="32" t="str">
        <x:v>307</x:v>
      </x:c>
      <x:c r="I1100" s="22" t="str">
        <x:v>其他林地</x:v>
      </x:c>
      <x:c r="J1100" s="22" t="str">
        <x:v>农业生态</x:v>
      </x:c>
      <x:c r="K1100" s="32" t="str">
        <x:v>203</x:v>
      </x:c>
      <x:c r="L1100" s="22" t="str">
        <x:v>村庄范围</x:v>
      </x:c>
      <x:c r="M1100" s="33" t="n">
        <x:v>29950.160000000003</x:v>
      </x:c>
      <x:c r="N1100" s="33" t="n">
        <x:v>2.9950160000000006</x:v>
      </x:c>
      <x:c r="O1100" s="22" t="str">
        <x:v>公顷</x:v>
      </x:c>
      <x:c r="P1100" s="22" t="str">
        <x:v>未提供（单期横截面）</x:v>
      </x:c>
      <x:c r="Q1100" s="23" t="n">
        <x:v>4079</x:v>
      </x:c>
    </x:row>
    <x:row r="1101">
      <x:c r="A1101" s="30" t="n">
        <x:v>350500</x:v>
      </x:c>
      <x:c r="B1101" s="22" t="str">
        <x:v>泉州市</x:v>
      </x:c>
      <x:c r="C1101" s="31" t="n">
        <x:v>350505</x:v>
      </x:c>
      <x:c r="D1101" s="22" t="str">
        <x:v>泉港区</x:v>
      </x:c>
      <x:c r="E1101" s="22" t="str">
        <x:v>农用地</x:v>
      </x:c>
      <x:c r="F1101" s="22" t="str">
        <x:v>水域及水利设施</x:v>
      </x:c>
      <x:c r="G1101" s="32" t="str">
        <x:v>1104</x:v>
      </x:c>
      <x:c r="H1101" s="32" t="str">
        <x:v>1104</x:v>
      </x:c>
      <x:c r="I1101" s="22" t="str">
        <x:v>坑塘水面</x:v>
      </x:c>
      <x:c r="J1101" s="22" t="str">
        <x:v>农业生态</x:v>
      </x:c>
      <x:c r="K1101" s="32" t="str">
        <x:v>203</x:v>
      </x:c>
      <x:c r="L1101" s="22" t="str">
        <x:v>村庄范围</x:v>
      </x:c>
      <x:c r="M1101" s="33" t="n">
        <x:v>38537.39</x:v>
      </x:c>
      <x:c r="N1101" s="33" t="n">
        <x:v>3.853739</x:v>
      </x:c>
      <x:c r="O1101" s="22" t="str">
        <x:v>公顷</x:v>
      </x:c>
      <x:c r="P1101" s="22" t="str">
        <x:v>未提供（单期横截面）</x:v>
      </x:c>
      <x:c r="Q1101" s="23" t="n">
        <x:v>4080</x:v>
      </x:c>
    </x:row>
    <x:row r="1102">
      <x:c r="A1102" s="30" t="n">
        <x:v>350500</x:v>
      </x:c>
      <x:c r="B1102" s="22" t="str">
        <x:v>泉州市</x:v>
      </x:c>
      <x:c r="C1102" s="31" t="n">
        <x:v>350505</x:v>
      </x:c>
      <x:c r="D1102" s="22" t="str">
        <x:v>泉港区</x:v>
      </x:c>
      <x:c r="E1102" s="22" t="str">
        <x:v>农用地</x:v>
      </x:c>
      <x:c r="F1102" s="22" t="str">
        <x:v>水域及水利设施</x:v>
      </x:c>
      <x:c r="G1102" s="32" t="str">
        <x:v>1107</x:v>
      </x:c>
      <x:c r="H1102" s="32" t="str">
        <x:v>1107</x:v>
      </x:c>
      <x:c r="I1102" s="22" t="str">
        <x:v>沟渠</x:v>
      </x:c>
      <x:c r="J1102" s="22" t="str">
        <x:v>农业生态</x:v>
      </x:c>
      <x:c r="K1102" s="32" t="str">
        <x:v>203</x:v>
      </x:c>
      <x:c r="L1102" s="22" t="str">
        <x:v>村庄范围</x:v>
      </x:c>
      <x:c r="M1102" s="33" t="n">
        <x:v>14670.490000000002</x:v>
      </x:c>
      <x:c r="N1102" s="33" t="n">
        <x:v>1.4670490000000003</x:v>
      </x:c>
      <x:c r="O1102" s="22" t="str">
        <x:v>公顷</x:v>
      </x:c>
      <x:c r="P1102" s="22" t="str">
        <x:v>未提供（单期横截面）</x:v>
      </x:c>
      <x:c r="Q1102" s="23" t="n">
        <x:v>4081</x:v>
      </x:c>
    </x:row>
    <x:row r="1103">
      <x:c r="A1103" s="30" t="n">
        <x:v>350500</x:v>
      </x:c>
      <x:c r="B1103" s="22" t="str">
        <x:v>泉州市</x:v>
      </x:c>
      <x:c r="C1103" s="31" t="n">
        <x:v>350505</x:v>
      </x:c>
      <x:c r="D1103" s="22" t="str">
        <x:v>泉港区</x:v>
      </x:c>
      <x:c r="E1103" s="22" t="str">
        <x:v>农用地</x:v>
      </x:c>
      <x:c r="F1103" s="22" t="str">
        <x:v>其他农用地</x:v>
      </x:c>
      <x:c r="G1103" s="32" t="str">
        <x:v>1202</x:v>
      </x:c>
      <x:c r="H1103" s="32" t="str">
        <x:v>1202</x:v>
      </x:c>
      <x:c r="I1103" s="22" t="str">
        <x:v>设施农用地</x:v>
      </x:c>
      <x:c r="J1103" s="22" t="str">
        <x:v>农业生态</x:v>
      </x:c>
      <x:c r="K1103" s="32" t="str">
        <x:v>203</x:v>
      </x:c>
      <x:c r="L1103" s="22" t="str">
        <x:v>村庄范围</x:v>
      </x:c>
      <x:c r="M1103" s="33" t="n">
        <x:v>12942.17</x:v>
      </x:c>
      <x:c r="N1103" s="33" t="n">
        <x:v>1.294217</x:v>
      </x:c>
      <x:c r="O1103" s="22" t="str">
        <x:v>公顷</x:v>
      </x:c>
      <x:c r="P1103" s="22" t="str">
        <x:v>未提供（单期横截面）</x:v>
      </x:c>
      <x:c r="Q1103" s="23" t="n">
        <x:v>4082</x:v>
      </x:c>
    </x:row>
    <x:row r="1104">
      <x:c r="A1104" s="30" t="n">
        <x:v>350500</x:v>
      </x:c>
      <x:c r="B1104" s="22" t="str">
        <x:v>泉州市</x:v>
      </x:c>
      <x:c r="C1104" s="31" t="n">
        <x:v>350505</x:v>
      </x:c>
      <x:c r="D1104" s="22" t="str">
        <x:v>泉港区</x:v>
      </x:c>
      <x:c r="E1104" s="22" t="str">
        <x:v>农用地</x:v>
      </x:c>
      <x:c r="F1104" s="22" t="str">
        <x:v>耕地</x:v>
      </x:c>
      <x:c r="G1104" s="32" t="str">
        <x:v>103</x:v>
      </x:c>
      <x:c r="H1104" s="32" t="str">
        <x:v>103</x:v>
      </x:c>
      <x:c r="I1104" s="22" t="str">
        <x:v>旱地</x:v>
      </x:c>
      <x:c r="J1104" s="22" t="str">
        <x:v>农业生态</x:v>
      </x:c>
      <x:c r="K1104" s="32" t="str">
        <x:v>204</x:v>
      </x:c>
      <x:c r="L1104" s="22" t="str">
        <x:v>盐田及采矿用地</x:v>
      </x:c>
      <x:c r="M1104" s="33" t="n">
        <x:v>429.85</x:v>
      </x:c>
      <x:c r="N1104" s="33" t="n">
        <x:v>0.042985</x:v>
      </x:c>
      <x:c r="O1104" s="22" t="str">
        <x:v>公顷</x:v>
      </x:c>
      <x:c r="P1104" s="22" t="str">
        <x:v>未提供（单期横截面）</x:v>
      </x:c>
      <x:c r="Q1104" s="23" t="n">
        <x:v>4083</x:v>
      </x:c>
    </x:row>
    <x:row r="1105">
      <x:c r="A1105" s="30" t="n">
        <x:v>350500</x:v>
      </x:c>
      <x:c r="B1105" s="22" t="str">
        <x:v>泉州市</x:v>
      </x:c>
      <x:c r="C1105" s="31" t="n">
        <x:v>350505</x:v>
      </x:c>
      <x:c r="D1105" s="22" t="str">
        <x:v>泉港区</x:v>
      </x:c>
      <x:c r="E1105" s="22" t="str">
        <x:v>农用地</x:v>
      </x:c>
      <x:c r="F1105" s="22" t="str">
        <x:v>水域及水利设施</x:v>
      </x:c>
      <x:c r="G1105" s="32" t="str">
        <x:v>1104</x:v>
      </x:c>
      <x:c r="H1105" s="32" t="str">
        <x:v>1104</x:v>
      </x:c>
      <x:c r="I1105" s="22" t="str">
        <x:v>坑塘水面</x:v>
      </x:c>
      <x:c r="J1105" s="22" t="str">
        <x:v>农业生态</x:v>
      </x:c>
      <x:c r="K1105" s="32" t="str">
        <x:v>204</x:v>
      </x:c>
      <x:c r="L1105" s="22" t="str">
        <x:v>盐田及采矿用地</x:v>
      </x:c>
      <x:c r="M1105" s="33" t="n">
        <x:v>10423.37</x:v>
      </x:c>
      <x:c r="N1105" s="33" t="n">
        <x:v>1.042337</x:v>
      </x:c>
      <x:c r="O1105" s="22" t="str">
        <x:v>公顷</x:v>
      </x:c>
      <x:c r="P1105" s="22" t="str">
        <x:v>未提供（单期横截面）</x:v>
      </x:c>
      <x:c r="Q1105" s="23" t="n">
        <x:v>4084</x:v>
      </x:c>
    </x:row>
    <x:row r="1106">
      <x:c r="A1106" s="30" t="n">
        <x:v>350500</x:v>
      </x:c>
      <x:c r="B1106" s="22" t="str">
        <x:v>泉州市</x:v>
      </x:c>
      <x:c r="C1106" s="31" t="n">
        <x:v>350505</x:v>
      </x:c>
      <x:c r="D1106" s="22" t="str">
        <x:v>泉港区</x:v>
      </x:c>
      <x:c r="E1106" s="22" t="str">
        <x:v>农用地</x:v>
      </x:c>
      <x:c r="F1106" s="22" t="str">
        <x:v>耕地</x:v>
      </x:c>
      <x:c r="G1106" s="32" t="str">
        <x:v>103</x:v>
      </x:c>
      <x:c r="H1106" s="32" t="str">
        <x:v>103</x:v>
      </x:c>
      <x:c r="I1106" s="22" t="str">
        <x:v>旱地</x:v>
      </x:c>
      <x:c r="J1106" s="22" t="str">
        <x:v>农业生态</x:v>
      </x:c>
      <x:c r="K1106" s="32" t="str">
        <x:v>205</x:v>
      </x:c>
      <x:c r="L1106" s="22" t="str">
        <x:v>特殊用地</x:v>
      </x:c>
      <x:c r="M1106" s="33" t="n">
        <x:v>515.61</x:v>
      </x:c>
      <x:c r="N1106" s="33" t="n">
        <x:v>0.051561</x:v>
      </x:c>
      <x:c r="O1106" s="22" t="str">
        <x:v>公顷</x:v>
      </x:c>
      <x:c r="P1106" s="22" t="str">
        <x:v>未提供（单期横截面）</x:v>
      </x:c>
      <x:c r="Q1106" s="23" t="n">
        <x:v>4085</x:v>
      </x:c>
    </x:row>
    <x:row r="1107">
      <x:c r="A1107" s="30" t="n">
        <x:v>350500</x:v>
      </x:c>
      <x:c r="B1107" s="22" t="str">
        <x:v>泉州市</x:v>
      </x:c>
      <x:c r="C1107" s="31" t="n">
        <x:v>350505</x:v>
      </x:c>
      <x:c r="D1107" s="22" t="str">
        <x:v>泉港区</x:v>
      </x:c>
      <x:c r="E1107" s="22" t="str">
        <x:v>农用地</x:v>
      </x:c>
      <x:c r="F1107" s="22" t="str">
        <x:v>林地</x:v>
      </x:c>
      <x:c r="G1107" s="32" t="str">
        <x:v>301</x:v>
      </x:c>
      <x:c r="H1107" s="32" t="str">
        <x:v>301</x:v>
      </x:c>
      <x:c r="I1107" s="22" t="str">
        <x:v>乔木林地</x:v>
      </x:c>
      <x:c r="J1107" s="22" t="str">
        <x:v>农业生态</x:v>
      </x:c>
      <x:c r="K1107" s="32" t="str">
        <x:v>205</x:v>
      </x:c>
      <x:c r="L1107" s="22" t="str">
        <x:v>特殊用地</x:v>
      </x:c>
      <x:c r="M1107" s="33" t="n">
        <x:v>2412.7799999999997</x:v>
      </x:c>
      <x:c r="N1107" s="33" t="n">
        <x:v>0.24127799999999996</x:v>
      </x:c>
      <x:c r="O1107" s="22" t="str">
        <x:v>公顷</x:v>
      </x:c>
      <x:c r="P1107" s="22" t="str">
        <x:v>未提供（单期横截面）</x:v>
      </x:c>
      <x:c r="Q1107" s="23" t="n">
        <x:v>4086</x:v>
      </x:c>
    </x:row>
    <x:row r="1108">
      <x:c r="A1108" s="30" t="n">
        <x:v>350500</x:v>
      </x:c>
      <x:c r="B1108" s="22" t="str">
        <x:v>泉州市</x:v>
      </x:c>
      <x:c r="C1108" s="31" t="n">
        <x:v>350505</x:v>
      </x:c>
      <x:c r="D1108" s="22" t="str">
        <x:v>泉港区</x:v>
      </x:c>
      <x:c r="E1108" s="22" t="str">
        <x:v>未利用地</x:v>
      </x:c>
      <x:c r="F1108" s="22" t="str">
        <x:v>草地</x:v>
      </x:c>
      <x:c r="G1108" s="32" t="str">
        <x:v>404</x:v>
      </x:c>
      <x:c r="H1108" s="32" t="str">
        <x:v>404</x:v>
      </x:c>
      <x:c r="I1108" s="22" t="str">
        <x:v>其他草地</x:v>
      </x:c>
      <x:c r="J1108" s="22" t="str">
        <x:v>农业生态</x:v>
      </x:c>
      <x:c r="K1108" s="32" t="str"/>
      <x:c r="L1108" s="22" t="str">
        <x:v>不适用/未标注</x:v>
      </x:c>
      <x:c r="M1108" s="33" t="n">
        <x:v>3246410.1200000006</x:v>
      </x:c>
      <x:c r="N1108" s="33" t="n">
        <x:v>324.64101200000005</x:v>
      </x:c>
      <x:c r="O1108" s="22" t="str">
        <x:v>公顷</x:v>
      </x:c>
      <x:c r="P1108" s="22" t="str">
        <x:v>未提供（单期横截面）</x:v>
      </x:c>
      <x:c r="Q1108" s="23" t="n">
        <x:v>4087</x:v>
      </x:c>
    </x:row>
    <x:row r="1109">
      <x:c r="A1109" s="30" t="n">
        <x:v>350500</x:v>
      </x:c>
      <x:c r="B1109" s="22" t="str">
        <x:v>泉州市</x:v>
      </x:c>
      <x:c r="C1109" s="31" t="n">
        <x:v>350505</x:v>
      </x:c>
      <x:c r="D1109" s="22" t="str">
        <x:v>泉港区</x:v>
      </x:c>
      <x:c r="E1109" s="22" t="str">
        <x:v>未利用地</x:v>
      </x:c>
      <x:c r="F1109" s="22" t="str">
        <x:v>水域及水利设施</x:v>
      </x:c>
      <x:c r="G1109" s="32" t="str">
        <x:v>1101</x:v>
      </x:c>
      <x:c r="H1109" s="32" t="str">
        <x:v>1101</x:v>
      </x:c>
      <x:c r="I1109" s="22" t="str">
        <x:v>河流水面</x:v>
      </x:c>
      <x:c r="J1109" s="22" t="str">
        <x:v>农业生态</x:v>
      </x:c>
      <x:c r="K1109" s="32" t="str"/>
      <x:c r="L1109" s="22" t="str">
        <x:v>不适用/未标注</x:v>
      </x:c>
      <x:c r="M1109" s="33" t="n">
        <x:v>3522614.859999998</x:v>
      </x:c>
      <x:c r="N1109" s="33" t="n">
        <x:v>352.2614859999998</x:v>
      </x:c>
      <x:c r="O1109" s="22" t="str">
        <x:v>公顷</x:v>
      </x:c>
      <x:c r="P1109" s="22" t="str">
        <x:v>未提供（单期横截面）</x:v>
      </x:c>
      <x:c r="Q1109" s="23" t="n">
        <x:v>4088</x:v>
      </x:c>
    </x:row>
    <x:row r="1110">
      <x:c r="A1110" s="30" t="n">
        <x:v>350500</x:v>
      </x:c>
      <x:c r="B1110" s="22" t="str">
        <x:v>泉州市</x:v>
      </x:c>
      <x:c r="C1110" s="31" t="n">
        <x:v>350505</x:v>
      </x:c>
      <x:c r="D1110" s="22" t="str">
        <x:v>泉港区</x:v>
      </x:c>
      <x:c r="E1110" s="22" t="str">
        <x:v>未利用地</x:v>
      </x:c>
      <x:c r="F1110" s="22" t="str">
        <x:v>水域及水利设施</x:v>
      </x:c>
      <x:c r="G1110" s="32" t="str">
        <x:v>1105</x:v>
      </x:c>
      <x:c r="H1110" s="32" t="str">
        <x:v>1105</x:v>
      </x:c>
      <x:c r="I1110" s="22" t="str">
        <x:v>沿海滩涂</x:v>
      </x:c>
      <x:c r="J1110" s="22" t="str">
        <x:v>农业生态</x:v>
      </x:c>
      <x:c r="K1110" s="32" t="str"/>
      <x:c r="L1110" s="22" t="str">
        <x:v>不适用/未标注</x:v>
      </x:c>
      <x:c r="M1110" s="33" t="n">
        <x:v>42313591.47</x:v>
      </x:c>
      <x:c r="N1110" s="33" t="n">
        <x:v>4231.359147</x:v>
      </x:c>
      <x:c r="O1110" s="22" t="str">
        <x:v>公顷</x:v>
      </x:c>
      <x:c r="P1110" s="22" t="str">
        <x:v>未提供（单期横截面）</x:v>
      </x:c>
      <x:c r="Q1110" s="23" t="n">
        <x:v>4089</x:v>
      </x:c>
    </x:row>
    <x:row r="1111">
      <x:c r="A1111" s="30" t="n">
        <x:v>350500</x:v>
      </x:c>
      <x:c r="B1111" s="22" t="str">
        <x:v>泉州市</x:v>
      </x:c>
      <x:c r="C1111" s="31" t="n">
        <x:v>350505</x:v>
      </x:c>
      <x:c r="D1111" s="22" t="str">
        <x:v>泉港区</x:v>
      </x:c>
      <x:c r="E1111" s="22" t="str">
        <x:v>未利用地</x:v>
      </x:c>
      <x:c r="F1111" s="22" t="str">
        <x:v>水域及水利设施</x:v>
      </x:c>
      <x:c r="G1111" s="32" t="str">
        <x:v>1106</x:v>
      </x:c>
      <x:c r="H1111" s="32" t="str">
        <x:v>1106</x:v>
      </x:c>
      <x:c r="I1111" s="22" t="str">
        <x:v>内陆滩涂</x:v>
      </x:c>
      <x:c r="J1111" s="22" t="str">
        <x:v>农业生态</x:v>
      </x:c>
      <x:c r="K1111" s="32" t="str"/>
      <x:c r="L1111" s="22" t="str">
        <x:v>不适用/未标注</x:v>
      </x:c>
      <x:c r="M1111" s="33" t="n">
        <x:v>1028776.84</x:v>
      </x:c>
      <x:c r="N1111" s="33" t="n">
        <x:v>102.877684</x:v>
      </x:c>
      <x:c r="O1111" s="22" t="str">
        <x:v>公顷</x:v>
      </x:c>
      <x:c r="P1111" s="22" t="str">
        <x:v>未提供（单期横截面）</x:v>
      </x:c>
      <x:c r="Q1111" s="23" t="n">
        <x:v>4090</x:v>
      </x:c>
    </x:row>
    <x:row r="1112">
      <x:c r="A1112" s="30" t="n">
        <x:v>350500</x:v>
      </x:c>
      <x:c r="B1112" s="22" t="str">
        <x:v>泉州市</x:v>
      </x:c>
      <x:c r="C1112" s="31" t="n">
        <x:v>350505</x:v>
      </x:c>
      <x:c r="D1112" s="22" t="str">
        <x:v>泉港区</x:v>
      </x:c>
      <x:c r="E1112" s="22" t="str">
        <x:v>未利用地</x:v>
      </x:c>
      <x:c r="F1112" s="22" t="str">
        <x:v>未利用地</x:v>
      </x:c>
      <x:c r="G1112" s="32" t="str">
        <x:v>1205</x:v>
      </x:c>
      <x:c r="H1112" s="32" t="str">
        <x:v>1205</x:v>
      </x:c>
      <x:c r="I1112" s="22" t="str">
        <x:v>沙地</x:v>
      </x:c>
      <x:c r="J1112" s="22" t="str">
        <x:v>未利用地</x:v>
      </x:c>
      <x:c r="K1112" s="32" t="str"/>
      <x:c r="L1112" s="22" t="str">
        <x:v>不适用/未标注</x:v>
      </x:c>
      <x:c r="M1112" s="33" t="n">
        <x:v>12651.98</x:v>
      </x:c>
      <x:c r="N1112" s="33" t="n">
        <x:v>1.265198</x:v>
      </x:c>
      <x:c r="O1112" s="22" t="str">
        <x:v>公顷</x:v>
      </x:c>
      <x:c r="P1112" s="22" t="str">
        <x:v>未提供（单期横截面）</x:v>
      </x:c>
      <x:c r="Q1112" s="23" t="n">
        <x:v>4091</x:v>
      </x:c>
    </x:row>
    <x:row r="1113">
      <x:c r="A1113" s="30" t="n">
        <x:v>350500</x:v>
      </x:c>
      <x:c r="B1113" s="22" t="str">
        <x:v>泉州市</x:v>
      </x:c>
      <x:c r="C1113" s="31" t="n">
        <x:v>350505</x:v>
      </x:c>
      <x:c r="D1113" s="22" t="str">
        <x:v>泉港区</x:v>
      </x:c>
      <x:c r="E1113" s="22" t="str">
        <x:v>未利用地</x:v>
      </x:c>
      <x:c r="F1113" s="22" t="str">
        <x:v>未利用地</x:v>
      </x:c>
      <x:c r="G1113" s="32" t="str">
        <x:v>1206</x:v>
      </x:c>
      <x:c r="H1113" s="32" t="str">
        <x:v>1206</x:v>
      </x:c>
      <x:c r="I1113" s="22" t="str">
        <x:v>裸土地</x:v>
      </x:c>
      <x:c r="J1113" s="22" t="str">
        <x:v>未利用地</x:v>
      </x:c>
      <x:c r="K1113" s="32" t="str"/>
      <x:c r="L1113" s="22" t="str">
        <x:v>不适用/未标注</x:v>
      </x:c>
      <x:c r="M1113" s="33" t="n">
        <x:v>13706.400000000001</x:v>
      </x:c>
      <x:c r="N1113" s="33" t="n">
        <x:v>1.37064</x:v>
      </x:c>
      <x:c r="O1113" s="22" t="str">
        <x:v>公顷</x:v>
      </x:c>
      <x:c r="P1113" s="22" t="str">
        <x:v>未提供（单期横截面）</x:v>
      </x:c>
      <x:c r="Q1113" s="23" t="n">
        <x:v>4092</x:v>
      </x:c>
    </x:row>
    <x:row r="1114">
      <x:c r="A1114" s="30" t="n">
        <x:v>350500</x:v>
      </x:c>
      <x:c r="B1114" s="22" t="str">
        <x:v>泉州市</x:v>
      </x:c>
      <x:c r="C1114" s="31" t="n">
        <x:v>350505</x:v>
      </x:c>
      <x:c r="D1114" s="22" t="str">
        <x:v>泉港区</x:v>
      </x:c>
      <x:c r="E1114" s="22" t="str">
        <x:v>未利用地</x:v>
      </x:c>
      <x:c r="F1114" s="22" t="str">
        <x:v>未利用地</x:v>
      </x:c>
      <x:c r="G1114" s="32" t="str">
        <x:v>1207</x:v>
      </x:c>
      <x:c r="H1114" s="32" t="str">
        <x:v>1207</x:v>
      </x:c>
      <x:c r="I1114" s="22" t="str">
        <x:v>裸岩石砾地</x:v>
      </x:c>
      <x:c r="J1114" s="22" t="str">
        <x:v>未利用地</x:v>
      </x:c>
      <x:c r="K1114" s="32" t="str"/>
      <x:c r="L1114" s="22" t="str">
        <x:v>不适用/未标注</x:v>
      </x:c>
      <x:c r="M1114" s="33" t="n">
        <x:v>1031221.7799999998</x:v>
      </x:c>
      <x:c r="N1114" s="33" t="n">
        <x:v>103.12217799999998</x:v>
      </x:c>
      <x:c r="O1114" s="22" t="str">
        <x:v>公顷</x:v>
      </x:c>
      <x:c r="P1114" s="22" t="str">
        <x:v>未提供（单期横截面）</x:v>
      </x:c>
      <x:c r="Q1114" s="23" t="n">
        <x:v>4093</x:v>
      </x:c>
    </x:row>
    <x:row r="1115">
      <x:c r="A1115" s="30" t="n">
        <x:v>350500</x:v>
      </x:c>
      <x:c r="B1115" s="22" t="str">
        <x:v>泉州市</x:v>
      </x:c>
      <x:c r="C1115" s="31" t="n">
        <x:v>350505</x:v>
      </x:c>
      <x:c r="D1115" s="22" t="str">
        <x:v>泉港区</x:v>
      </x:c>
      <x:c r="E1115" s="22" t="str">
        <x:v>未利用地</x:v>
      </x:c>
      <x:c r="F1115" s="22" t="str">
        <x:v>草地</x:v>
      </x:c>
      <x:c r="G1115" s="32" t="str">
        <x:v>404</x:v>
      </x:c>
      <x:c r="H1115" s="32" t="str">
        <x:v>404</x:v>
      </x:c>
      <x:c r="I1115" s="22" t="str">
        <x:v>其他草地</x:v>
      </x:c>
      <x:c r="J1115" s="22" t="str">
        <x:v>农业生态</x:v>
      </x:c>
      <x:c r="K1115" s="32" t="str">
        <x:v>201</x:v>
      </x:c>
      <x:c r="L1115" s="22" t="str">
        <x:v>城市范围</x:v>
      </x:c>
      <x:c r="M1115" s="33" t="n">
        <x:v>186349.22</x:v>
      </x:c>
      <x:c r="N1115" s="33" t="n">
        <x:v>18.634922</x:v>
      </x:c>
      <x:c r="O1115" s="22" t="str">
        <x:v>公顷</x:v>
      </x:c>
      <x:c r="P1115" s="22" t="str">
        <x:v>未提供（单期横截面）</x:v>
      </x:c>
      <x:c r="Q1115" s="23" t="n">
        <x:v>4094</x:v>
      </x:c>
    </x:row>
    <x:row r="1116">
      <x:c r="A1116" s="30" t="n">
        <x:v>350500</x:v>
      </x:c>
      <x:c r="B1116" s="22" t="str">
        <x:v>泉州市</x:v>
      </x:c>
      <x:c r="C1116" s="31" t="n">
        <x:v>350505</x:v>
      </x:c>
      <x:c r="D1116" s="22" t="str">
        <x:v>泉港区</x:v>
      </x:c>
      <x:c r="E1116" s="22" t="str">
        <x:v>未利用地</x:v>
      </x:c>
      <x:c r="F1116" s="22" t="str">
        <x:v>水域及水利设施</x:v>
      </x:c>
      <x:c r="G1116" s="32" t="str">
        <x:v>1101</x:v>
      </x:c>
      <x:c r="H1116" s="32" t="str">
        <x:v>1101</x:v>
      </x:c>
      <x:c r="I1116" s="22" t="str">
        <x:v>河流水面</x:v>
      </x:c>
      <x:c r="J1116" s="22" t="str">
        <x:v>农业生态</x:v>
      </x:c>
      <x:c r="K1116" s="32" t="str">
        <x:v>201</x:v>
      </x:c>
      <x:c r="L1116" s="22" t="str">
        <x:v>城市范围</x:v>
      </x:c>
      <x:c r="M1116" s="33" t="n">
        <x:v>68593.27</x:v>
      </x:c>
      <x:c r="N1116" s="33" t="n">
        <x:v>6.859327</x:v>
      </x:c>
      <x:c r="O1116" s="22" t="str">
        <x:v>公顷</x:v>
      </x:c>
      <x:c r="P1116" s="22" t="str">
        <x:v>未提供（单期横截面）</x:v>
      </x:c>
      <x:c r="Q1116" s="23" t="n">
        <x:v>4095</x:v>
      </x:c>
    </x:row>
    <x:row r="1117">
      <x:c r="A1117" s="30" t="n">
        <x:v>350500</x:v>
      </x:c>
      <x:c r="B1117" s="22" t="str">
        <x:v>泉州市</x:v>
      </x:c>
      <x:c r="C1117" s="31" t="n">
        <x:v>350505</x:v>
      </x:c>
      <x:c r="D1117" s="22" t="str">
        <x:v>泉港区</x:v>
      </x:c>
      <x:c r="E1117" s="22" t="str">
        <x:v>未利用地</x:v>
      </x:c>
      <x:c r="F1117" s="22" t="str">
        <x:v>草地</x:v>
      </x:c>
      <x:c r="G1117" s="32" t="str">
        <x:v>404</x:v>
      </x:c>
      <x:c r="H1117" s="32" t="str">
        <x:v>404</x:v>
      </x:c>
      <x:c r="I1117" s="22" t="str">
        <x:v>其他草地</x:v>
      </x:c>
      <x:c r="J1117" s="22" t="str">
        <x:v>农业生态</x:v>
      </x:c>
      <x:c r="K1117" s="32" t="str">
        <x:v>202</x:v>
      </x:c>
      <x:c r="L1117" s="22" t="str">
        <x:v>建制镇范围</x:v>
      </x:c>
      <x:c r="M1117" s="33" t="n">
        <x:v>336522.22000000003</x:v>
      </x:c>
      <x:c r="N1117" s="33" t="n">
        <x:v>33.652222</x:v>
      </x:c>
      <x:c r="O1117" s="22" t="str">
        <x:v>公顷</x:v>
      </x:c>
      <x:c r="P1117" s="22" t="str">
        <x:v>未提供（单期横截面）</x:v>
      </x:c>
      <x:c r="Q1117" s="23" t="n">
        <x:v>4096</x:v>
      </x:c>
    </x:row>
    <x:row r="1118">
      <x:c r="A1118" s="30" t="n">
        <x:v>350500</x:v>
      </x:c>
      <x:c r="B1118" s="22" t="str">
        <x:v>泉州市</x:v>
      </x:c>
      <x:c r="C1118" s="31" t="n">
        <x:v>350505</x:v>
      </x:c>
      <x:c r="D1118" s="22" t="str">
        <x:v>泉港区</x:v>
      </x:c>
      <x:c r="E1118" s="22" t="str">
        <x:v>未利用地</x:v>
      </x:c>
      <x:c r="F1118" s="22" t="str">
        <x:v>水域及水利设施</x:v>
      </x:c>
      <x:c r="G1118" s="32" t="str">
        <x:v>1101</x:v>
      </x:c>
      <x:c r="H1118" s="32" t="str">
        <x:v>1101</x:v>
      </x:c>
      <x:c r="I1118" s="22" t="str">
        <x:v>河流水面</x:v>
      </x:c>
      <x:c r="J1118" s="22" t="str">
        <x:v>农业生态</x:v>
      </x:c>
      <x:c r="K1118" s="32" t="str">
        <x:v>202</x:v>
      </x:c>
      <x:c r="L1118" s="22" t="str">
        <x:v>建制镇范围</x:v>
      </x:c>
      <x:c r="M1118" s="33" t="n">
        <x:v>9155.2</x:v>
      </x:c>
      <x:c r="N1118" s="33" t="n">
        <x:v>0.9155200000000001</x:v>
      </x:c>
      <x:c r="O1118" s="22" t="str">
        <x:v>公顷</x:v>
      </x:c>
      <x:c r="P1118" s="22" t="str">
        <x:v>未提供（单期横截面）</x:v>
      </x:c>
      <x:c r="Q1118" s="23" t="n">
        <x:v>4097</x:v>
      </x:c>
    </x:row>
    <x:row r="1119">
      <x:c r="A1119" s="30" t="n">
        <x:v>350500</x:v>
      </x:c>
      <x:c r="B1119" s="22" t="str">
        <x:v>泉州市</x:v>
      </x:c>
      <x:c r="C1119" s="31" t="n">
        <x:v>350505</x:v>
      </x:c>
      <x:c r="D1119" s="22" t="str">
        <x:v>泉港区</x:v>
      </x:c>
      <x:c r="E1119" s="22" t="str">
        <x:v>未利用地</x:v>
      </x:c>
      <x:c r="F1119" s="22" t="str">
        <x:v>水域及水利设施</x:v>
      </x:c>
      <x:c r="G1119" s="32" t="str">
        <x:v>1105</x:v>
      </x:c>
      <x:c r="H1119" s="32" t="str">
        <x:v>1105</x:v>
      </x:c>
      <x:c r="I1119" s="22" t="str">
        <x:v>沿海滩涂</x:v>
      </x:c>
      <x:c r="J1119" s="22" t="str">
        <x:v>农业生态</x:v>
      </x:c>
      <x:c r="K1119" s="32" t="str">
        <x:v>202</x:v>
      </x:c>
      <x:c r="L1119" s="22" t="str">
        <x:v>建制镇范围</x:v>
      </x:c>
      <x:c r="M1119" s="33" t="n">
        <x:v>77533.2</x:v>
      </x:c>
      <x:c r="N1119" s="33" t="n">
        <x:v>7.7533199999999995</x:v>
      </x:c>
      <x:c r="O1119" s="22" t="str">
        <x:v>公顷</x:v>
      </x:c>
      <x:c r="P1119" s="22" t="str">
        <x:v>未提供（单期横截面）</x:v>
      </x:c>
      <x:c r="Q1119" s="23" t="n">
        <x:v>4098</x:v>
      </x:c>
    </x:row>
    <x:row r="1120">
      <x:c r="A1120" s="30" t="n">
        <x:v>350500</x:v>
      </x:c>
      <x:c r="B1120" s="22" t="str">
        <x:v>泉州市</x:v>
      </x:c>
      <x:c r="C1120" s="31" t="n">
        <x:v>350505</x:v>
      </x:c>
      <x:c r="D1120" s="22" t="str">
        <x:v>泉港区</x:v>
      </x:c>
      <x:c r="E1120" s="22" t="str">
        <x:v>未利用地</x:v>
      </x:c>
      <x:c r="F1120" s="22" t="str">
        <x:v>未利用地</x:v>
      </x:c>
      <x:c r="G1120" s="32" t="str">
        <x:v>1207</x:v>
      </x:c>
      <x:c r="H1120" s="32" t="str">
        <x:v>1207</x:v>
      </x:c>
      <x:c r="I1120" s="22" t="str">
        <x:v>裸岩石砾地</x:v>
      </x:c>
      <x:c r="J1120" s="22" t="str">
        <x:v>未利用地</x:v>
      </x:c>
      <x:c r="K1120" s="32" t="str">
        <x:v>202</x:v>
      </x:c>
      <x:c r="L1120" s="22" t="str">
        <x:v>建制镇范围</x:v>
      </x:c>
      <x:c r="M1120" s="33" t="n">
        <x:v>40387.840000000004</x:v>
      </x:c>
      <x:c r="N1120" s="33" t="n">
        <x:v>4.038784000000001</x:v>
      </x:c>
      <x:c r="O1120" s="22" t="str">
        <x:v>公顷</x:v>
      </x:c>
      <x:c r="P1120" s="22" t="str">
        <x:v>未提供（单期横截面）</x:v>
      </x:c>
      <x:c r="Q1120" s="23" t="n">
        <x:v>4099</x:v>
      </x:c>
    </x:row>
    <x:row r="1121">
      <x:c r="A1121" s="30" t="n">
        <x:v>350500</x:v>
      </x:c>
      <x:c r="B1121" s="22" t="str">
        <x:v>泉州市</x:v>
      </x:c>
      <x:c r="C1121" s="31" t="n">
        <x:v>350505</x:v>
      </x:c>
      <x:c r="D1121" s="22" t="str">
        <x:v>泉港区</x:v>
      </x:c>
      <x:c r="E1121" s="22" t="str">
        <x:v>未利用地</x:v>
      </x:c>
      <x:c r="F1121" s="22" t="str">
        <x:v>草地</x:v>
      </x:c>
      <x:c r="G1121" s="32" t="str">
        <x:v>404</x:v>
      </x:c>
      <x:c r="H1121" s="32" t="str">
        <x:v>404</x:v>
      </x:c>
      <x:c r="I1121" s="22" t="str">
        <x:v>其他草地</x:v>
      </x:c>
      <x:c r="J1121" s="22" t="str">
        <x:v>农业生态</x:v>
      </x:c>
      <x:c r="K1121" s="32" t="str">
        <x:v>203</x:v>
      </x:c>
      <x:c r="L1121" s="22" t="str">
        <x:v>村庄范围</x:v>
      </x:c>
      <x:c r="M1121" s="33" t="n">
        <x:v>57027.060000000005</x:v>
      </x:c>
      <x:c r="N1121" s="33" t="n">
        <x:v>5.702706</x:v>
      </x:c>
      <x:c r="O1121" s="22" t="str">
        <x:v>公顷</x:v>
      </x:c>
      <x:c r="P1121" s="22" t="str">
        <x:v>未提供（单期横截面）</x:v>
      </x:c>
      <x:c r="Q1121" s="23" t="n">
        <x:v>4100</x:v>
      </x:c>
    </x:row>
    <x:row r="1122">
      <x:c r="A1122" s="30" t="n">
        <x:v>350500</x:v>
      </x:c>
      <x:c r="B1122" s="22" t="str">
        <x:v>泉州市</x:v>
      </x:c>
      <x:c r="C1122" s="31" t="n">
        <x:v>350505</x:v>
      </x:c>
      <x:c r="D1122" s="22" t="str">
        <x:v>泉港区</x:v>
      </x:c>
      <x:c r="E1122" s="22" t="str">
        <x:v>未利用地</x:v>
      </x:c>
      <x:c r="F1122" s="22" t="str">
        <x:v>水域及水利设施</x:v>
      </x:c>
      <x:c r="G1122" s="32" t="str">
        <x:v>1101</x:v>
      </x:c>
      <x:c r="H1122" s="32" t="str">
        <x:v>1101</x:v>
      </x:c>
      <x:c r="I1122" s="22" t="str">
        <x:v>河流水面</x:v>
      </x:c>
      <x:c r="J1122" s="22" t="str">
        <x:v>农业生态</x:v>
      </x:c>
      <x:c r="K1122" s="32" t="str">
        <x:v>203</x:v>
      </x:c>
      <x:c r="L1122" s="22" t="str">
        <x:v>村庄范围</x:v>
      </x:c>
      <x:c r="M1122" s="33" t="n">
        <x:v>4617.96</x:v>
      </x:c>
      <x:c r="N1122" s="33" t="n">
        <x:v>0.461796</x:v>
      </x:c>
      <x:c r="O1122" s="22" t="str">
        <x:v>公顷</x:v>
      </x:c>
      <x:c r="P1122" s="22" t="str">
        <x:v>未提供（单期横截面）</x:v>
      </x:c>
      <x:c r="Q1122" s="23" t="n">
        <x:v>4101</x:v>
      </x:c>
    </x:row>
    <x:row r="1123">
      <x:c r="A1123" s="30" t="n">
        <x:v>350500</x:v>
      </x:c>
      <x:c r="B1123" s="22" t="str">
        <x:v>泉州市</x:v>
      </x:c>
      <x:c r="C1123" s="31" t="n">
        <x:v>350505</x:v>
      </x:c>
      <x:c r="D1123" s="22" t="str">
        <x:v>泉港区</x:v>
      </x:c>
      <x:c r="E1123" s="22" t="str">
        <x:v>未利用地</x:v>
      </x:c>
      <x:c r="F1123" s="22" t="str">
        <x:v>未利用地</x:v>
      </x:c>
      <x:c r="G1123" s="32" t="str">
        <x:v>1207</x:v>
      </x:c>
      <x:c r="H1123" s="32" t="str">
        <x:v>1207</x:v>
      </x:c>
      <x:c r="I1123" s="22" t="str">
        <x:v>裸岩石砾地</x:v>
      </x:c>
      <x:c r="J1123" s="22" t="str">
        <x:v>未利用地</x:v>
      </x:c>
      <x:c r="K1123" s="32" t="str">
        <x:v>203</x:v>
      </x:c>
      <x:c r="L1123" s="22" t="str">
        <x:v>村庄范围</x:v>
      </x:c>
      <x:c r="M1123" s="33" t="n">
        <x:v>488.54</x:v>
      </x:c>
      <x:c r="N1123" s="33" t="n">
        <x:v>0.048854</x:v>
      </x:c>
      <x:c r="O1123" s="22" t="str">
        <x:v>公顷</x:v>
      </x:c>
      <x:c r="P1123" s="22" t="str">
        <x:v>未提供（单期横截面）</x:v>
      </x:c>
      <x:c r="Q1123" s="23" t="n">
        <x:v>4102</x:v>
      </x:c>
    </x:row>
    <x:row r="1124">
      <x:c r="A1124" s="30" t="n">
        <x:v>350500</x:v>
      </x:c>
      <x:c r="B1124" s="22" t="str">
        <x:v>泉州市</x:v>
      </x:c>
      <x:c r="C1124" s="31" t="n">
        <x:v>350521</x:v>
      </x:c>
      <x:c r="D1124" s="22" t="str">
        <x:v>惠安县</x:v>
      </x:c>
      <x:c r="E1124" s="22" t="str">
        <x:v>建设用地</x:v>
      </x:c>
      <x:c r="F1124" s="22" t="str">
        <x:v>交通运输用地</x:v>
      </x:c>
      <x:c r="G1124" s="32" t="str">
        <x:v>1001</x:v>
      </x:c>
      <x:c r="H1124" s="32" t="str">
        <x:v>1001</x:v>
      </x:c>
      <x:c r="I1124" s="22" t="str">
        <x:v>铁路用地</x:v>
      </x:c>
      <x:c r="J1124" s="22" t="str">
        <x:v>交通门户</x:v>
      </x:c>
      <x:c r="K1124" s="32" t="str"/>
      <x:c r="L1124" s="22" t="str">
        <x:v>不适用/未标注</x:v>
      </x:c>
      <x:c r="M1124" s="33" t="n">
        <x:v>2448223.82</x:v>
      </x:c>
      <x:c r="N1124" s="33" t="n">
        <x:v>244.82238199999998</x:v>
      </x:c>
      <x:c r="O1124" s="22" t="str">
        <x:v>公顷</x:v>
      </x:c>
      <x:c r="P1124" s="22" t="str">
        <x:v>未提供（单期横截面）</x:v>
      </x:c>
      <x:c r="Q1124" s="23" t="n">
        <x:v>4103</x:v>
      </x:c>
    </x:row>
    <x:row r="1125">
      <x:c r="A1125" s="30" t="n">
        <x:v>350500</x:v>
      </x:c>
      <x:c r="B1125" s="22" t="str">
        <x:v>泉州市</x:v>
      </x:c>
      <x:c r="C1125" s="31" t="n">
        <x:v>350521</x:v>
      </x:c>
      <x:c r="D1125" s="22" t="str">
        <x:v>惠安县</x:v>
      </x:c>
      <x:c r="E1125" s="22" t="str">
        <x:v>建设用地</x:v>
      </x:c>
      <x:c r="F1125" s="22" t="str">
        <x:v>交通运输用地</x:v>
      </x:c>
      <x:c r="G1125" s="32" t="str">
        <x:v>1003</x:v>
      </x:c>
      <x:c r="H1125" s="32" t="str">
        <x:v>1003</x:v>
      </x:c>
      <x:c r="I1125" s="22" t="str">
        <x:v>公路用地</x:v>
      </x:c>
      <x:c r="J1125" s="22" t="str">
        <x:v>交通门户</x:v>
      </x:c>
      <x:c r="K1125" s="32" t="str"/>
      <x:c r="L1125" s="22" t="str">
        <x:v>不适用/未标注</x:v>
      </x:c>
      <x:c r="M1125" s="33" t="n">
        <x:v>25685927.020000007</x:v>
      </x:c>
      <x:c r="N1125" s="33" t="n">
        <x:v>2568.592702000001</x:v>
      </x:c>
      <x:c r="O1125" s="22" t="str">
        <x:v>公顷</x:v>
      </x:c>
      <x:c r="P1125" s="22" t="str">
        <x:v>未提供（单期横截面）</x:v>
      </x:c>
      <x:c r="Q1125" s="23" t="n">
        <x:v>4104</x:v>
      </x:c>
    </x:row>
    <x:row r="1126">
      <x:c r="A1126" s="30" t="n">
        <x:v>350500</x:v>
      </x:c>
      <x:c r="B1126" s="22" t="str">
        <x:v>泉州市</x:v>
      </x:c>
      <x:c r="C1126" s="31" t="n">
        <x:v>350521</x:v>
      </x:c>
      <x:c r="D1126" s="22" t="str">
        <x:v>惠安县</x:v>
      </x:c>
      <x:c r="E1126" s="22" t="str">
        <x:v>建设用地</x:v>
      </x:c>
      <x:c r="F1126" s="22" t="str">
        <x:v>交通运输用地</x:v>
      </x:c>
      <x:c r="G1126" s="32" t="str">
        <x:v>1008</x:v>
      </x:c>
      <x:c r="H1126" s="32" t="str">
        <x:v>1008</x:v>
      </x:c>
      <x:c r="I1126" s="22" t="str">
        <x:v>港口码头用地</x:v>
      </x:c>
      <x:c r="J1126" s="22" t="str">
        <x:v>交通门户</x:v>
      </x:c>
      <x:c r="K1126" s="32" t="str"/>
      <x:c r="L1126" s="22" t="str">
        <x:v>不适用/未标注</x:v>
      </x:c>
      <x:c r="M1126" s="33" t="n">
        <x:v>49223.729999999996</x:v>
      </x:c>
      <x:c r="N1126" s="33" t="n">
        <x:v>4.922372999999999</x:v>
      </x:c>
      <x:c r="O1126" s="22" t="str">
        <x:v>公顷</x:v>
      </x:c>
      <x:c r="P1126" s="22" t="str">
        <x:v>未提供（单期横截面）</x:v>
      </x:c>
      <x:c r="Q1126" s="23" t="n">
        <x:v>4105</x:v>
      </x:c>
    </x:row>
    <x:row r="1127">
      <x:c r="A1127" s="30" t="n">
        <x:v>350500</x:v>
      </x:c>
      <x:c r="B1127" s="22" t="str">
        <x:v>泉州市</x:v>
      </x:c>
      <x:c r="C1127" s="31" t="n">
        <x:v>350521</x:v>
      </x:c>
      <x:c r="D1127" s="22" t="str">
        <x:v>惠安县</x:v>
      </x:c>
      <x:c r="E1127" s="22" t="str">
        <x:v>建设用地</x:v>
      </x:c>
      <x:c r="F1127" s="22" t="str">
        <x:v>交通运输用地</x:v>
      </x:c>
      <x:c r="G1127" s="32" t="str">
        <x:v>1009</x:v>
      </x:c>
      <x:c r="H1127" s="32" t="str">
        <x:v>1009</x:v>
      </x:c>
      <x:c r="I1127" s="22" t="str">
        <x:v>管道运输用地</x:v>
      </x:c>
      <x:c r="J1127" s="22" t="str">
        <x:v>交通门户</x:v>
      </x:c>
      <x:c r="K1127" s="32" t="str"/>
      <x:c r="L1127" s="22" t="str">
        <x:v>不适用/未标注</x:v>
      </x:c>
      <x:c r="M1127" s="33" t="n">
        <x:v>8703.58</x:v>
      </x:c>
      <x:c r="N1127" s="33" t="n">
        <x:v>0.870358</x:v>
      </x:c>
      <x:c r="O1127" s="22" t="str">
        <x:v>公顷</x:v>
      </x:c>
      <x:c r="P1127" s="22" t="str">
        <x:v>未提供（单期横截面）</x:v>
      </x:c>
      <x:c r="Q1127" s="23" t="n">
        <x:v>4106</x:v>
      </x:c>
    </x:row>
    <x:row r="1128">
      <x:c r="A1128" s="30" t="n">
        <x:v>350500</x:v>
      </x:c>
      <x:c r="B1128" s="22" t="str">
        <x:v>泉州市</x:v>
      </x:c>
      <x:c r="C1128" s="31" t="n">
        <x:v>350521</x:v>
      </x:c>
      <x:c r="D1128" s="22" t="str">
        <x:v>惠安县</x:v>
      </x:c>
      <x:c r="E1128" s="22" t="str">
        <x:v>建设用地</x:v>
      </x:c>
      <x:c r="F1128" s="22" t="str">
        <x:v>水域及水利设施</x:v>
      </x:c>
      <x:c r="G1128" s="32" t="str">
        <x:v>1109</x:v>
      </x:c>
      <x:c r="H1128" s="32" t="str">
        <x:v>1109</x:v>
      </x:c>
      <x:c r="I1128" s="22" t="str">
        <x:v>水工建筑用地</x:v>
      </x:c>
      <x:c r="J1128" s="22" t="str">
        <x:v>其他建设</x:v>
      </x:c>
      <x:c r="K1128" s="32" t="str"/>
      <x:c r="L1128" s="22" t="str">
        <x:v>不适用/未标注</x:v>
      </x:c>
      <x:c r="M1128" s="33" t="n">
        <x:v>2500079.770000002</x:v>
      </x:c>
      <x:c r="N1128" s="33" t="n">
        <x:v>250.00797700000018</x:v>
      </x:c>
      <x:c r="O1128" s="22" t="str">
        <x:v>公顷</x:v>
      </x:c>
      <x:c r="P1128" s="22" t="str">
        <x:v>未提供（单期横截面）</x:v>
      </x:c>
      <x:c r="Q1128" s="23" t="n">
        <x:v>4107</x:v>
      </x:c>
    </x:row>
    <x:row r="1129">
      <x:c r="A1129" s="30" t="n">
        <x:v>350500</x:v>
      </x:c>
      <x:c r="B1129" s="22" t="str">
        <x:v>泉州市</x:v>
      </x:c>
      <x:c r="C1129" s="31" t="n">
        <x:v>350521</x:v>
      </x:c>
      <x:c r="D1129" s="22" t="str">
        <x:v>惠安县</x:v>
      </x:c>
      <x:c r="E1129" s="22" t="str">
        <x:v>建设用地</x:v>
      </x:c>
      <x:c r="F1129" s="22" t="str">
        <x:v>工矿仓储用地</x:v>
      </x:c>
      <x:c r="G1129" s="32" t="str">
        <x:v>508</x:v>
      </x:c>
      <x:c r="H1129" s="32" t="str">
        <x:v>508</x:v>
      </x:c>
      <x:c r="I1129" s="22" t="str">
        <x:v>物流仓储用地</x:v>
      </x:c>
      <x:c r="J1129" s="22" t="str">
        <x:v>产业功能</x:v>
      </x:c>
      <x:c r="K1129" s="32" t="str">
        <x:v>202</x:v>
      </x:c>
      <x:c r="L1129" s="22" t="str">
        <x:v>建制镇范围</x:v>
      </x:c>
      <x:c r="M1129" s="33" t="n">
        <x:v>108065.75</x:v>
      </x:c>
      <x:c r="N1129" s="33" t="n">
        <x:v>10.806575</x:v>
      </x:c>
      <x:c r="O1129" s="22" t="str">
        <x:v>公顷</x:v>
      </x:c>
      <x:c r="P1129" s="22" t="str">
        <x:v>未提供（单期横截面）</x:v>
      </x:c>
      <x:c r="Q1129" s="23" t="n">
        <x:v>4108</x:v>
      </x:c>
    </x:row>
    <x:row r="1130">
      <x:c r="A1130" s="30" t="n">
        <x:v>350500</x:v>
      </x:c>
      <x:c r="B1130" s="22" t="str">
        <x:v>泉州市</x:v>
      </x:c>
      <x:c r="C1130" s="31" t="n">
        <x:v>350521</x:v>
      </x:c>
      <x:c r="D1130" s="22" t="str">
        <x:v>惠安县</x:v>
      </x:c>
      <x:c r="E1130" s="22" t="str">
        <x:v>建设用地</x:v>
      </x:c>
      <x:c r="F1130" s="22" t="str">
        <x:v>商业服务业用地</x:v>
      </x:c>
      <x:c r="G1130" s="32" t="str">
        <x:v>05H1</x:v>
      </x:c>
      <x:c r="H1130" s="32" t="str">
        <x:v>05H1</x:v>
      </x:c>
      <x:c r="I1130" s="22" t="str">
        <x:v>商业服务业设施用地</x:v>
      </x:c>
      <x:c r="J1130" s="22" t="str">
        <x:v>商业服务</x:v>
      </x:c>
      <x:c r="K1130" s="32" t="str">
        <x:v>202</x:v>
      </x:c>
      <x:c r="L1130" s="22" t="str">
        <x:v>建制镇范围</x:v>
      </x:c>
      <x:c r="M1130" s="33" t="n">
        <x:v>1304754.4599999995</x:v>
      </x:c>
      <x:c r="N1130" s="33" t="n">
        <x:v>130.47544599999995</x:v>
      </x:c>
      <x:c r="O1130" s="22" t="str">
        <x:v>公顷</x:v>
      </x:c>
      <x:c r="P1130" s="22" t="str">
        <x:v>未提供（单期横截面）</x:v>
      </x:c>
      <x:c r="Q1130" s="23" t="n">
        <x:v>4109</x:v>
      </x:c>
    </x:row>
    <x:row r="1131">
      <x:c r="A1131" s="30" t="n">
        <x:v>350500</x:v>
      </x:c>
      <x:c r="B1131" s="22" t="str">
        <x:v>泉州市</x:v>
      </x:c>
      <x:c r="C1131" s="31" t="n">
        <x:v>350521</x:v>
      </x:c>
      <x:c r="D1131" s="22" t="str">
        <x:v>惠安县</x:v>
      </x:c>
      <x:c r="E1131" s="22" t="str">
        <x:v>建设用地</x:v>
      </x:c>
      <x:c r="F1131" s="22" t="str">
        <x:v>工矿仓储用地</x:v>
      </x:c>
      <x:c r="G1131" s="32" t="str">
        <x:v>601</x:v>
      </x:c>
      <x:c r="H1131" s="32" t="str">
        <x:v>601</x:v>
      </x:c>
      <x:c r="I1131" s="22" t="str">
        <x:v>工业用地</x:v>
      </x:c>
      <x:c r="J1131" s="22" t="str">
        <x:v>产业功能</x:v>
      </x:c>
      <x:c r="K1131" s="32" t="str">
        <x:v>202</x:v>
      </x:c>
      <x:c r="L1131" s="22" t="str">
        <x:v>建制镇范围</x:v>
      </x:c>
      <x:c r="M1131" s="33" t="n">
        <x:v>23469007.099999987</x:v>
      </x:c>
      <x:c r="N1131" s="33" t="n">
        <x:v>2346.9007099999985</x:v>
      </x:c>
      <x:c r="O1131" s="22" t="str">
        <x:v>公顷</x:v>
      </x:c>
      <x:c r="P1131" s="22" t="str">
        <x:v>未提供（单期横截面）</x:v>
      </x:c>
      <x:c r="Q1131" s="23" t="n">
        <x:v>4110</x:v>
      </x:c>
    </x:row>
    <x:row r="1132">
      <x:c r="A1132" s="30" t="n">
        <x:v>350500</x:v>
      </x:c>
      <x:c r="B1132" s="22" t="str">
        <x:v>泉州市</x:v>
      </x:c>
      <x:c r="C1132" s="31" t="n">
        <x:v>350521</x:v>
      </x:c>
      <x:c r="D1132" s="22" t="str">
        <x:v>惠安县</x:v>
      </x:c>
      <x:c r="E1132" s="22" t="str">
        <x:v>建设用地</x:v>
      </x:c>
      <x:c r="F1132" s="22" t="str">
        <x:v>工矿仓储用地</x:v>
      </x:c>
      <x:c r="G1132" s="32" t="str">
        <x:v>602</x:v>
      </x:c>
      <x:c r="H1132" s="32" t="str">
        <x:v>602</x:v>
      </x:c>
      <x:c r="I1132" s="22" t="str">
        <x:v>采矿用地</x:v>
      </x:c>
      <x:c r="J1132" s="22" t="str">
        <x:v>产业功能</x:v>
      </x:c>
      <x:c r="K1132" s="32" t="str">
        <x:v>202</x:v>
      </x:c>
      <x:c r="L1132" s="22" t="str">
        <x:v>建制镇范围</x:v>
      </x:c>
      <x:c r="M1132" s="33" t="n">
        <x:v>15583.880000000001</x:v>
      </x:c>
      <x:c r="N1132" s="33" t="n">
        <x:v>1.558388</x:v>
      </x:c>
      <x:c r="O1132" s="22" t="str">
        <x:v>公顷</x:v>
      </x:c>
      <x:c r="P1132" s="22" t="str">
        <x:v>未提供（单期横截面）</x:v>
      </x:c>
      <x:c r="Q1132" s="23" t="n">
        <x:v>4111</x:v>
      </x:c>
    </x:row>
    <x:row r="1133">
      <x:c r="A1133" s="30" t="n">
        <x:v>350500</x:v>
      </x:c>
      <x:c r="B1133" s="22" t="str">
        <x:v>泉州市</x:v>
      </x:c>
      <x:c r="C1133" s="31" t="n">
        <x:v>350521</x:v>
      </x:c>
      <x:c r="D1133" s="22" t="str">
        <x:v>惠安县</x:v>
      </x:c>
      <x:c r="E1133" s="22" t="str">
        <x:v>建设用地</x:v>
      </x:c>
      <x:c r="F1133" s="22" t="str">
        <x:v>居住用地</x:v>
      </x:c>
      <x:c r="G1133" s="32" t="str">
        <x:v>701</x:v>
      </x:c>
      <x:c r="H1133" s="32" t="str">
        <x:v>701</x:v>
      </x:c>
      <x:c r="I1133" s="22" t="str">
        <x:v>城镇住宅用地</x:v>
      </x:c>
      <x:c r="J1133" s="22" t="str">
        <x:v>居住功能</x:v>
      </x:c>
      <x:c r="K1133" s="32" t="str">
        <x:v>202</x:v>
      </x:c>
      <x:c r="L1133" s="22" t="str">
        <x:v>建制镇范围</x:v>
      </x:c>
      <x:c r="M1133" s="33" t="n">
        <x:v>23196742.329999976</x:v>
      </x:c>
      <x:c r="N1133" s="33" t="n">
        <x:v>2319.6742329999975</x:v>
      </x:c>
      <x:c r="O1133" s="22" t="str">
        <x:v>公顷</x:v>
      </x:c>
      <x:c r="P1133" s="22" t="str">
        <x:v>未提供（单期横截面）</x:v>
      </x:c>
      <x:c r="Q1133" s="23" t="n">
        <x:v>4112</x:v>
      </x:c>
    </x:row>
    <x:row r="1134">
      <x:c r="A1134" s="30" t="n">
        <x:v>350500</x:v>
      </x:c>
      <x:c r="B1134" s="22" t="str">
        <x:v>泉州市</x:v>
      </x:c>
      <x:c r="C1134" s="31" t="n">
        <x:v>350521</x:v>
      </x:c>
      <x:c r="D1134" s="22" t="str">
        <x:v>惠安县</x:v>
      </x:c>
      <x:c r="E1134" s="22" t="str">
        <x:v>建设用地</x:v>
      </x:c>
      <x:c r="F1134" s="22" t="str">
        <x:v>居住用地</x:v>
      </x:c>
      <x:c r="G1134" s="32" t="str">
        <x:v>702</x:v>
      </x:c>
      <x:c r="H1134" s="32" t="str">
        <x:v>702</x:v>
      </x:c>
      <x:c r="I1134" s="22" t="str">
        <x:v>农村宅基地</x:v>
      </x:c>
      <x:c r="J1134" s="22" t="str">
        <x:v>居住功能</x:v>
      </x:c>
      <x:c r="K1134" s="32" t="str">
        <x:v>202</x:v>
      </x:c>
      <x:c r="L1134" s="22" t="str">
        <x:v>建制镇范围</x:v>
      </x:c>
      <x:c r="M1134" s="33" t="n">
        <x:v>2615657.009999999</x:v>
      </x:c>
      <x:c r="N1134" s="33" t="n">
        <x:v>261.5657009999999</x:v>
      </x:c>
      <x:c r="O1134" s="22" t="str">
        <x:v>公顷</x:v>
      </x:c>
      <x:c r="P1134" s="22" t="str">
        <x:v>未提供（单期横截面）</x:v>
      </x:c>
      <x:c r="Q1134" s="23" t="n">
        <x:v>4113</x:v>
      </x:c>
    </x:row>
    <x:row r="1135">
      <x:c r="A1135" s="30" t="n">
        <x:v>350500</x:v>
      </x:c>
      <x:c r="B1135" s="22" t="str">
        <x:v>泉州市</x:v>
      </x:c>
      <x:c r="C1135" s="31" t="n">
        <x:v>350521</x:v>
      </x:c>
      <x:c r="D1135" s="22" t="str">
        <x:v>惠安县</x:v>
      </x:c>
      <x:c r="E1135" s="22" t="str">
        <x:v>建设用地</x:v>
      </x:c>
      <x:c r="F1135" s="22" t="str">
        <x:v>公用设施用地</x:v>
      </x:c>
      <x:c r="G1135" s="32" t="str">
        <x:v>809</x:v>
      </x:c>
      <x:c r="H1135" s="32" t="str">
        <x:v>809</x:v>
      </x:c>
      <x:c r="I1135" s="22" t="str">
        <x:v>公用设施用地</x:v>
      </x:c>
      <x:c r="J1135" s="22" t="str">
        <x:v>其他建设</x:v>
      </x:c>
      <x:c r="K1135" s="32" t="str">
        <x:v>202</x:v>
      </x:c>
      <x:c r="L1135" s="22" t="str">
        <x:v>建制镇范围</x:v>
      </x:c>
      <x:c r="M1135" s="33" t="n">
        <x:v>166944.03</x:v>
      </x:c>
      <x:c r="N1135" s="33" t="n">
        <x:v>16.694403</x:v>
      </x:c>
      <x:c r="O1135" s="22" t="str">
        <x:v>公顷</x:v>
      </x:c>
      <x:c r="P1135" s="22" t="str">
        <x:v>未提供（单期横截面）</x:v>
      </x:c>
      <x:c r="Q1135" s="23" t="n">
        <x:v>4114</x:v>
      </x:c>
    </x:row>
    <x:row r="1136">
      <x:c r="A1136" s="30" t="n">
        <x:v>350500</x:v>
      </x:c>
      <x:c r="B1136" s="22" t="str">
        <x:v>泉州市</x:v>
      </x:c>
      <x:c r="C1136" s="31" t="n">
        <x:v>350521</x:v>
      </x:c>
      <x:c r="D1136" s="22" t="str">
        <x:v>惠安县</x:v>
      </x:c>
      <x:c r="E1136" s="22" t="str">
        <x:v>建设用地</x:v>
      </x:c>
      <x:c r="F1136" s="22" t="str">
        <x:v>绿地与广场用地</x:v>
      </x:c>
      <x:c r="G1136" s="32" t="str">
        <x:v>810</x:v>
      </x:c>
      <x:c r="H1136" s="32" t="str">
        <x:v>810</x:v>
      </x:c>
      <x:c r="I1136" s="22" t="str">
        <x:v>公园与绿地</x:v>
      </x:c>
      <x:c r="J1136" s="22" t="str">
        <x:v>公共空间</x:v>
      </x:c>
      <x:c r="K1136" s="32" t="str">
        <x:v>202</x:v>
      </x:c>
      <x:c r="L1136" s="22" t="str">
        <x:v>建制镇范围</x:v>
      </x:c>
      <x:c r="M1136" s="33" t="n">
        <x:v>284995.67</x:v>
      </x:c>
      <x:c r="N1136" s="33" t="n">
        <x:v>28.499567</x:v>
      </x:c>
      <x:c r="O1136" s="22" t="str">
        <x:v>公顷</x:v>
      </x:c>
      <x:c r="P1136" s="22" t="str">
        <x:v>未提供（单期横截面）</x:v>
      </x:c>
      <x:c r="Q1136" s="23" t="n">
        <x:v>4115</x:v>
      </x:c>
    </x:row>
    <x:row r="1137">
      <x:c r="A1137" s="30" t="n">
        <x:v>350500</x:v>
      </x:c>
      <x:c r="B1137" s="22" t="str">
        <x:v>泉州市</x:v>
      </x:c>
      <x:c r="C1137" s="31" t="n">
        <x:v>350521</x:v>
      </x:c>
      <x:c r="D1137" s="22" t="str">
        <x:v>惠安县</x:v>
      </x:c>
      <x:c r="E1137" s="22" t="str">
        <x:v>建设用地</x:v>
      </x:c>
      <x:c r="F1137" s="22" t="str">
        <x:v>绿地与广场用地</x:v>
      </x:c>
      <x:c r="G1137" s="32" t="str">
        <x:v>0810A</x:v>
      </x:c>
      <x:c r="H1137" s="32" t="str">
        <x:v>0810</x:v>
      </x:c>
      <x:c r="I1137" s="22" t="str">
        <x:v>广场用地</x:v>
      </x:c>
      <x:c r="J1137" s="22" t="str">
        <x:v>公共空间</x:v>
      </x:c>
      <x:c r="K1137" s="32" t="str">
        <x:v>202</x:v>
      </x:c>
      <x:c r="L1137" s="22" t="str">
        <x:v>建制镇范围</x:v>
      </x:c>
      <x:c r="M1137" s="33" t="n">
        <x:v>83091.65999999999</x:v>
      </x:c>
      <x:c r="N1137" s="33" t="n">
        <x:v>8.309166</x:v>
      </x:c>
      <x:c r="O1137" s="22" t="str">
        <x:v>公顷</x:v>
      </x:c>
      <x:c r="P1137" s="22" t="str">
        <x:v>未提供（单期横截面）</x:v>
      </x:c>
      <x:c r="Q1137" s="23" t="n">
        <x:v>4116</x:v>
      </x:c>
    </x:row>
    <x:row r="1138">
      <x:c r="A1138" s="30" t="n">
        <x:v>350500</x:v>
      </x:c>
      <x:c r="B1138" s="22" t="str">
        <x:v>泉州市</x:v>
      </x:c>
      <x:c r="C1138" s="31" t="n">
        <x:v>350521</x:v>
      </x:c>
      <x:c r="D1138" s="22" t="str">
        <x:v>惠安县</x:v>
      </x:c>
      <x:c r="E1138" s="22" t="str">
        <x:v>建设用地</x:v>
      </x:c>
      <x:c r="F1138" s="22" t="str">
        <x:v>公共管理与公共服务用地</x:v>
      </x:c>
      <x:c r="G1138" s="32" t="str">
        <x:v>08H1</x:v>
      </x:c>
      <x:c r="H1138" s="32" t="str">
        <x:v>08H1</x:v>
      </x:c>
      <x:c r="I1138" s="22" t="str">
        <x:v>机关团体新闻出版用地</x:v>
      </x:c>
      <x:c r="J1138" s="22" t="str">
        <x:v>公共服务</x:v>
      </x:c>
      <x:c r="K1138" s="32" t="str">
        <x:v>202</x:v>
      </x:c>
      <x:c r="L1138" s="22" t="str">
        <x:v>建制镇范围</x:v>
      </x:c>
      <x:c r="M1138" s="33" t="n">
        <x:v>865137.7000000003</x:v>
      </x:c>
      <x:c r="N1138" s="33" t="n">
        <x:v>86.51377000000004</x:v>
      </x:c>
      <x:c r="O1138" s="22" t="str">
        <x:v>公顷</x:v>
      </x:c>
      <x:c r="P1138" s="22" t="str">
        <x:v>未提供（单期横截面）</x:v>
      </x:c>
      <x:c r="Q1138" s="23" t="n">
        <x:v>4117</x:v>
      </x:c>
    </x:row>
    <x:row r="1139">
      <x:c r="A1139" s="30" t="n">
        <x:v>350500</x:v>
      </x:c>
      <x:c r="B1139" s="22" t="str">
        <x:v>泉州市</x:v>
      </x:c>
      <x:c r="C1139" s="31" t="n">
        <x:v>350521</x:v>
      </x:c>
      <x:c r="D1139" s="22" t="str">
        <x:v>惠安县</x:v>
      </x:c>
      <x:c r="E1139" s="22" t="str">
        <x:v>建设用地</x:v>
      </x:c>
      <x:c r="F1139" s="22" t="str">
        <x:v>公共管理与公共服务用地</x:v>
      </x:c>
      <x:c r="G1139" s="32" t="str">
        <x:v>08H2</x:v>
      </x:c>
      <x:c r="H1139" s="32" t="str">
        <x:v>08H2</x:v>
      </x:c>
      <x:c r="I1139" s="22" t="str">
        <x:v>科教文卫用地</x:v>
      </x:c>
      <x:c r="J1139" s="22" t="str">
        <x:v>公共服务</x:v>
      </x:c>
      <x:c r="K1139" s="32" t="str">
        <x:v>202</x:v>
      </x:c>
      <x:c r="L1139" s="22" t="str">
        <x:v>建制镇范围</x:v>
      </x:c>
      <x:c r="M1139" s="33" t="n">
        <x:v>2267474.820000001</x:v>
      </x:c>
      <x:c r="N1139" s="33" t="n">
        <x:v>226.74748200000013</x:v>
      </x:c>
      <x:c r="O1139" s="22" t="str">
        <x:v>公顷</x:v>
      </x:c>
      <x:c r="P1139" s="22" t="str">
        <x:v>未提供（单期横截面）</x:v>
      </x:c>
      <x:c r="Q1139" s="23" t="n">
        <x:v>4118</x:v>
      </x:c>
    </x:row>
    <x:row r="1140">
      <x:c r="A1140" s="30" t="n">
        <x:v>350500</x:v>
      </x:c>
      <x:c r="B1140" s="22" t="str">
        <x:v>泉州市</x:v>
      </x:c>
      <x:c r="C1140" s="31" t="n">
        <x:v>350521</x:v>
      </x:c>
      <x:c r="D1140" s="22" t="str">
        <x:v>惠安县</x:v>
      </x:c>
      <x:c r="E1140" s="22" t="str">
        <x:v>建设用地</x:v>
      </x:c>
      <x:c r="F1140" s="22" t="str">
        <x:v>公共管理与公共服务用地</x:v>
      </x:c>
      <x:c r="G1140" s="32" t="str">
        <x:v>08H2A</x:v>
      </x:c>
      <x:c r="H1140" s="32" t="str">
        <x:v>08H2</x:v>
      </x:c>
      <x:c r="I1140" s="22" t="str">
        <x:v>高教用地</x:v>
      </x:c>
      <x:c r="J1140" s="22" t="str">
        <x:v>公共服务</x:v>
      </x:c>
      <x:c r="K1140" s="32" t="str">
        <x:v>202</x:v>
      </x:c>
      <x:c r="L1140" s="22" t="str">
        <x:v>建制镇范围</x:v>
      </x:c>
      <x:c r="M1140" s="33" t="n">
        <x:v>109623.04</x:v>
      </x:c>
      <x:c r="N1140" s="33" t="n">
        <x:v>10.962304</x:v>
      </x:c>
      <x:c r="O1140" s="22" t="str">
        <x:v>公顷</x:v>
      </x:c>
      <x:c r="P1140" s="22" t="str">
        <x:v>未提供（单期横截面）</x:v>
      </x:c>
      <x:c r="Q1140" s="23" t="n">
        <x:v>4119</x:v>
      </x:c>
    </x:row>
    <x:row r="1141">
      <x:c r="A1141" s="30" t="n">
        <x:v>350500</x:v>
      </x:c>
      <x:c r="B1141" s="22" t="str">
        <x:v>泉州市</x:v>
      </x:c>
      <x:c r="C1141" s="31" t="n">
        <x:v>350521</x:v>
      </x:c>
      <x:c r="D1141" s="22" t="str">
        <x:v>惠安县</x:v>
      </x:c>
      <x:c r="E1141" s="22" t="str">
        <x:v>建设用地</x:v>
      </x:c>
      <x:c r="F1141" s="22" t="str">
        <x:v>特殊用地</x:v>
      </x:c>
      <x:c r="G1141" s="32" t="str">
        <x:v>9</x:v>
      </x:c>
      <x:c r="H1141" s="32" t="str">
        <x:v>9</x:v>
      </x:c>
      <x:c r="I1141" s="22" t="str">
        <x:v>特殊用地</x:v>
      </x:c>
      <x:c r="J1141" s="22" t="str">
        <x:v>其他建设</x:v>
      </x:c>
      <x:c r="K1141" s="32" t="str">
        <x:v>202</x:v>
      </x:c>
      <x:c r="L1141" s="22" t="str">
        <x:v>建制镇范围</x:v>
      </x:c>
      <x:c r="M1141" s="33" t="n">
        <x:v>323692.64999999997</x:v>
      </x:c>
      <x:c r="N1141" s="33" t="n">
        <x:v>32.369265</x:v>
      </x:c>
      <x:c r="O1141" s="22" t="str">
        <x:v>公顷</x:v>
      </x:c>
      <x:c r="P1141" s="22" t="str">
        <x:v>未提供（单期横截面）</x:v>
      </x:c>
      <x:c r="Q1141" s="23" t="n">
        <x:v>4120</x:v>
      </x:c>
    </x:row>
    <x:row r="1142">
      <x:c r="A1142" s="30" t="n">
        <x:v>350500</x:v>
      </x:c>
      <x:c r="B1142" s="22" t="str">
        <x:v>泉州市</x:v>
      </x:c>
      <x:c r="C1142" s="31" t="n">
        <x:v>350521</x:v>
      </x:c>
      <x:c r="D1142" s="22" t="str">
        <x:v>惠安县</x:v>
      </x:c>
      <x:c r="E1142" s="22" t="str">
        <x:v>建设用地</x:v>
      </x:c>
      <x:c r="F1142" s="22" t="str">
        <x:v>交通运输用地</x:v>
      </x:c>
      <x:c r="G1142" s="32" t="str">
        <x:v>1003</x:v>
      </x:c>
      <x:c r="H1142" s="32" t="str">
        <x:v>1003</x:v>
      </x:c>
      <x:c r="I1142" s="22" t="str">
        <x:v>公路用地</x:v>
      </x:c>
      <x:c r="J1142" s="22" t="str">
        <x:v>交通门户</x:v>
      </x:c>
      <x:c r="K1142" s="32" t="str">
        <x:v>202</x:v>
      </x:c>
      <x:c r="L1142" s="22" t="str">
        <x:v>建制镇范围</x:v>
      </x:c>
      <x:c r="M1142" s="33" t="n">
        <x:v>1693.56</x:v>
      </x:c>
      <x:c r="N1142" s="33" t="n">
        <x:v>0.169356</x:v>
      </x:c>
      <x:c r="O1142" s="22" t="str">
        <x:v>公顷</x:v>
      </x:c>
      <x:c r="P1142" s="22" t="str">
        <x:v>未提供（单期横截面）</x:v>
      </x:c>
      <x:c r="Q1142" s="23" t="n">
        <x:v>4121</x:v>
      </x:c>
    </x:row>
    <x:row r="1143">
      <x:c r="A1143" s="30" t="n">
        <x:v>350500</x:v>
      </x:c>
      <x:c r="B1143" s="22" t="str">
        <x:v>泉州市</x:v>
      </x:c>
      <x:c r="C1143" s="31" t="n">
        <x:v>350521</x:v>
      </x:c>
      <x:c r="D1143" s="22" t="str">
        <x:v>惠安县</x:v>
      </x:c>
      <x:c r="E1143" s="22" t="str">
        <x:v>建设用地</x:v>
      </x:c>
      <x:c r="F1143" s="22" t="str">
        <x:v>交通运输用地</x:v>
      </x:c>
      <x:c r="G1143" s="32" t="str">
        <x:v>1004</x:v>
      </x:c>
      <x:c r="H1143" s="32" t="str">
        <x:v>1004</x:v>
      </x:c>
      <x:c r="I1143" s="22" t="str">
        <x:v>城镇村道路用地</x:v>
      </x:c>
      <x:c r="J1143" s="22" t="str">
        <x:v>交通门户</x:v>
      </x:c>
      <x:c r="K1143" s="32" t="str">
        <x:v>202</x:v>
      </x:c>
      <x:c r="L1143" s="22" t="str">
        <x:v>建制镇范围</x:v>
      </x:c>
      <x:c r="M1143" s="33" t="n">
        <x:v>2521876.8800000018</x:v>
      </x:c>
      <x:c r="N1143" s="33" t="n">
        <x:v>252.18768800000018</x:v>
      </x:c>
      <x:c r="O1143" s="22" t="str">
        <x:v>公顷</x:v>
      </x:c>
      <x:c r="P1143" s="22" t="str">
        <x:v>未提供（单期横截面）</x:v>
      </x:c>
      <x:c r="Q1143" s="23" t="n">
        <x:v>4122</x:v>
      </x:c>
    </x:row>
    <x:row r="1144">
      <x:c r="A1144" s="30" t="n">
        <x:v>350500</x:v>
      </x:c>
      <x:c r="B1144" s="22" t="str">
        <x:v>泉州市</x:v>
      </x:c>
      <x:c r="C1144" s="31" t="n">
        <x:v>350521</x:v>
      </x:c>
      <x:c r="D1144" s="22" t="str">
        <x:v>惠安县</x:v>
      </x:c>
      <x:c r="E1144" s="22" t="str">
        <x:v>建设用地</x:v>
      </x:c>
      <x:c r="F1144" s="22" t="str">
        <x:v>交通运输用地</x:v>
      </x:c>
      <x:c r="G1144" s="32" t="str">
        <x:v>1005</x:v>
      </x:c>
      <x:c r="H1144" s="32" t="str">
        <x:v>1005</x:v>
      </x:c>
      <x:c r="I1144" s="22" t="str">
        <x:v>交通服务场站用地</x:v>
      </x:c>
      <x:c r="J1144" s="22" t="str">
        <x:v>交通门户</x:v>
      </x:c>
      <x:c r="K1144" s="32" t="str">
        <x:v>202</x:v>
      </x:c>
      <x:c r="L1144" s="22" t="str">
        <x:v>建制镇范围</x:v>
      </x:c>
      <x:c r="M1144" s="33" t="n">
        <x:v>588837.8900000001</x:v>
      </x:c>
      <x:c r="N1144" s="33" t="n">
        <x:v>58.883789000000014</x:v>
      </x:c>
      <x:c r="O1144" s="22" t="str">
        <x:v>公顷</x:v>
      </x:c>
      <x:c r="P1144" s="22" t="str">
        <x:v>未提供（单期横截面）</x:v>
      </x:c>
      <x:c r="Q1144" s="23" t="n">
        <x:v>4123</x:v>
      </x:c>
    </x:row>
    <x:row r="1145">
      <x:c r="A1145" s="30" t="n">
        <x:v>350500</x:v>
      </x:c>
      <x:c r="B1145" s="22" t="str">
        <x:v>泉州市</x:v>
      </x:c>
      <x:c r="C1145" s="31" t="n">
        <x:v>350521</x:v>
      </x:c>
      <x:c r="D1145" s="22" t="str">
        <x:v>惠安县</x:v>
      </x:c>
      <x:c r="E1145" s="22" t="str">
        <x:v>建设用地</x:v>
      </x:c>
      <x:c r="F1145" s="22" t="str">
        <x:v>交通运输用地</x:v>
      </x:c>
      <x:c r="G1145" s="32" t="str">
        <x:v>1008</x:v>
      </x:c>
      <x:c r="H1145" s="32" t="str">
        <x:v>1008</x:v>
      </x:c>
      <x:c r="I1145" s="22" t="str">
        <x:v>港口码头用地</x:v>
      </x:c>
      <x:c r="J1145" s="22" t="str">
        <x:v>交通门户</x:v>
      </x:c>
      <x:c r="K1145" s="32" t="str">
        <x:v>202</x:v>
      </x:c>
      <x:c r="L1145" s="22" t="str">
        <x:v>建制镇范围</x:v>
      </x:c>
      <x:c r="M1145" s="33" t="n">
        <x:v>55738.189999999995</x:v>
      </x:c>
      <x:c r="N1145" s="33" t="n">
        <x:v>5.573818999999999</x:v>
      </x:c>
      <x:c r="O1145" s="22" t="str">
        <x:v>公顷</x:v>
      </x:c>
      <x:c r="P1145" s="22" t="str">
        <x:v>未提供（单期横截面）</x:v>
      </x:c>
      <x:c r="Q1145" s="23" t="n">
        <x:v>4124</x:v>
      </x:c>
    </x:row>
    <x:row r="1146">
      <x:c r="A1146" s="30" t="n">
        <x:v>350500</x:v>
      </x:c>
      <x:c r="B1146" s="22" t="str">
        <x:v>泉州市</x:v>
      </x:c>
      <x:c r="C1146" s="31" t="n">
        <x:v>350521</x:v>
      </x:c>
      <x:c r="D1146" s="22" t="str">
        <x:v>惠安县</x:v>
      </x:c>
      <x:c r="E1146" s="22" t="str">
        <x:v>建设用地</x:v>
      </x:c>
      <x:c r="F1146" s="22" t="str">
        <x:v>交通运输用地</x:v>
      </x:c>
      <x:c r="G1146" s="32" t="str">
        <x:v>1009</x:v>
      </x:c>
      <x:c r="H1146" s="32" t="str">
        <x:v>1009</x:v>
      </x:c>
      <x:c r="I1146" s="22" t="str">
        <x:v>管道运输用地</x:v>
      </x:c>
      <x:c r="J1146" s="22" t="str">
        <x:v>交通门户</x:v>
      </x:c>
      <x:c r="K1146" s="32" t="str">
        <x:v>202</x:v>
      </x:c>
      <x:c r="L1146" s="22" t="str">
        <x:v>建制镇范围</x:v>
      </x:c>
      <x:c r="M1146" s="33" t="n">
        <x:v>6812.41</x:v>
      </x:c>
      <x:c r="N1146" s="33" t="n">
        <x:v>0.681241</x:v>
      </x:c>
      <x:c r="O1146" s="22" t="str">
        <x:v>公顷</x:v>
      </x:c>
      <x:c r="P1146" s="22" t="str">
        <x:v>未提供（单期横截面）</x:v>
      </x:c>
      <x:c r="Q1146" s="23" t="n">
        <x:v>4125</x:v>
      </x:c>
    </x:row>
    <x:row r="1147">
      <x:c r="A1147" s="30" t="n">
        <x:v>350500</x:v>
      </x:c>
      <x:c r="B1147" s="22" t="str">
        <x:v>泉州市</x:v>
      </x:c>
      <x:c r="C1147" s="31" t="n">
        <x:v>350521</x:v>
      </x:c>
      <x:c r="D1147" s="22" t="str">
        <x:v>惠安县</x:v>
      </x:c>
      <x:c r="E1147" s="22" t="str">
        <x:v>建设用地</x:v>
      </x:c>
      <x:c r="F1147" s="22" t="str">
        <x:v>水域及水利设施</x:v>
      </x:c>
      <x:c r="G1147" s="32" t="str">
        <x:v>1109</x:v>
      </x:c>
      <x:c r="H1147" s="32" t="str">
        <x:v>1109</x:v>
      </x:c>
      <x:c r="I1147" s="22" t="str">
        <x:v>水工建筑用地</x:v>
      </x:c>
      <x:c r="J1147" s="22" t="str">
        <x:v>其他建设</x:v>
      </x:c>
      <x:c r="K1147" s="32" t="str">
        <x:v>202</x:v>
      </x:c>
      <x:c r="L1147" s="22" t="str">
        <x:v>建制镇范围</x:v>
      </x:c>
      <x:c r="M1147" s="33" t="n">
        <x:v>7255.370000000001</x:v>
      </x:c>
      <x:c r="N1147" s="33" t="n">
        <x:v>0.7255370000000001</x:v>
      </x:c>
      <x:c r="O1147" s="22" t="str">
        <x:v>公顷</x:v>
      </x:c>
      <x:c r="P1147" s="22" t="str">
        <x:v>未提供（单期横截面）</x:v>
      </x:c>
      <x:c r="Q1147" s="23" t="n">
        <x:v>4126</x:v>
      </x:c>
    </x:row>
    <x:row r="1148">
      <x:c r="A1148" s="30" t="n">
        <x:v>350500</x:v>
      </x:c>
      <x:c r="B1148" s="22" t="str">
        <x:v>泉州市</x:v>
      </x:c>
      <x:c r="C1148" s="31" t="n">
        <x:v>350521</x:v>
      </x:c>
      <x:c r="D1148" s="22" t="str">
        <x:v>惠安县</x:v>
      </x:c>
      <x:c r="E1148" s="22" t="str">
        <x:v>建设用地</x:v>
      </x:c>
      <x:c r="F1148" s="22" t="str">
        <x:v>其他建设用地</x:v>
      </x:c>
      <x:c r="G1148" s="32" t="str">
        <x:v>1201</x:v>
      </x:c>
      <x:c r="H1148" s="32" t="str">
        <x:v>1201</x:v>
      </x:c>
      <x:c r="I1148" s="22" t="str">
        <x:v>空闲地</x:v>
      </x:c>
      <x:c r="J1148" s="22" t="str">
        <x:v>其他建设</x:v>
      </x:c>
      <x:c r="K1148" s="32" t="str">
        <x:v>202</x:v>
      </x:c>
      <x:c r="L1148" s="22" t="str">
        <x:v>建制镇范围</x:v>
      </x:c>
      <x:c r="M1148" s="33" t="n">
        <x:v>25033.98</x:v>
      </x:c>
      <x:c r="N1148" s="33" t="n">
        <x:v>2.503398</x:v>
      </x:c>
      <x:c r="O1148" s="22" t="str">
        <x:v>公顷</x:v>
      </x:c>
      <x:c r="P1148" s="22" t="str">
        <x:v>未提供（单期横截面）</x:v>
      </x:c>
      <x:c r="Q1148" s="23" t="n">
        <x:v>4127</x:v>
      </x:c>
    </x:row>
    <x:row r="1149">
      <x:c r="A1149" s="30" t="n">
        <x:v>350500</x:v>
      </x:c>
      <x:c r="B1149" s="22" t="str">
        <x:v>泉州市</x:v>
      </x:c>
      <x:c r="C1149" s="31" t="n">
        <x:v>350521</x:v>
      </x:c>
      <x:c r="D1149" s="22" t="str">
        <x:v>惠安县</x:v>
      </x:c>
      <x:c r="E1149" s="22" t="str">
        <x:v>建设用地</x:v>
      </x:c>
      <x:c r="F1149" s="22" t="str">
        <x:v>工矿仓储用地</x:v>
      </x:c>
      <x:c r="G1149" s="32" t="str">
        <x:v>601</x:v>
      </x:c>
      <x:c r="H1149" s="32" t="str">
        <x:v>601</x:v>
      </x:c>
      <x:c r="I1149" s="22" t="str">
        <x:v>工业用地</x:v>
      </x:c>
      <x:c r="J1149" s="22" t="str">
        <x:v>产业功能</x:v>
      </x:c>
      <x:c r="K1149" s="32" t="str">
        <x:v>202A</x:v>
      </x:c>
      <x:c r="L1149" s="22" t="str">
        <x:v>建制镇独立工业用地</x:v>
      </x:c>
      <x:c r="M1149" s="33" t="n">
        <x:v>78218.02</x:v>
      </x:c>
      <x:c r="N1149" s="33" t="n">
        <x:v>7.821802000000001</x:v>
      </x:c>
      <x:c r="O1149" s="22" t="str">
        <x:v>公顷</x:v>
      </x:c>
      <x:c r="P1149" s="22" t="str">
        <x:v>未提供（单期横截面）</x:v>
      </x:c>
      <x:c r="Q1149" s="23" t="n">
        <x:v>4128</x:v>
      </x:c>
    </x:row>
    <x:row r="1150">
      <x:c r="A1150" s="30" t="n">
        <x:v>350500</x:v>
      </x:c>
      <x:c r="B1150" s="22" t="str">
        <x:v>泉州市</x:v>
      </x:c>
      <x:c r="C1150" s="31" t="n">
        <x:v>350521</x:v>
      </x:c>
      <x:c r="D1150" s="22" t="str">
        <x:v>惠安县</x:v>
      </x:c>
      <x:c r="E1150" s="22" t="str">
        <x:v>建设用地</x:v>
      </x:c>
      <x:c r="F1150" s="22" t="str">
        <x:v>工矿仓储用地</x:v>
      </x:c>
      <x:c r="G1150" s="32" t="str">
        <x:v>508</x:v>
      </x:c>
      <x:c r="H1150" s="32" t="str">
        <x:v>508</x:v>
      </x:c>
      <x:c r="I1150" s="22" t="str">
        <x:v>物流仓储用地</x:v>
      </x:c>
      <x:c r="J1150" s="22" t="str">
        <x:v>产业功能</x:v>
      </x:c>
      <x:c r="K1150" s="32" t="str">
        <x:v>203</x:v>
      </x:c>
      <x:c r="L1150" s="22" t="str">
        <x:v>村庄范围</x:v>
      </x:c>
      <x:c r="M1150" s="33" t="n">
        <x:v>441207.6000000001</x:v>
      </x:c>
      <x:c r="N1150" s="33" t="n">
        <x:v>44.12076000000001</x:v>
      </x:c>
      <x:c r="O1150" s="22" t="str">
        <x:v>公顷</x:v>
      </x:c>
      <x:c r="P1150" s="22" t="str">
        <x:v>未提供（单期横截面）</x:v>
      </x:c>
      <x:c r="Q1150" s="23" t="n">
        <x:v>4129</x:v>
      </x:c>
    </x:row>
    <x:row r="1151">
      <x:c r="A1151" s="30" t="n">
        <x:v>350500</x:v>
      </x:c>
      <x:c r="B1151" s="22" t="str">
        <x:v>泉州市</x:v>
      </x:c>
      <x:c r="C1151" s="31" t="n">
        <x:v>350521</x:v>
      </x:c>
      <x:c r="D1151" s="22" t="str">
        <x:v>惠安县</x:v>
      </x:c>
      <x:c r="E1151" s="22" t="str">
        <x:v>建设用地</x:v>
      </x:c>
      <x:c r="F1151" s="22" t="str">
        <x:v>商业服务业用地</x:v>
      </x:c>
      <x:c r="G1151" s="32" t="str">
        <x:v>05H1</x:v>
      </x:c>
      <x:c r="H1151" s="32" t="str">
        <x:v>05H1</x:v>
      </x:c>
      <x:c r="I1151" s="22" t="str">
        <x:v>商业服务业设施用地</x:v>
      </x:c>
      <x:c r="J1151" s="22" t="str">
        <x:v>商业服务</x:v>
      </x:c>
      <x:c r="K1151" s="32" t="str">
        <x:v>203</x:v>
      </x:c>
      <x:c r="L1151" s="22" t="str">
        <x:v>村庄范围</x:v>
      </x:c>
      <x:c r="M1151" s="33" t="n">
        <x:v>2297193.690000002</x:v>
      </x:c>
      <x:c r="N1151" s="33" t="n">
        <x:v>229.71936900000017</x:v>
      </x:c>
      <x:c r="O1151" s="22" t="str">
        <x:v>公顷</x:v>
      </x:c>
      <x:c r="P1151" s="22" t="str">
        <x:v>未提供（单期横截面）</x:v>
      </x:c>
      <x:c r="Q1151" s="23" t="n">
        <x:v>4130</x:v>
      </x:c>
    </x:row>
    <x:row r="1152">
      <x:c r="A1152" s="30" t="n">
        <x:v>350500</x:v>
      </x:c>
      <x:c r="B1152" s="22" t="str">
        <x:v>泉州市</x:v>
      </x:c>
      <x:c r="C1152" s="31" t="n">
        <x:v>350521</x:v>
      </x:c>
      <x:c r="D1152" s="22" t="str">
        <x:v>惠安县</x:v>
      </x:c>
      <x:c r="E1152" s="22" t="str">
        <x:v>建设用地</x:v>
      </x:c>
      <x:c r="F1152" s="22" t="str">
        <x:v>工矿仓储用地</x:v>
      </x:c>
      <x:c r="G1152" s="32" t="str">
        <x:v>601</x:v>
      </x:c>
      <x:c r="H1152" s="32" t="str">
        <x:v>601</x:v>
      </x:c>
      <x:c r="I1152" s="22" t="str">
        <x:v>工业用地</x:v>
      </x:c>
      <x:c r="J1152" s="22" t="str">
        <x:v>产业功能</x:v>
      </x:c>
      <x:c r="K1152" s="32" t="str">
        <x:v>203</x:v>
      </x:c>
      <x:c r="L1152" s="22" t="str">
        <x:v>村庄范围</x:v>
      </x:c>
      <x:c r="M1152" s="33" t="n">
        <x:v>15675441.480000008</x:v>
      </x:c>
      <x:c r="N1152" s="33" t="n">
        <x:v>1567.5441480000009</x:v>
      </x:c>
      <x:c r="O1152" s="22" t="str">
        <x:v>公顷</x:v>
      </x:c>
      <x:c r="P1152" s="22" t="str">
        <x:v>未提供（单期横截面）</x:v>
      </x:c>
      <x:c r="Q1152" s="23" t="n">
        <x:v>4131</x:v>
      </x:c>
    </x:row>
    <x:row r="1153">
      <x:c r="A1153" s="30" t="n">
        <x:v>350500</x:v>
      </x:c>
      <x:c r="B1153" s="22" t="str">
        <x:v>泉州市</x:v>
      </x:c>
      <x:c r="C1153" s="31" t="n">
        <x:v>350521</x:v>
      </x:c>
      <x:c r="D1153" s="22" t="str">
        <x:v>惠安县</x:v>
      </x:c>
      <x:c r="E1153" s="22" t="str">
        <x:v>建设用地</x:v>
      </x:c>
      <x:c r="F1153" s="22" t="str">
        <x:v>工矿仓储用地</x:v>
      </x:c>
      <x:c r="G1153" s="32" t="str">
        <x:v>602</x:v>
      </x:c>
      <x:c r="H1153" s="32" t="str">
        <x:v>602</x:v>
      </x:c>
      <x:c r="I1153" s="22" t="str">
        <x:v>采矿用地</x:v>
      </x:c>
      <x:c r="J1153" s="22" t="str">
        <x:v>产业功能</x:v>
      </x:c>
      <x:c r="K1153" s="32" t="str">
        <x:v>203</x:v>
      </x:c>
      <x:c r="L1153" s="22" t="str">
        <x:v>村庄范围</x:v>
      </x:c>
      <x:c r="M1153" s="33" t="n">
        <x:v>311023.25</x:v>
      </x:c>
      <x:c r="N1153" s="33" t="n">
        <x:v>31.102325</x:v>
      </x:c>
      <x:c r="O1153" s="22" t="str">
        <x:v>公顷</x:v>
      </x:c>
      <x:c r="P1153" s="22" t="str">
        <x:v>未提供（单期横截面）</x:v>
      </x:c>
      <x:c r="Q1153" s="23" t="n">
        <x:v>4132</x:v>
      </x:c>
    </x:row>
    <x:row r="1154">
      <x:c r="A1154" s="30" t="n">
        <x:v>350500</x:v>
      </x:c>
      <x:c r="B1154" s="22" t="str">
        <x:v>泉州市</x:v>
      </x:c>
      <x:c r="C1154" s="31" t="n">
        <x:v>350521</x:v>
      </x:c>
      <x:c r="D1154" s="22" t="str">
        <x:v>惠安县</x:v>
      </x:c>
      <x:c r="E1154" s="22" t="str">
        <x:v>建设用地</x:v>
      </x:c>
      <x:c r="F1154" s="22" t="str">
        <x:v>居住用地</x:v>
      </x:c>
      <x:c r="G1154" s="32" t="str">
        <x:v>701</x:v>
      </x:c>
      <x:c r="H1154" s="32" t="str">
        <x:v>701</x:v>
      </x:c>
      <x:c r="I1154" s="22" t="str">
        <x:v>城镇住宅用地</x:v>
      </x:c>
      <x:c r="J1154" s="22" t="str">
        <x:v>居住功能</x:v>
      </x:c>
      <x:c r="K1154" s="32" t="str">
        <x:v>203</x:v>
      </x:c>
      <x:c r="L1154" s="22" t="str">
        <x:v>村庄范围</x:v>
      </x:c>
      <x:c r="M1154" s="33" t="n">
        <x:v>383418.33</x:v>
      </x:c>
      <x:c r="N1154" s="33" t="n">
        <x:v>38.341833</x:v>
      </x:c>
      <x:c r="O1154" s="22" t="str">
        <x:v>公顷</x:v>
      </x:c>
      <x:c r="P1154" s="22" t="str">
        <x:v>未提供（单期横截面）</x:v>
      </x:c>
      <x:c r="Q1154" s="23" t="n">
        <x:v>4133</x:v>
      </x:c>
    </x:row>
    <x:row r="1155">
      <x:c r="A1155" s="30" t="n">
        <x:v>350500</x:v>
      </x:c>
      <x:c r="B1155" s="22" t="str">
        <x:v>泉州市</x:v>
      </x:c>
      <x:c r="C1155" s="31" t="n">
        <x:v>350521</x:v>
      </x:c>
      <x:c r="D1155" s="22" t="str">
        <x:v>惠安县</x:v>
      </x:c>
      <x:c r="E1155" s="22" t="str">
        <x:v>建设用地</x:v>
      </x:c>
      <x:c r="F1155" s="22" t="str">
        <x:v>居住用地</x:v>
      </x:c>
      <x:c r="G1155" s="32" t="str">
        <x:v>702</x:v>
      </x:c>
      <x:c r="H1155" s="32" t="str">
        <x:v>702</x:v>
      </x:c>
      <x:c r="I1155" s="22" t="str">
        <x:v>农村宅基地</x:v>
      </x:c>
      <x:c r="J1155" s="22" t="str">
        <x:v>居住功能</x:v>
      </x:c>
      <x:c r="K1155" s="32" t="str">
        <x:v>203</x:v>
      </x:c>
      <x:c r="L1155" s="22" t="str">
        <x:v>村庄范围</x:v>
      </x:c>
      <x:c r="M1155" s="33" t="n">
        <x:v>95847561.44000022</x:v>
      </x:c>
      <x:c r="N1155" s="33" t="n">
        <x:v>9584.756144000023</x:v>
      </x:c>
      <x:c r="O1155" s="22" t="str">
        <x:v>公顷</x:v>
      </x:c>
      <x:c r="P1155" s="22" t="str">
        <x:v>未提供（单期横截面）</x:v>
      </x:c>
      <x:c r="Q1155" s="23" t="n">
        <x:v>4134</x:v>
      </x:c>
    </x:row>
    <x:row r="1156">
      <x:c r="A1156" s="30" t="n">
        <x:v>350500</x:v>
      </x:c>
      <x:c r="B1156" s="22" t="str">
        <x:v>泉州市</x:v>
      </x:c>
      <x:c r="C1156" s="31" t="n">
        <x:v>350521</x:v>
      </x:c>
      <x:c r="D1156" s="22" t="str">
        <x:v>惠安县</x:v>
      </x:c>
      <x:c r="E1156" s="22" t="str">
        <x:v>建设用地</x:v>
      </x:c>
      <x:c r="F1156" s="22" t="str">
        <x:v>公用设施用地</x:v>
      </x:c>
      <x:c r="G1156" s="32" t="str">
        <x:v>809</x:v>
      </x:c>
      <x:c r="H1156" s="32" t="str">
        <x:v>809</x:v>
      </x:c>
      <x:c r="I1156" s="22" t="str">
        <x:v>公用设施用地</x:v>
      </x:c>
      <x:c r="J1156" s="22" t="str">
        <x:v>其他建设</x:v>
      </x:c>
      <x:c r="K1156" s="32" t="str">
        <x:v>203</x:v>
      </x:c>
      <x:c r="L1156" s="22" t="str">
        <x:v>村庄范围</x:v>
      </x:c>
      <x:c r="M1156" s="33" t="n">
        <x:v>1067940.8500000008</x:v>
      </x:c>
      <x:c r="N1156" s="33" t="n">
        <x:v>106.79408500000008</x:v>
      </x:c>
      <x:c r="O1156" s="22" t="str">
        <x:v>公顷</x:v>
      </x:c>
      <x:c r="P1156" s="22" t="str">
        <x:v>未提供（单期横截面）</x:v>
      </x:c>
      <x:c r="Q1156" s="23" t="n">
        <x:v>4135</x:v>
      </x:c>
    </x:row>
    <x:row r="1157">
      <x:c r="A1157" s="30" t="n">
        <x:v>350500</x:v>
      </x:c>
      <x:c r="B1157" s="22" t="str">
        <x:v>泉州市</x:v>
      </x:c>
      <x:c r="C1157" s="31" t="n">
        <x:v>350521</x:v>
      </x:c>
      <x:c r="D1157" s="22" t="str">
        <x:v>惠安县</x:v>
      </x:c>
      <x:c r="E1157" s="22" t="str">
        <x:v>建设用地</x:v>
      </x:c>
      <x:c r="F1157" s="22" t="str">
        <x:v>绿地与广场用地</x:v>
      </x:c>
      <x:c r="G1157" s="32" t="str">
        <x:v>810</x:v>
      </x:c>
      <x:c r="H1157" s="32" t="str">
        <x:v>810</x:v>
      </x:c>
      <x:c r="I1157" s="22" t="str">
        <x:v>公园与绿地</x:v>
      </x:c>
      <x:c r="J1157" s="22" t="str">
        <x:v>公共空间</x:v>
      </x:c>
      <x:c r="K1157" s="32" t="str">
        <x:v>203</x:v>
      </x:c>
      <x:c r="L1157" s="22" t="str">
        <x:v>村庄范围</x:v>
      </x:c>
      <x:c r="M1157" s="33" t="n">
        <x:v>2373703.21</x:v>
      </x:c>
      <x:c r="N1157" s="33" t="n">
        <x:v>237.370321</x:v>
      </x:c>
      <x:c r="O1157" s="22" t="str">
        <x:v>公顷</x:v>
      </x:c>
      <x:c r="P1157" s="22" t="str">
        <x:v>未提供（单期横截面）</x:v>
      </x:c>
      <x:c r="Q1157" s="23" t="n">
        <x:v>4136</x:v>
      </x:c>
    </x:row>
    <x:row r="1158">
      <x:c r="A1158" s="30" t="n">
        <x:v>350500</x:v>
      </x:c>
      <x:c r="B1158" s="22" t="str">
        <x:v>泉州市</x:v>
      </x:c>
      <x:c r="C1158" s="31" t="n">
        <x:v>350521</x:v>
      </x:c>
      <x:c r="D1158" s="22" t="str">
        <x:v>惠安县</x:v>
      </x:c>
      <x:c r="E1158" s="22" t="str">
        <x:v>建设用地</x:v>
      </x:c>
      <x:c r="F1158" s="22" t="str">
        <x:v>绿地与广场用地</x:v>
      </x:c>
      <x:c r="G1158" s="32" t="str">
        <x:v>0810A</x:v>
      </x:c>
      <x:c r="H1158" s="32" t="str">
        <x:v>0810</x:v>
      </x:c>
      <x:c r="I1158" s="22" t="str">
        <x:v>广场用地</x:v>
      </x:c>
      <x:c r="J1158" s="22" t="str">
        <x:v>公共空间</x:v>
      </x:c>
      <x:c r="K1158" s="32" t="str">
        <x:v>203</x:v>
      </x:c>
      <x:c r="L1158" s="22" t="str">
        <x:v>村庄范围</x:v>
      </x:c>
      <x:c r="M1158" s="33" t="n">
        <x:v>22214.690000000002</x:v>
      </x:c>
      <x:c r="N1158" s="33" t="n">
        <x:v>2.2214690000000004</x:v>
      </x:c>
      <x:c r="O1158" s="22" t="str">
        <x:v>公顷</x:v>
      </x:c>
      <x:c r="P1158" s="22" t="str">
        <x:v>未提供（单期横截面）</x:v>
      </x:c>
      <x:c r="Q1158" s="23" t="n">
        <x:v>4137</x:v>
      </x:c>
    </x:row>
    <x:row r="1159">
      <x:c r="A1159" s="30" t="n">
        <x:v>350500</x:v>
      </x:c>
      <x:c r="B1159" s="22" t="str">
        <x:v>泉州市</x:v>
      </x:c>
      <x:c r="C1159" s="31" t="n">
        <x:v>350521</x:v>
      </x:c>
      <x:c r="D1159" s="22" t="str">
        <x:v>惠安县</x:v>
      </x:c>
      <x:c r="E1159" s="22" t="str">
        <x:v>建设用地</x:v>
      </x:c>
      <x:c r="F1159" s="22" t="str">
        <x:v>公共管理与公共服务用地</x:v>
      </x:c>
      <x:c r="G1159" s="32" t="str">
        <x:v>08H1</x:v>
      </x:c>
      <x:c r="H1159" s="32" t="str">
        <x:v>08H1</x:v>
      </x:c>
      <x:c r="I1159" s="22" t="str">
        <x:v>机关团体新闻出版用地</x:v>
      </x:c>
      <x:c r="J1159" s="22" t="str">
        <x:v>公共服务</x:v>
      </x:c>
      <x:c r="K1159" s="32" t="str">
        <x:v>203</x:v>
      </x:c>
      <x:c r="L1159" s="22" t="str">
        <x:v>村庄范围</x:v>
      </x:c>
      <x:c r="M1159" s="33" t="n">
        <x:v>889965.0400000003</x:v>
      </x:c>
      <x:c r="N1159" s="33" t="n">
        <x:v>88.99650400000003</x:v>
      </x:c>
      <x:c r="O1159" s="22" t="str">
        <x:v>公顷</x:v>
      </x:c>
      <x:c r="P1159" s="22" t="str">
        <x:v>未提供（单期横截面）</x:v>
      </x:c>
      <x:c r="Q1159" s="23" t="n">
        <x:v>4138</x:v>
      </x:c>
    </x:row>
    <x:row r="1160">
      <x:c r="A1160" s="30" t="n">
        <x:v>350500</x:v>
      </x:c>
      <x:c r="B1160" s="22" t="str">
        <x:v>泉州市</x:v>
      </x:c>
      <x:c r="C1160" s="31" t="n">
        <x:v>350521</x:v>
      </x:c>
      <x:c r="D1160" s="22" t="str">
        <x:v>惠安县</x:v>
      </x:c>
      <x:c r="E1160" s="22" t="str">
        <x:v>建设用地</x:v>
      </x:c>
      <x:c r="F1160" s="22" t="str">
        <x:v>公共管理与公共服务用地</x:v>
      </x:c>
      <x:c r="G1160" s="32" t="str">
        <x:v>08H2</x:v>
      </x:c>
      <x:c r="H1160" s="32" t="str">
        <x:v>08H2</x:v>
      </x:c>
      <x:c r="I1160" s="22" t="str">
        <x:v>科教文卫用地</x:v>
      </x:c>
      <x:c r="J1160" s="22" t="str">
        <x:v>公共服务</x:v>
      </x:c>
      <x:c r="K1160" s="32" t="str">
        <x:v>203</x:v>
      </x:c>
      <x:c r="L1160" s="22" t="str">
        <x:v>村庄范围</x:v>
      </x:c>
      <x:c r="M1160" s="33" t="n">
        <x:v>3937866.8699999964</x:v>
      </x:c>
      <x:c r="N1160" s="33" t="n">
        <x:v>393.78668699999963</x:v>
      </x:c>
      <x:c r="O1160" s="22" t="str">
        <x:v>公顷</x:v>
      </x:c>
      <x:c r="P1160" s="22" t="str">
        <x:v>未提供（单期横截面）</x:v>
      </x:c>
      <x:c r="Q1160" s="23" t="n">
        <x:v>4139</x:v>
      </x:c>
    </x:row>
    <x:row r="1161">
      <x:c r="A1161" s="30" t="n">
        <x:v>350500</x:v>
      </x:c>
      <x:c r="B1161" s="22" t="str">
        <x:v>泉州市</x:v>
      </x:c>
      <x:c r="C1161" s="31" t="n">
        <x:v>350521</x:v>
      </x:c>
      <x:c r="D1161" s="22" t="str">
        <x:v>惠安县</x:v>
      </x:c>
      <x:c r="E1161" s="22" t="str">
        <x:v>建设用地</x:v>
      </x:c>
      <x:c r="F1161" s="22" t="str">
        <x:v>公共管理与公共服务用地</x:v>
      </x:c>
      <x:c r="G1161" s="32" t="str">
        <x:v>08H2A</x:v>
      </x:c>
      <x:c r="H1161" s="32" t="str">
        <x:v>08H2</x:v>
      </x:c>
      <x:c r="I1161" s="22" t="str">
        <x:v>高教用地</x:v>
      </x:c>
      <x:c r="J1161" s="22" t="str">
        <x:v>公共服务</x:v>
      </x:c>
      <x:c r="K1161" s="32" t="str">
        <x:v>203</x:v>
      </x:c>
      <x:c r="L1161" s="22" t="str">
        <x:v>村庄范围</x:v>
      </x:c>
      <x:c r="M1161" s="33" t="n">
        <x:v>268600.72</x:v>
      </x:c>
      <x:c r="N1161" s="33" t="n">
        <x:v>26.860072</x:v>
      </x:c>
      <x:c r="O1161" s="22" t="str">
        <x:v>公顷</x:v>
      </x:c>
      <x:c r="P1161" s="22" t="str">
        <x:v>未提供（单期横截面）</x:v>
      </x:c>
      <x:c r="Q1161" s="23" t="n">
        <x:v>4140</x:v>
      </x:c>
    </x:row>
    <x:row r="1162">
      <x:c r="A1162" s="30" t="n">
        <x:v>350500</x:v>
      </x:c>
      <x:c r="B1162" s="22" t="str">
        <x:v>泉州市</x:v>
      </x:c>
      <x:c r="C1162" s="31" t="n">
        <x:v>350521</x:v>
      </x:c>
      <x:c r="D1162" s="22" t="str">
        <x:v>惠安县</x:v>
      </x:c>
      <x:c r="E1162" s="22" t="str">
        <x:v>建设用地</x:v>
      </x:c>
      <x:c r="F1162" s="22" t="str">
        <x:v>特殊用地</x:v>
      </x:c>
      <x:c r="G1162" s="32" t="str">
        <x:v>9</x:v>
      </x:c>
      <x:c r="H1162" s="32" t="str">
        <x:v>9</x:v>
      </x:c>
      <x:c r="I1162" s="22" t="str">
        <x:v>特殊用地</x:v>
      </x:c>
      <x:c r="J1162" s="22" t="str">
        <x:v>其他建设</x:v>
      </x:c>
      <x:c r="K1162" s="32" t="str">
        <x:v>203</x:v>
      </x:c>
      <x:c r="L1162" s="22" t="str">
        <x:v>村庄范围</x:v>
      </x:c>
      <x:c r="M1162" s="33" t="n">
        <x:v>709757.29</x:v>
      </x:c>
      <x:c r="N1162" s="33" t="n">
        <x:v>70.975729</x:v>
      </x:c>
      <x:c r="O1162" s="22" t="str">
        <x:v>公顷</x:v>
      </x:c>
      <x:c r="P1162" s="22" t="str">
        <x:v>未提供（单期横截面）</x:v>
      </x:c>
      <x:c r="Q1162" s="23" t="n">
        <x:v>4141</x:v>
      </x:c>
    </x:row>
    <x:row r="1163">
      <x:c r="A1163" s="30" t="n">
        <x:v>350500</x:v>
      </x:c>
      <x:c r="B1163" s="22" t="str">
        <x:v>泉州市</x:v>
      </x:c>
      <x:c r="C1163" s="31" t="n">
        <x:v>350521</x:v>
      </x:c>
      <x:c r="D1163" s="22" t="str">
        <x:v>惠安县</x:v>
      </x:c>
      <x:c r="E1163" s="22" t="str">
        <x:v>建设用地</x:v>
      </x:c>
      <x:c r="F1163" s="22" t="str">
        <x:v>交通运输用地</x:v>
      </x:c>
      <x:c r="G1163" s="32" t="str">
        <x:v>1001</x:v>
      </x:c>
      <x:c r="H1163" s="32" t="str">
        <x:v>1001</x:v>
      </x:c>
      <x:c r="I1163" s="22" t="str">
        <x:v>铁路用地</x:v>
      </x:c>
      <x:c r="J1163" s="22" t="str">
        <x:v>交通门户</x:v>
      </x:c>
      <x:c r="K1163" s="32" t="str">
        <x:v>203</x:v>
      </x:c>
      <x:c r="L1163" s="22" t="str">
        <x:v>村庄范围</x:v>
      </x:c>
      <x:c r="M1163" s="33" t="n">
        <x:v>6012.0199999999995</x:v>
      </x:c>
      <x:c r="N1163" s="33" t="n">
        <x:v>0.6012019999999999</x:v>
      </x:c>
      <x:c r="O1163" s="22" t="str">
        <x:v>公顷</x:v>
      </x:c>
      <x:c r="P1163" s="22" t="str">
        <x:v>未提供（单期横截面）</x:v>
      </x:c>
      <x:c r="Q1163" s="23" t="n">
        <x:v>4142</x:v>
      </x:c>
    </x:row>
    <x:row r="1164">
      <x:c r="A1164" s="30" t="n">
        <x:v>350500</x:v>
      </x:c>
      <x:c r="B1164" s="22" t="str">
        <x:v>泉州市</x:v>
      </x:c>
      <x:c r="C1164" s="31" t="n">
        <x:v>350521</x:v>
      </x:c>
      <x:c r="D1164" s="22" t="str">
        <x:v>惠安县</x:v>
      </x:c>
      <x:c r="E1164" s="22" t="str">
        <x:v>建设用地</x:v>
      </x:c>
      <x:c r="F1164" s="22" t="str">
        <x:v>交通运输用地</x:v>
      </x:c>
      <x:c r="G1164" s="32" t="str">
        <x:v>1003</x:v>
      </x:c>
      <x:c r="H1164" s="32" t="str">
        <x:v>1003</x:v>
      </x:c>
      <x:c r="I1164" s="22" t="str">
        <x:v>公路用地</x:v>
      </x:c>
      <x:c r="J1164" s="22" t="str">
        <x:v>交通门户</x:v>
      </x:c>
      <x:c r="K1164" s="32" t="str">
        <x:v>203</x:v>
      </x:c>
      <x:c r="L1164" s="22" t="str">
        <x:v>村庄范围</x:v>
      </x:c>
      <x:c r="M1164" s="33" t="n">
        <x:v>5498.29</x:v>
      </x:c>
      <x:c r="N1164" s="33" t="n">
        <x:v>0.549829</x:v>
      </x:c>
      <x:c r="O1164" s="22" t="str">
        <x:v>公顷</x:v>
      </x:c>
      <x:c r="P1164" s="22" t="str">
        <x:v>未提供（单期横截面）</x:v>
      </x:c>
      <x:c r="Q1164" s="23" t="n">
        <x:v>4143</x:v>
      </x:c>
    </x:row>
    <x:row r="1165">
      <x:c r="A1165" s="30" t="n">
        <x:v>350500</x:v>
      </x:c>
      <x:c r="B1165" s="22" t="str">
        <x:v>泉州市</x:v>
      </x:c>
      <x:c r="C1165" s="31" t="n">
        <x:v>350521</x:v>
      </x:c>
      <x:c r="D1165" s="22" t="str">
        <x:v>惠安县</x:v>
      </x:c>
      <x:c r="E1165" s="22" t="str">
        <x:v>建设用地</x:v>
      </x:c>
      <x:c r="F1165" s="22" t="str">
        <x:v>交通运输用地</x:v>
      </x:c>
      <x:c r="G1165" s="32" t="str">
        <x:v>1004</x:v>
      </x:c>
      <x:c r="H1165" s="32" t="str">
        <x:v>1004</x:v>
      </x:c>
      <x:c r="I1165" s="22" t="str">
        <x:v>城镇村道路用地</x:v>
      </x:c>
      <x:c r="J1165" s="22" t="str">
        <x:v>交通门户</x:v>
      </x:c>
      <x:c r="K1165" s="32" t="str">
        <x:v>203</x:v>
      </x:c>
      <x:c r="L1165" s="22" t="str">
        <x:v>村庄范围</x:v>
      </x:c>
      <x:c r="M1165" s="33" t="n">
        <x:v>3483006.280000001</x:v>
      </x:c>
      <x:c r="N1165" s="33" t="n">
        <x:v>348.30062800000013</x:v>
      </x:c>
      <x:c r="O1165" s="22" t="str">
        <x:v>公顷</x:v>
      </x:c>
      <x:c r="P1165" s="22" t="str">
        <x:v>未提供（单期横截面）</x:v>
      </x:c>
      <x:c r="Q1165" s="23" t="n">
        <x:v>4144</x:v>
      </x:c>
    </x:row>
    <x:row r="1166">
      <x:c r="A1166" s="30" t="n">
        <x:v>350500</x:v>
      </x:c>
      <x:c r="B1166" s="22" t="str">
        <x:v>泉州市</x:v>
      </x:c>
      <x:c r="C1166" s="31" t="n">
        <x:v>350521</x:v>
      </x:c>
      <x:c r="D1166" s="22" t="str">
        <x:v>惠安县</x:v>
      </x:c>
      <x:c r="E1166" s="22" t="str">
        <x:v>建设用地</x:v>
      </x:c>
      <x:c r="F1166" s="22" t="str">
        <x:v>交通运输用地</x:v>
      </x:c>
      <x:c r="G1166" s="32" t="str">
        <x:v>1005</x:v>
      </x:c>
      <x:c r="H1166" s="32" t="str">
        <x:v>1005</x:v>
      </x:c>
      <x:c r="I1166" s="22" t="str">
        <x:v>交通服务场站用地</x:v>
      </x:c>
      <x:c r="J1166" s="22" t="str">
        <x:v>交通门户</x:v>
      </x:c>
      <x:c r="K1166" s="32" t="str">
        <x:v>203</x:v>
      </x:c>
      <x:c r="L1166" s="22" t="str">
        <x:v>村庄范围</x:v>
      </x:c>
      <x:c r="M1166" s="33" t="n">
        <x:v>415503.19000000024</x:v>
      </x:c>
      <x:c r="N1166" s="33" t="n">
        <x:v>41.55031900000002</x:v>
      </x:c>
      <x:c r="O1166" s="22" t="str">
        <x:v>公顷</x:v>
      </x:c>
      <x:c r="P1166" s="22" t="str">
        <x:v>未提供（单期横截面）</x:v>
      </x:c>
      <x:c r="Q1166" s="23" t="n">
        <x:v>4145</x:v>
      </x:c>
    </x:row>
    <x:row r="1167">
      <x:c r="A1167" s="30" t="n">
        <x:v>350500</x:v>
      </x:c>
      <x:c r="B1167" s="22" t="str">
        <x:v>泉州市</x:v>
      </x:c>
      <x:c r="C1167" s="31" t="n">
        <x:v>350521</x:v>
      </x:c>
      <x:c r="D1167" s="22" t="str">
        <x:v>惠安县</x:v>
      </x:c>
      <x:c r="E1167" s="22" t="str">
        <x:v>建设用地</x:v>
      </x:c>
      <x:c r="F1167" s="22" t="str">
        <x:v>交通运输用地</x:v>
      </x:c>
      <x:c r="G1167" s="32" t="str">
        <x:v>1008</x:v>
      </x:c>
      <x:c r="H1167" s="32" t="str">
        <x:v>1008</x:v>
      </x:c>
      <x:c r="I1167" s="22" t="str">
        <x:v>港口码头用地</x:v>
      </x:c>
      <x:c r="J1167" s="22" t="str">
        <x:v>交通门户</x:v>
      </x:c>
      <x:c r="K1167" s="32" t="str">
        <x:v>203</x:v>
      </x:c>
      <x:c r="L1167" s="22" t="str">
        <x:v>村庄范围</x:v>
      </x:c>
      <x:c r="M1167" s="33" t="n">
        <x:v>1312769.19</x:v>
      </x:c>
      <x:c r="N1167" s="33" t="n">
        <x:v>131.276919</x:v>
      </x:c>
      <x:c r="O1167" s="22" t="str">
        <x:v>公顷</x:v>
      </x:c>
      <x:c r="P1167" s="22" t="str">
        <x:v>未提供（单期横截面）</x:v>
      </x:c>
      <x:c r="Q1167" s="23" t="n">
        <x:v>4146</x:v>
      </x:c>
    </x:row>
    <x:row r="1168">
      <x:c r="A1168" s="30" t="n">
        <x:v>350500</x:v>
      </x:c>
      <x:c r="B1168" s="22" t="str">
        <x:v>泉州市</x:v>
      </x:c>
      <x:c r="C1168" s="31" t="n">
        <x:v>350521</x:v>
      </x:c>
      <x:c r="D1168" s="22" t="str">
        <x:v>惠安县</x:v>
      </x:c>
      <x:c r="E1168" s="22" t="str">
        <x:v>建设用地</x:v>
      </x:c>
      <x:c r="F1168" s="22" t="str">
        <x:v>水域及水利设施</x:v>
      </x:c>
      <x:c r="G1168" s="32" t="str">
        <x:v>1109</x:v>
      </x:c>
      <x:c r="H1168" s="32" t="str">
        <x:v>1109</x:v>
      </x:c>
      <x:c r="I1168" s="22" t="str">
        <x:v>水工建筑用地</x:v>
      </x:c>
      <x:c r="J1168" s="22" t="str">
        <x:v>其他建设</x:v>
      </x:c>
      <x:c r="K1168" s="32" t="str">
        <x:v>203</x:v>
      </x:c>
      <x:c r="L1168" s="22" t="str">
        <x:v>村庄范围</x:v>
      </x:c>
      <x:c r="M1168" s="33" t="n">
        <x:v>12798.48</x:v>
      </x:c>
      <x:c r="N1168" s="33" t="n">
        <x:v>1.2798479999999999</x:v>
      </x:c>
      <x:c r="O1168" s="22" t="str">
        <x:v>公顷</x:v>
      </x:c>
      <x:c r="P1168" s="22" t="str">
        <x:v>未提供（单期横截面）</x:v>
      </x:c>
      <x:c r="Q1168" s="23" t="n">
        <x:v>4147</x:v>
      </x:c>
    </x:row>
    <x:row r="1169">
      <x:c r="A1169" s="30" t="n">
        <x:v>350500</x:v>
      </x:c>
      <x:c r="B1169" s="22" t="str">
        <x:v>泉州市</x:v>
      </x:c>
      <x:c r="C1169" s="31" t="n">
        <x:v>350521</x:v>
      </x:c>
      <x:c r="D1169" s="22" t="str">
        <x:v>惠安县</x:v>
      </x:c>
      <x:c r="E1169" s="22" t="str">
        <x:v>建设用地</x:v>
      </x:c>
      <x:c r="F1169" s="22" t="str">
        <x:v>其他建设用地</x:v>
      </x:c>
      <x:c r="G1169" s="32" t="str">
        <x:v>1201</x:v>
      </x:c>
      <x:c r="H1169" s="32" t="str">
        <x:v>1201</x:v>
      </x:c>
      <x:c r="I1169" s="22" t="str">
        <x:v>空闲地</x:v>
      </x:c>
      <x:c r="J1169" s="22" t="str">
        <x:v>其他建设</x:v>
      </x:c>
      <x:c r="K1169" s="32" t="str">
        <x:v>203</x:v>
      </x:c>
      <x:c r="L1169" s="22" t="str">
        <x:v>村庄范围</x:v>
      </x:c>
      <x:c r="M1169" s="33" t="n">
        <x:v>26962.219999999998</x:v>
      </x:c>
      <x:c r="N1169" s="33" t="n">
        <x:v>2.6962219999999997</x:v>
      </x:c>
      <x:c r="O1169" s="22" t="str">
        <x:v>公顷</x:v>
      </x:c>
      <x:c r="P1169" s="22" t="str">
        <x:v>未提供（单期横截面）</x:v>
      </x:c>
      <x:c r="Q1169" s="23" t="n">
        <x:v>4148</x:v>
      </x:c>
    </x:row>
    <x:row r="1170">
      <x:c r="A1170" s="30" t="n">
        <x:v>350500</x:v>
      </x:c>
      <x:c r="B1170" s="22" t="str">
        <x:v>泉州市</x:v>
      </x:c>
      <x:c r="C1170" s="31" t="n">
        <x:v>350521</x:v>
      </x:c>
      <x:c r="D1170" s="22" t="str">
        <x:v>惠安县</x:v>
      </x:c>
      <x:c r="E1170" s="22" t="str">
        <x:v>建设用地</x:v>
      </x:c>
      <x:c r="F1170" s="22" t="str">
        <x:v>工矿仓储用地</x:v>
      </x:c>
      <x:c r="G1170" s="32" t="str">
        <x:v>601</x:v>
      </x:c>
      <x:c r="H1170" s="32" t="str">
        <x:v>601</x:v>
      </x:c>
      <x:c r="I1170" s="22" t="str">
        <x:v>工业用地</x:v>
      </x:c>
      <x:c r="J1170" s="22" t="str">
        <x:v>产业功能</x:v>
      </x:c>
      <x:c r="K1170" s="32" t="str">
        <x:v>203A</x:v>
      </x:c>
      <x:c r="L1170" s="22" t="str">
        <x:v>村庄独立工业用地</x:v>
      </x:c>
      <x:c r="M1170" s="33" t="n">
        <x:v>4258437.680000002</x:v>
      </x:c>
      <x:c r="N1170" s="33" t="n">
        <x:v>425.8437680000002</x:v>
      </x:c>
      <x:c r="O1170" s="22" t="str">
        <x:v>公顷</x:v>
      </x:c>
      <x:c r="P1170" s="22" t="str">
        <x:v>未提供（单期横截面）</x:v>
      </x:c>
      <x:c r="Q1170" s="23" t="n">
        <x:v>4149</x:v>
      </x:c>
    </x:row>
    <x:row r="1171">
      <x:c r="A1171" s="30" t="n">
        <x:v>350500</x:v>
      </x:c>
      <x:c r="B1171" s="22" t="str">
        <x:v>泉州市</x:v>
      </x:c>
      <x:c r="C1171" s="31" t="n">
        <x:v>350521</x:v>
      </x:c>
      <x:c r="D1171" s="22" t="str">
        <x:v>惠安县</x:v>
      </x:c>
      <x:c r="E1171" s="22" t="str">
        <x:v>建设用地</x:v>
      </x:c>
      <x:c r="F1171" s="22" t="str">
        <x:v>工矿仓储用地</x:v>
      </x:c>
      <x:c r="G1171" s="32" t="str">
        <x:v>602</x:v>
      </x:c>
      <x:c r="H1171" s="32" t="str">
        <x:v>602</x:v>
      </x:c>
      <x:c r="I1171" s="22" t="str">
        <x:v>采矿用地</x:v>
      </x:c>
      <x:c r="J1171" s="22" t="str">
        <x:v>产业功能</x:v>
      </x:c>
      <x:c r="K1171" s="32" t="str">
        <x:v>204</x:v>
      </x:c>
      <x:c r="L1171" s="22" t="str">
        <x:v>盐田及采矿用地</x:v>
      </x:c>
      <x:c r="M1171" s="33" t="n">
        <x:v>5553757.529999996</x:v>
      </x:c>
      <x:c r="N1171" s="33" t="n">
        <x:v>555.3757529999996</x:v>
      </x:c>
      <x:c r="O1171" s="22" t="str">
        <x:v>公顷</x:v>
      </x:c>
      <x:c r="P1171" s="22" t="str">
        <x:v>未提供（单期横截面）</x:v>
      </x:c>
      <x:c r="Q1171" s="23" t="n">
        <x:v>4150</x:v>
      </x:c>
    </x:row>
    <x:row r="1172">
      <x:c r="A1172" s="30" t="n">
        <x:v>350500</x:v>
      </x:c>
      <x:c r="B1172" s="22" t="str">
        <x:v>泉州市</x:v>
      </x:c>
      <x:c r="C1172" s="31" t="n">
        <x:v>350521</x:v>
      </x:c>
      <x:c r="D1172" s="22" t="str">
        <x:v>惠安县</x:v>
      </x:c>
      <x:c r="E1172" s="22" t="str">
        <x:v>建设用地</x:v>
      </x:c>
      <x:c r="F1172" s="22" t="str">
        <x:v>工矿仓储用地</x:v>
      </x:c>
      <x:c r="G1172" s="32" t="str">
        <x:v>603</x:v>
      </x:c>
      <x:c r="H1172" s="32" t="str">
        <x:v>603</x:v>
      </x:c>
      <x:c r="I1172" s="22" t="str">
        <x:v>盐田</x:v>
      </x:c>
      <x:c r="J1172" s="22" t="str">
        <x:v>产业功能</x:v>
      </x:c>
      <x:c r="K1172" s="32" t="str">
        <x:v>204</x:v>
      </x:c>
      <x:c r="L1172" s="22" t="str">
        <x:v>盐田及采矿用地</x:v>
      </x:c>
      <x:c r="M1172" s="33" t="n">
        <x:v>1295215.85</x:v>
      </x:c>
      <x:c r="N1172" s="33" t="n">
        <x:v>129.52158500000002</x:v>
      </x:c>
      <x:c r="O1172" s="22" t="str">
        <x:v>公顷</x:v>
      </x:c>
      <x:c r="P1172" s="22" t="str">
        <x:v>未提供（单期横截面）</x:v>
      </x:c>
      <x:c r="Q1172" s="23" t="n">
        <x:v>4151</x:v>
      </x:c>
    </x:row>
    <x:row r="1173">
      <x:c r="A1173" s="30" t="n">
        <x:v>350500</x:v>
      </x:c>
      <x:c r="B1173" s="22" t="str">
        <x:v>泉州市</x:v>
      </x:c>
      <x:c r="C1173" s="31" t="n">
        <x:v>350521</x:v>
      </x:c>
      <x:c r="D1173" s="22" t="str">
        <x:v>惠安县</x:v>
      </x:c>
      <x:c r="E1173" s="22" t="str">
        <x:v>建设用地</x:v>
      </x:c>
      <x:c r="F1173" s="22" t="str">
        <x:v>居住用地</x:v>
      </x:c>
      <x:c r="G1173" s="32" t="str">
        <x:v>702</x:v>
      </x:c>
      <x:c r="H1173" s="32" t="str">
        <x:v>702</x:v>
      </x:c>
      <x:c r="I1173" s="22" t="str">
        <x:v>农村宅基地</x:v>
      </x:c>
      <x:c r="J1173" s="22" t="str">
        <x:v>居住功能</x:v>
      </x:c>
      <x:c r="K1173" s="32" t="str">
        <x:v>204</x:v>
      </x:c>
      <x:c r="L1173" s="22" t="str">
        <x:v>盐田及采矿用地</x:v>
      </x:c>
      <x:c r="M1173" s="33" t="n">
        <x:v>942.4300000000001</x:v>
      </x:c>
      <x:c r="N1173" s="33" t="n">
        <x:v>0.09424300000000001</x:v>
      </x:c>
      <x:c r="O1173" s="22" t="str">
        <x:v>公顷</x:v>
      </x:c>
      <x:c r="P1173" s="22" t="str">
        <x:v>未提供（单期横截面）</x:v>
      </x:c>
      <x:c r="Q1173" s="23" t="n">
        <x:v>4152</x:v>
      </x:c>
    </x:row>
    <x:row r="1174">
      <x:c r="A1174" s="30" t="n">
        <x:v>350500</x:v>
      </x:c>
      <x:c r="B1174" s="22" t="str">
        <x:v>泉州市</x:v>
      </x:c>
      <x:c r="C1174" s="31" t="n">
        <x:v>350521</x:v>
      </x:c>
      <x:c r="D1174" s="22" t="str">
        <x:v>惠安县</x:v>
      </x:c>
      <x:c r="E1174" s="22" t="str">
        <x:v>建设用地</x:v>
      </x:c>
      <x:c r="F1174" s="22" t="str">
        <x:v>特殊用地</x:v>
      </x:c>
      <x:c r="G1174" s="32" t="str">
        <x:v>9</x:v>
      </x:c>
      <x:c r="H1174" s="32" t="str">
        <x:v>9</x:v>
      </x:c>
      <x:c r="I1174" s="22" t="str">
        <x:v>特殊用地</x:v>
      </x:c>
      <x:c r="J1174" s="22" t="str">
        <x:v>其他建设</x:v>
      </x:c>
      <x:c r="K1174" s="32" t="str">
        <x:v>204</x:v>
      </x:c>
      <x:c r="L1174" s="22" t="str">
        <x:v>盐田及采矿用地</x:v>
      </x:c>
      <x:c r="M1174" s="33" t="n">
        <x:v>1308.1</x:v>
      </x:c>
      <x:c r="N1174" s="33" t="n">
        <x:v>0.13080999999999998</x:v>
      </x:c>
      <x:c r="O1174" s="22" t="str">
        <x:v>公顷</x:v>
      </x:c>
      <x:c r="P1174" s="22" t="str">
        <x:v>未提供（单期横截面）</x:v>
      </x:c>
      <x:c r="Q1174" s="23" t="n">
        <x:v>4153</x:v>
      </x:c>
    </x:row>
    <x:row r="1175">
      <x:c r="A1175" s="30" t="n">
        <x:v>350500</x:v>
      </x:c>
      <x:c r="B1175" s="22" t="str">
        <x:v>泉州市</x:v>
      </x:c>
      <x:c r="C1175" s="31" t="n">
        <x:v>350521</x:v>
      </x:c>
      <x:c r="D1175" s="22" t="str">
        <x:v>惠安县</x:v>
      </x:c>
      <x:c r="E1175" s="22" t="str">
        <x:v>建设用地</x:v>
      </x:c>
      <x:c r="F1175" s="22" t="str">
        <x:v>商业服务业用地</x:v>
      </x:c>
      <x:c r="G1175" s="32" t="str">
        <x:v>05H1</x:v>
      </x:c>
      <x:c r="H1175" s="32" t="str">
        <x:v>05H1</x:v>
      </x:c>
      <x:c r="I1175" s="22" t="str">
        <x:v>商业服务业设施用地</x:v>
      </x:c>
      <x:c r="J1175" s="22" t="str">
        <x:v>商业服务</x:v>
      </x:c>
      <x:c r="K1175" s="32" t="str">
        <x:v>205</x:v>
      </x:c>
      <x:c r="L1175" s="22" t="str">
        <x:v>特殊用地</x:v>
      </x:c>
      <x:c r="M1175" s="33" t="n">
        <x:v>4520.15</x:v>
      </x:c>
      <x:c r="N1175" s="33" t="n">
        <x:v>0.45201499999999994</x:v>
      </x:c>
      <x:c r="O1175" s="22" t="str">
        <x:v>公顷</x:v>
      </x:c>
      <x:c r="P1175" s="22" t="str">
        <x:v>未提供（单期横截面）</x:v>
      </x:c>
      <x:c r="Q1175" s="23" t="n">
        <x:v>4154</x:v>
      </x:c>
    </x:row>
    <x:row r="1176">
      <x:c r="A1176" s="30" t="n">
        <x:v>350500</x:v>
      </x:c>
      <x:c r="B1176" s="22" t="str">
        <x:v>泉州市</x:v>
      </x:c>
      <x:c r="C1176" s="31" t="n">
        <x:v>350521</x:v>
      </x:c>
      <x:c r="D1176" s="22" t="str">
        <x:v>惠安县</x:v>
      </x:c>
      <x:c r="E1176" s="22" t="str">
        <x:v>建设用地</x:v>
      </x:c>
      <x:c r="F1176" s="22" t="str">
        <x:v>工矿仓储用地</x:v>
      </x:c>
      <x:c r="G1176" s="32" t="str">
        <x:v>601</x:v>
      </x:c>
      <x:c r="H1176" s="32" t="str">
        <x:v>601</x:v>
      </x:c>
      <x:c r="I1176" s="22" t="str">
        <x:v>工业用地</x:v>
      </x:c>
      <x:c r="J1176" s="22" t="str">
        <x:v>产业功能</x:v>
      </x:c>
      <x:c r="K1176" s="32" t="str">
        <x:v>205</x:v>
      </x:c>
      <x:c r="L1176" s="22" t="str">
        <x:v>特殊用地</x:v>
      </x:c>
      <x:c r="M1176" s="33" t="n">
        <x:v>1208.83</x:v>
      </x:c>
      <x:c r="N1176" s="33" t="n">
        <x:v>0.12088299999999999</x:v>
      </x:c>
      <x:c r="O1176" s="22" t="str">
        <x:v>公顷</x:v>
      </x:c>
      <x:c r="P1176" s="22" t="str">
        <x:v>未提供（单期横截面）</x:v>
      </x:c>
      <x:c r="Q1176" s="23" t="n">
        <x:v>4155</x:v>
      </x:c>
    </x:row>
    <x:row r="1177">
      <x:c r="A1177" s="30" t="n">
        <x:v>350500</x:v>
      </x:c>
      <x:c r="B1177" s="22" t="str">
        <x:v>泉州市</x:v>
      </x:c>
      <x:c r="C1177" s="31" t="n">
        <x:v>350521</x:v>
      </x:c>
      <x:c r="D1177" s="22" t="str">
        <x:v>惠安县</x:v>
      </x:c>
      <x:c r="E1177" s="22" t="str">
        <x:v>建设用地</x:v>
      </x:c>
      <x:c r="F1177" s="22" t="str">
        <x:v>工矿仓储用地</x:v>
      </x:c>
      <x:c r="G1177" s="32" t="str">
        <x:v>602</x:v>
      </x:c>
      <x:c r="H1177" s="32" t="str">
        <x:v>602</x:v>
      </x:c>
      <x:c r="I1177" s="22" t="str">
        <x:v>采矿用地</x:v>
      </x:c>
      <x:c r="J1177" s="22" t="str">
        <x:v>产业功能</x:v>
      </x:c>
      <x:c r="K1177" s="32" t="str">
        <x:v>205</x:v>
      </x:c>
      <x:c r="L1177" s="22" t="str">
        <x:v>特殊用地</x:v>
      </x:c>
      <x:c r="M1177" s="33" t="n">
        <x:v>8707.42</x:v>
      </x:c>
      <x:c r="N1177" s="33" t="n">
        <x:v>0.870742</x:v>
      </x:c>
      <x:c r="O1177" s="22" t="str">
        <x:v>公顷</x:v>
      </x:c>
      <x:c r="P1177" s="22" t="str">
        <x:v>未提供（单期横截面）</x:v>
      </x:c>
      <x:c r="Q1177" s="23" t="n">
        <x:v>4156</x:v>
      </x:c>
    </x:row>
    <x:row r="1178">
      <x:c r="A1178" s="30" t="n">
        <x:v>350500</x:v>
      </x:c>
      <x:c r="B1178" s="22" t="str">
        <x:v>泉州市</x:v>
      </x:c>
      <x:c r="C1178" s="31" t="n">
        <x:v>350521</x:v>
      </x:c>
      <x:c r="D1178" s="22" t="str">
        <x:v>惠安县</x:v>
      </x:c>
      <x:c r="E1178" s="22" t="str">
        <x:v>建设用地</x:v>
      </x:c>
      <x:c r="F1178" s="22" t="str">
        <x:v>居住用地</x:v>
      </x:c>
      <x:c r="G1178" s="32" t="str">
        <x:v>702</x:v>
      </x:c>
      <x:c r="H1178" s="32" t="str">
        <x:v>702</x:v>
      </x:c>
      <x:c r="I1178" s="22" t="str">
        <x:v>农村宅基地</x:v>
      </x:c>
      <x:c r="J1178" s="22" t="str">
        <x:v>居住功能</x:v>
      </x:c>
      <x:c r="K1178" s="32" t="str">
        <x:v>205</x:v>
      </x:c>
      <x:c r="L1178" s="22" t="str">
        <x:v>特殊用地</x:v>
      </x:c>
      <x:c r="M1178" s="33" t="n">
        <x:v>2263.46</x:v>
      </x:c>
      <x:c r="N1178" s="33" t="n">
        <x:v>0.226346</x:v>
      </x:c>
      <x:c r="O1178" s="22" t="str">
        <x:v>公顷</x:v>
      </x:c>
      <x:c r="P1178" s="22" t="str">
        <x:v>未提供（单期横截面）</x:v>
      </x:c>
      <x:c r="Q1178" s="23" t="n">
        <x:v>4157</x:v>
      </x:c>
    </x:row>
    <x:row r="1179">
      <x:c r="A1179" s="30" t="n">
        <x:v>350500</x:v>
      </x:c>
      <x:c r="B1179" s="22" t="str">
        <x:v>泉州市</x:v>
      </x:c>
      <x:c r="C1179" s="31" t="n">
        <x:v>350521</x:v>
      </x:c>
      <x:c r="D1179" s="22" t="str">
        <x:v>惠安县</x:v>
      </x:c>
      <x:c r="E1179" s="22" t="str">
        <x:v>建设用地</x:v>
      </x:c>
      <x:c r="F1179" s="22" t="str">
        <x:v>公用设施用地</x:v>
      </x:c>
      <x:c r="G1179" s="32" t="str">
        <x:v>809</x:v>
      </x:c>
      <x:c r="H1179" s="32" t="str">
        <x:v>809</x:v>
      </x:c>
      <x:c r="I1179" s="22" t="str">
        <x:v>公用设施用地</x:v>
      </x:c>
      <x:c r="J1179" s="22" t="str">
        <x:v>其他建设</x:v>
      </x:c>
      <x:c r="K1179" s="32" t="str">
        <x:v>205</x:v>
      </x:c>
      <x:c r="L1179" s="22" t="str">
        <x:v>特殊用地</x:v>
      </x:c>
      <x:c r="M1179" s="33" t="n">
        <x:v>19177.190000000002</x:v>
      </x:c>
      <x:c r="N1179" s="33" t="n">
        <x:v>1.9177190000000002</x:v>
      </x:c>
      <x:c r="O1179" s="22" t="str">
        <x:v>公顷</x:v>
      </x:c>
      <x:c r="P1179" s="22" t="str">
        <x:v>未提供（单期横截面）</x:v>
      </x:c>
      <x:c r="Q1179" s="23" t="n">
        <x:v>4158</x:v>
      </x:c>
    </x:row>
    <x:row r="1180">
      <x:c r="A1180" s="30" t="n">
        <x:v>350500</x:v>
      </x:c>
      <x:c r="B1180" s="22" t="str">
        <x:v>泉州市</x:v>
      </x:c>
      <x:c r="C1180" s="31" t="n">
        <x:v>350521</x:v>
      </x:c>
      <x:c r="D1180" s="22" t="str">
        <x:v>惠安县</x:v>
      </x:c>
      <x:c r="E1180" s="22" t="str">
        <x:v>建设用地</x:v>
      </x:c>
      <x:c r="F1180" s="22" t="str">
        <x:v>绿地与广场用地</x:v>
      </x:c>
      <x:c r="G1180" s="32" t="str">
        <x:v>810</x:v>
      </x:c>
      <x:c r="H1180" s="32" t="str">
        <x:v>810</x:v>
      </x:c>
      <x:c r="I1180" s="22" t="str">
        <x:v>公园与绿地</x:v>
      </x:c>
      <x:c r="J1180" s="22" t="str">
        <x:v>公共空间</x:v>
      </x:c>
      <x:c r="K1180" s="32" t="str">
        <x:v>205</x:v>
      </x:c>
      <x:c r="L1180" s="22" t="str">
        <x:v>特殊用地</x:v>
      </x:c>
      <x:c r="M1180" s="33" t="n">
        <x:v>47343.76</x:v>
      </x:c>
      <x:c r="N1180" s="33" t="n">
        <x:v>4.734376</x:v>
      </x:c>
      <x:c r="O1180" s="22" t="str">
        <x:v>公顷</x:v>
      </x:c>
      <x:c r="P1180" s="22" t="str">
        <x:v>未提供（单期横截面）</x:v>
      </x:c>
      <x:c r="Q1180" s="23" t="n">
        <x:v>4159</x:v>
      </x:c>
    </x:row>
    <x:row r="1181">
      <x:c r="A1181" s="30" t="n">
        <x:v>350500</x:v>
      </x:c>
      <x:c r="B1181" s="22" t="str">
        <x:v>泉州市</x:v>
      </x:c>
      <x:c r="C1181" s="31" t="n">
        <x:v>350521</x:v>
      </x:c>
      <x:c r="D1181" s="22" t="str">
        <x:v>惠安县</x:v>
      </x:c>
      <x:c r="E1181" s="22" t="str">
        <x:v>建设用地</x:v>
      </x:c>
      <x:c r="F1181" s="22" t="str">
        <x:v>公共管理与公共服务用地</x:v>
      </x:c>
      <x:c r="G1181" s="32" t="str">
        <x:v>08H2</x:v>
      </x:c>
      <x:c r="H1181" s="32" t="str">
        <x:v>08H2</x:v>
      </x:c>
      <x:c r="I1181" s="22" t="str">
        <x:v>科教文卫用地</x:v>
      </x:c>
      <x:c r="J1181" s="22" t="str">
        <x:v>公共服务</x:v>
      </x:c>
      <x:c r="K1181" s="32" t="str">
        <x:v>205</x:v>
      </x:c>
      <x:c r="L1181" s="22" t="str">
        <x:v>特殊用地</x:v>
      </x:c>
      <x:c r="M1181" s="33" t="n">
        <x:v>1073.69</x:v>
      </x:c>
      <x:c r="N1181" s="33" t="n">
        <x:v>0.107369</x:v>
      </x:c>
      <x:c r="O1181" s="22" t="str">
        <x:v>公顷</x:v>
      </x:c>
      <x:c r="P1181" s="22" t="str">
        <x:v>未提供（单期横截面）</x:v>
      </x:c>
      <x:c r="Q1181" s="23" t="n">
        <x:v>4160</x:v>
      </x:c>
    </x:row>
    <x:row r="1182">
      <x:c r="A1182" s="30" t="n">
        <x:v>350500</x:v>
      </x:c>
      <x:c r="B1182" s="22" t="str">
        <x:v>泉州市</x:v>
      </x:c>
      <x:c r="C1182" s="31" t="n">
        <x:v>350521</x:v>
      </x:c>
      <x:c r="D1182" s="22" t="str">
        <x:v>惠安县</x:v>
      </x:c>
      <x:c r="E1182" s="22" t="str">
        <x:v>建设用地</x:v>
      </x:c>
      <x:c r="F1182" s="22" t="str">
        <x:v>特殊用地</x:v>
      </x:c>
      <x:c r="G1182" s="32" t="str">
        <x:v>9</x:v>
      </x:c>
      <x:c r="H1182" s="32" t="str">
        <x:v>9</x:v>
      </x:c>
      <x:c r="I1182" s="22" t="str">
        <x:v>特殊用地</x:v>
      </x:c>
      <x:c r="J1182" s="22" t="str">
        <x:v>其他建设</x:v>
      </x:c>
      <x:c r="K1182" s="32" t="str">
        <x:v>205</x:v>
      </x:c>
      <x:c r="L1182" s="22" t="str">
        <x:v>特殊用地</x:v>
      </x:c>
      <x:c r="M1182" s="33" t="n">
        <x:v>7443703.550000002</x:v>
      </x:c>
      <x:c r="N1182" s="33" t="n">
        <x:v>744.3703550000001</x:v>
      </x:c>
      <x:c r="O1182" s="22" t="str">
        <x:v>公顷</x:v>
      </x:c>
      <x:c r="P1182" s="22" t="str">
        <x:v>未提供（单期横截面）</x:v>
      </x:c>
      <x:c r="Q1182" s="23" t="n">
        <x:v>4161</x:v>
      </x:c>
    </x:row>
    <x:row r="1183">
      <x:c r="A1183" s="30" t="n">
        <x:v>350500</x:v>
      </x:c>
      <x:c r="B1183" s="22" t="str">
        <x:v>泉州市</x:v>
      </x:c>
      <x:c r="C1183" s="31" t="n">
        <x:v>350521</x:v>
      </x:c>
      <x:c r="D1183" s="22" t="str">
        <x:v>惠安县</x:v>
      </x:c>
      <x:c r="E1183" s="22" t="str">
        <x:v>建设用地</x:v>
      </x:c>
      <x:c r="F1183" s="22" t="str">
        <x:v>交通运输用地</x:v>
      </x:c>
      <x:c r="G1183" s="32" t="str">
        <x:v>1004</x:v>
      </x:c>
      <x:c r="H1183" s="32" t="str">
        <x:v>1004</x:v>
      </x:c>
      <x:c r="I1183" s="22" t="str">
        <x:v>城镇村道路用地</x:v>
      </x:c>
      <x:c r="J1183" s="22" t="str">
        <x:v>交通门户</x:v>
      </x:c>
      <x:c r="K1183" s="32" t="str">
        <x:v>205</x:v>
      </x:c>
      <x:c r="L1183" s="22" t="str">
        <x:v>特殊用地</x:v>
      </x:c>
      <x:c r="M1183" s="33" t="n">
        <x:v>4015.09</x:v>
      </x:c>
      <x:c r="N1183" s="33" t="n">
        <x:v>0.401509</x:v>
      </x:c>
      <x:c r="O1183" s="22" t="str">
        <x:v>公顷</x:v>
      </x:c>
      <x:c r="P1183" s="22" t="str">
        <x:v>未提供（单期横截面）</x:v>
      </x:c>
      <x:c r="Q1183" s="23" t="n">
        <x:v>4162</x:v>
      </x:c>
    </x:row>
    <x:row r="1184">
      <x:c r="A1184" s="30" t="n">
        <x:v>350500</x:v>
      </x:c>
      <x:c r="B1184" s="22" t="str">
        <x:v>泉州市</x:v>
      </x:c>
      <x:c r="C1184" s="31" t="n">
        <x:v>350521</x:v>
      </x:c>
      <x:c r="D1184" s="22" t="str">
        <x:v>惠安县</x:v>
      </x:c>
      <x:c r="E1184" s="22" t="str">
        <x:v>农用地</x:v>
      </x:c>
      <x:c r="F1184" s="22" t="str">
        <x:v>耕地</x:v>
      </x:c>
      <x:c r="G1184" s="32" t="str">
        <x:v>101</x:v>
      </x:c>
      <x:c r="H1184" s="32" t="str">
        <x:v>101</x:v>
      </x:c>
      <x:c r="I1184" s="22" t="str">
        <x:v>水田</x:v>
      </x:c>
      <x:c r="J1184" s="22" t="str">
        <x:v>农业生态</x:v>
      </x:c>
      <x:c r="K1184" s="32" t="str"/>
      <x:c r="L1184" s="22" t="str">
        <x:v>不适用/未标注</x:v>
      </x:c>
      <x:c r="M1184" s="33" t="n">
        <x:v>37004238.37999991</x:v>
      </x:c>
      <x:c r="N1184" s="33" t="n">
        <x:v>3700.4238379999915</x:v>
      </x:c>
      <x:c r="O1184" s="22" t="str">
        <x:v>公顷</x:v>
      </x:c>
      <x:c r="P1184" s="22" t="str">
        <x:v>未提供（单期横截面）</x:v>
      </x:c>
      <x:c r="Q1184" s="23" t="n">
        <x:v>4163</x:v>
      </x:c>
    </x:row>
    <x:row r="1185">
      <x:c r="A1185" s="30" t="n">
        <x:v>350500</x:v>
      </x:c>
      <x:c r="B1185" s="22" t="str">
        <x:v>泉州市</x:v>
      </x:c>
      <x:c r="C1185" s="31" t="n">
        <x:v>350521</x:v>
      </x:c>
      <x:c r="D1185" s="22" t="str">
        <x:v>惠安县</x:v>
      </x:c>
      <x:c r="E1185" s="22" t="str">
        <x:v>农用地</x:v>
      </x:c>
      <x:c r="F1185" s="22" t="str">
        <x:v>耕地</x:v>
      </x:c>
      <x:c r="G1185" s="32" t="str">
        <x:v>102</x:v>
      </x:c>
      <x:c r="H1185" s="32" t="str">
        <x:v>102</x:v>
      </x:c>
      <x:c r="I1185" s="22" t="str">
        <x:v>水浇地</x:v>
      </x:c>
      <x:c r="J1185" s="22" t="str">
        <x:v>农业生态</x:v>
      </x:c>
      <x:c r="K1185" s="32" t="str"/>
      <x:c r="L1185" s="22" t="str">
        <x:v>不适用/未标注</x:v>
      </x:c>
      <x:c r="M1185" s="33" t="n">
        <x:v>26731954.899999972</x:v>
      </x:c>
      <x:c r="N1185" s="33" t="n">
        <x:v>2673.1954899999973</x:v>
      </x:c>
      <x:c r="O1185" s="22" t="str">
        <x:v>公顷</x:v>
      </x:c>
      <x:c r="P1185" s="22" t="str">
        <x:v>未提供（单期横截面）</x:v>
      </x:c>
      <x:c r="Q1185" s="23" t="n">
        <x:v>4164</x:v>
      </x:c>
    </x:row>
    <x:row r="1186">
      <x:c r="A1186" s="30" t="n">
        <x:v>350500</x:v>
      </x:c>
      <x:c r="B1186" s="22" t="str">
        <x:v>泉州市</x:v>
      </x:c>
      <x:c r="C1186" s="31" t="n">
        <x:v>350521</x:v>
      </x:c>
      <x:c r="D1186" s="22" t="str">
        <x:v>惠安县</x:v>
      </x:c>
      <x:c r="E1186" s="22" t="str">
        <x:v>农用地</x:v>
      </x:c>
      <x:c r="F1186" s="22" t="str">
        <x:v>耕地</x:v>
      </x:c>
      <x:c r="G1186" s="32" t="str">
        <x:v>103</x:v>
      </x:c>
      <x:c r="H1186" s="32" t="str">
        <x:v>103</x:v>
      </x:c>
      <x:c r="I1186" s="22" t="str">
        <x:v>旱地</x:v>
      </x:c>
      <x:c r="J1186" s="22" t="str">
        <x:v>农业生态</x:v>
      </x:c>
      <x:c r="K1186" s="32" t="str"/>
      <x:c r="L1186" s="22" t="str">
        <x:v>不适用/未标注</x:v>
      </x:c>
      <x:c r="M1186" s="33" t="n">
        <x:v>125032635.3600002</x:v>
      </x:c>
      <x:c r="N1186" s="33" t="n">
        <x:v>12503.263536000019</x:v>
      </x:c>
      <x:c r="O1186" s="22" t="str">
        <x:v>公顷</x:v>
      </x:c>
      <x:c r="P1186" s="22" t="str">
        <x:v>未提供（单期横截面）</x:v>
      </x:c>
      <x:c r="Q1186" s="23" t="n">
        <x:v>4165</x:v>
      </x:c>
    </x:row>
    <x:row r="1187">
      <x:c r="A1187" s="30" t="n">
        <x:v>350500</x:v>
      </x:c>
      <x:c r="B1187" s="22" t="str">
        <x:v>泉州市</x:v>
      </x:c>
      <x:c r="C1187" s="31" t="n">
        <x:v>350521</x:v>
      </x:c>
      <x:c r="D1187" s="22" t="str">
        <x:v>惠安县</x:v>
      </x:c>
      <x:c r="E1187" s="22" t="str">
        <x:v>农用地</x:v>
      </x:c>
      <x:c r="F1187" s="22" t="str">
        <x:v>园地</x:v>
      </x:c>
      <x:c r="G1187" s="32" t="str">
        <x:v>201</x:v>
      </x:c>
      <x:c r="H1187" s="32" t="str">
        <x:v>201</x:v>
      </x:c>
      <x:c r="I1187" s="22" t="str">
        <x:v>果园</x:v>
      </x:c>
      <x:c r="J1187" s="22" t="str">
        <x:v>农业生态</x:v>
      </x:c>
      <x:c r="K1187" s="32" t="str"/>
      <x:c r="L1187" s="22" t="str">
        <x:v>不适用/未标注</x:v>
      </x:c>
      <x:c r="M1187" s="33" t="n">
        <x:v>15893528.050000006</x:v>
      </x:c>
      <x:c r="N1187" s="33" t="n">
        <x:v>1589.3528050000007</x:v>
      </x:c>
      <x:c r="O1187" s="22" t="str">
        <x:v>公顷</x:v>
      </x:c>
      <x:c r="P1187" s="22" t="str">
        <x:v>未提供（单期横截面）</x:v>
      </x:c>
      <x:c r="Q1187" s="23" t="n">
        <x:v>4166</x:v>
      </x:c>
    </x:row>
    <x:row r="1188">
      <x:c r="A1188" s="30" t="n">
        <x:v>350500</x:v>
      </x:c>
      <x:c r="B1188" s="22" t="str">
        <x:v>泉州市</x:v>
      </x:c>
      <x:c r="C1188" s="31" t="n">
        <x:v>350521</x:v>
      </x:c>
      <x:c r="D1188" s="22" t="str">
        <x:v>惠安县</x:v>
      </x:c>
      <x:c r="E1188" s="22" t="str">
        <x:v>农用地</x:v>
      </x:c>
      <x:c r="F1188" s="22" t="str">
        <x:v>园地</x:v>
      </x:c>
      <x:c r="G1188" s="32" t="str">
        <x:v>0201K</x:v>
      </x:c>
      <x:c r="H1188" s="32" t="str">
        <x:v>201</x:v>
      </x:c>
      <x:c r="I1188" s="22" t="str">
        <x:v>可调整果园</x:v>
      </x:c>
      <x:c r="J1188" s="22" t="str">
        <x:v>农业生态</x:v>
      </x:c>
      <x:c r="K1188" s="32" t="str"/>
      <x:c r="L1188" s="22" t="str">
        <x:v>不适用/未标注</x:v>
      </x:c>
      <x:c r="M1188" s="33" t="n">
        <x:v>7189467.069999996</x:v>
      </x:c>
      <x:c r="N1188" s="33" t="n">
        <x:v>718.9467069999996</x:v>
      </x:c>
      <x:c r="O1188" s="22" t="str">
        <x:v>公顷</x:v>
      </x:c>
      <x:c r="P1188" s="22" t="str">
        <x:v>未提供（单期横截面）</x:v>
      </x:c>
      <x:c r="Q1188" s="23" t="n">
        <x:v>4167</x:v>
      </x:c>
    </x:row>
    <x:row r="1189">
      <x:c r="A1189" s="30" t="n">
        <x:v>350500</x:v>
      </x:c>
      <x:c r="B1189" s="22" t="str">
        <x:v>泉州市</x:v>
      </x:c>
      <x:c r="C1189" s="31" t="n">
        <x:v>350521</x:v>
      </x:c>
      <x:c r="D1189" s="22" t="str">
        <x:v>惠安县</x:v>
      </x:c>
      <x:c r="E1189" s="22" t="str">
        <x:v>农用地</x:v>
      </x:c>
      <x:c r="F1189" s="22" t="str">
        <x:v>园地</x:v>
      </x:c>
      <x:c r="G1189" s="32" t="str">
        <x:v>202</x:v>
      </x:c>
      <x:c r="H1189" s="32" t="str">
        <x:v>202</x:v>
      </x:c>
      <x:c r="I1189" s="22" t="str">
        <x:v>茶园</x:v>
      </x:c>
      <x:c r="J1189" s="22" t="str">
        <x:v>农业生态</x:v>
      </x:c>
      <x:c r="K1189" s="32" t="str"/>
      <x:c r="L1189" s="22" t="str">
        <x:v>不适用/未标注</x:v>
      </x:c>
      <x:c r="M1189" s="33" t="n">
        <x:v>185737.4</x:v>
      </x:c>
      <x:c r="N1189" s="33" t="n">
        <x:v>18.57374</x:v>
      </x:c>
      <x:c r="O1189" s="22" t="str">
        <x:v>公顷</x:v>
      </x:c>
      <x:c r="P1189" s="22" t="str">
        <x:v>未提供（单期横截面）</x:v>
      </x:c>
      <x:c r="Q1189" s="23" t="n">
        <x:v>4168</x:v>
      </x:c>
    </x:row>
    <x:row r="1190">
      <x:c r="A1190" s="30" t="n">
        <x:v>350500</x:v>
      </x:c>
      <x:c r="B1190" s="22" t="str">
        <x:v>泉州市</x:v>
      </x:c>
      <x:c r="C1190" s="31" t="n">
        <x:v>350521</x:v>
      </x:c>
      <x:c r="D1190" s="22" t="str">
        <x:v>惠安县</x:v>
      </x:c>
      <x:c r="E1190" s="22" t="str">
        <x:v>农用地</x:v>
      </x:c>
      <x:c r="F1190" s="22" t="str">
        <x:v>园地</x:v>
      </x:c>
      <x:c r="G1190" s="32" t="str">
        <x:v>204</x:v>
      </x:c>
      <x:c r="H1190" s="32" t="str">
        <x:v>204</x:v>
      </x:c>
      <x:c r="I1190" s="22" t="str">
        <x:v>其他园地</x:v>
      </x:c>
      <x:c r="J1190" s="22" t="str">
        <x:v>农业生态</x:v>
      </x:c>
      <x:c r="K1190" s="32" t="str"/>
      <x:c r="L1190" s="22" t="str">
        <x:v>不适用/未标注</x:v>
      </x:c>
      <x:c r="M1190" s="33" t="n">
        <x:v>612851.36</x:v>
      </x:c>
      <x:c r="N1190" s="33" t="n">
        <x:v>61.285136</x:v>
      </x:c>
      <x:c r="O1190" s="22" t="str">
        <x:v>公顷</x:v>
      </x:c>
      <x:c r="P1190" s="22" t="str">
        <x:v>未提供（单期横截面）</x:v>
      </x:c>
      <x:c r="Q1190" s="23" t="n">
        <x:v>4169</x:v>
      </x:c>
    </x:row>
    <x:row r="1191">
      <x:c r="A1191" s="30" t="n">
        <x:v>350500</x:v>
      </x:c>
      <x:c r="B1191" s="22" t="str">
        <x:v>泉州市</x:v>
      </x:c>
      <x:c r="C1191" s="31" t="n">
        <x:v>350521</x:v>
      </x:c>
      <x:c r="D1191" s="22" t="str">
        <x:v>惠安县</x:v>
      </x:c>
      <x:c r="E1191" s="22" t="str">
        <x:v>农用地</x:v>
      </x:c>
      <x:c r="F1191" s="22" t="str">
        <x:v>园地</x:v>
      </x:c>
      <x:c r="G1191" s="32" t="str">
        <x:v>0204K</x:v>
      </x:c>
      <x:c r="H1191" s="32" t="str">
        <x:v>0204</x:v>
      </x:c>
      <x:c r="I1191" s="22" t="str">
        <x:v>可调整其他园地</x:v>
      </x:c>
      <x:c r="J1191" s="22" t="str">
        <x:v>农业生态</x:v>
      </x:c>
      <x:c r="K1191" s="32" t="str"/>
      <x:c r="L1191" s="22" t="str">
        <x:v>不适用/未标注</x:v>
      </x:c>
      <x:c r="M1191" s="33" t="n">
        <x:v>14436.04</x:v>
      </x:c>
      <x:c r="N1191" s="33" t="n">
        <x:v>1.443604</x:v>
      </x:c>
      <x:c r="O1191" s="22" t="str">
        <x:v>公顷</x:v>
      </x:c>
      <x:c r="P1191" s="22" t="str">
        <x:v>未提供（单期横截面）</x:v>
      </x:c>
      <x:c r="Q1191" s="23" t="n">
        <x:v>4170</x:v>
      </x:c>
    </x:row>
    <x:row r="1192">
      <x:c r="A1192" s="30" t="n">
        <x:v>350500</x:v>
      </x:c>
      <x:c r="B1192" s="22" t="str">
        <x:v>泉州市</x:v>
      </x:c>
      <x:c r="C1192" s="31" t="n">
        <x:v>350521</x:v>
      </x:c>
      <x:c r="D1192" s="22" t="str">
        <x:v>惠安县</x:v>
      </x:c>
      <x:c r="E1192" s="22" t="str">
        <x:v>农用地</x:v>
      </x:c>
      <x:c r="F1192" s="22" t="str">
        <x:v>林地</x:v>
      </x:c>
      <x:c r="G1192" s="32" t="str">
        <x:v>301</x:v>
      </x:c>
      <x:c r="H1192" s="32" t="str">
        <x:v>301</x:v>
      </x:c>
      <x:c r="I1192" s="22" t="str">
        <x:v>乔木林地</x:v>
      </x:c>
      <x:c r="J1192" s="22" t="str">
        <x:v>农业生态</x:v>
      </x:c>
      <x:c r="K1192" s="32" t="str"/>
      <x:c r="L1192" s="22" t="str">
        <x:v>不适用/未标注</x:v>
      </x:c>
      <x:c r="M1192" s="33" t="n">
        <x:v>162113177.1799999</x:v>
      </x:c>
      <x:c r="N1192" s="33" t="n">
        <x:v>16211.31771799999</x:v>
      </x:c>
      <x:c r="O1192" s="22" t="str">
        <x:v>公顷</x:v>
      </x:c>
      <x:c r="P1192" s="22" t="str">
        <x:v>未提供（单期横截面）</x:v>
      </x:c>
      <x:c r="Q1192" s="23" t="n">
        <x:v>4171</x:v>
      </x:c>
    </x:row>
    <x:row r="1193">
      <x:c r="A1193" s="30" t="n">
        <x:v>350500</x:v>
      </x:c>
      <x:c r="B1193" s="22" t="str">
        <x:v>泉州市</x:v>
      </x:c>
      <x:c r="C1193" s="31" t="n">
        <x:v>350521</x:v>
      </x:c>
      <x:c r="D1193" s="22" t="str">
        <x:v>惠安县</x:v>
      </x:c>
      <x:c r="E1193" s="22" t="str">
        <x:v>农用地</x:v>
      </x:c>
      <x:c r="F1193" s="22" t="str">
        <x:v>林地</x:v>
      </x:c>
      <x:c r="G1193" s="32" t="str">
        <x:v>0301K</x:v>
      </x:c>
      <x:c r="H1193" s="32" t="str">
        <x:v>0301</x:v>
      </x:c>
      <x:c r="I1193" s="22" t="str">
        <x:v>可调整乔木林地</x:v>
      </x:c>
      <x:c r="J1193" s="22" t="str">
        <x:v>农业生态</x:v>
      </x:c>
      <x:c r="K1193" s="32" t="str"/>
      <x:c r="L1193" s="22" t="str">
        <x:v>不适用/未标注</x:v>
      </x:c>
      <x:c r="M1193" s="33" t="n">
        <x:v>1045005.1000000002</x:v>
      </x:c>
      <x:c r="N1193" s="33" t="n">
        <x:v>104.50051000000002</x:v>
      </x:c>
      <x:c r="O1193" s="22" t="str">
        <x:v>公顷</x:v>
      </x:c>
      <x:c r="P1193" s="22" t="str">
        <x:v>未提供（单期横截面）</x:v>
      </x:c>
      <x:c r="Q1193" s="23" t="n">
        <x:v>4172</x:v>
      </x:c>
    </x:row>
    <x:row r="1194">
      <x:c r="A1194" s="30" t="n">
        <x:v>350500</x:v>
      </x:c>
      <x:c r="B1194" s="22" t="str">
        <x:v>泉州市</x:v>
      </x:c>
      <x:c r="C1194" s="31" t="n">
        <x:v>350521</x:v>
      </x:c>
      <x:c r="D1194" s="22" t="str">
        <x:v>惠安县</x:v>
      </x:c>
      <x:c r="E1194" s="22" t="str">
        <x:v>农用地</x:v>
      </x:c>
      <x:c r="F1194" s="22" t="str">
        <x:v>林地</x:v>
      </x:c>
      <x:c r="G1194" s="32" t="str">
        <x:v>302</x:v>
      </x:c>
      <x:c r="H1194" s="32" t="str">
        <x:v>302</x:v>
      </x:c>
      <x:c r="I1194" s="22" t="str">
        <x:v>竹林地</x:v>
      </x:c>
      <x:c r="J1194" s="22" t="str">
        <x:v>农业生态</x:v>
      </x:c>
      <x:c r="K1194" s="32" t="str"/>
      <x:c r="L1194" s="22" t="str">
        <x:v>不适用/未标注</x:v>
      </x:c>
      <x:c r="M1194" s="33" t="n">
        <x:v>17198.46</x:v>
      </x:c>
      <x:c r="N1194" s="33" t="n">
        <x:v>1.719846</x:v>
      </x:c>
      <x:c r="O1194" s="22" t="str">
        <x:v>公顷</x:v>
      </x:c>
      <x:c r="P1194" s="22" t="str">
        <x:v>未提供（单期横截面）</x:v>
      </x:c>
      <x:c r="Q1194" s="23" t="n">
        <x:v>4173</x:v>
      </x:c>
    </x:row>
    <x:row r="1195">
      <x:c r="A1195" s="30" t="n">
        <x:v>350500</x:v>
      </x:c>
      <x:c r="B1195" s="22" t="str">
        <x:v>泉州市</x:v>
      </x:c>
      <x:c r="C1195" s="31" t="n">
        <x:v>350521</x:v>
      </x:c>
      <x:c r="D1195" s="22" t="str">
        <x:v>惠安县</x:v>
      </x:c>
      <x:c r="E1195" s="22" t="str">
        <x:v>农用地</x:v>
      </x:c>
      <x:c r="F1195" s="22" t="str">
        <x:v>林地</x:v>
      </x:c>
      <x:c r="G1195" s="32" t="str">
        <x:v>303</x:v>
      </x:c>
      <x:c r="H1195" s="32" t="str">
        <x:v>303</x:v>
      </x:c>
      <x:c r="I1195" s="22" t="str">
        <x:v>红树林地</x:v>
      </x:c>
      <x:c r="J1195" s="22" t="str">
        <x:v>农业生态</x:v>
      </x:c>
      <x:c r="K1195" s="32" t="str"/>
      <x:c r="L1195" s="22" t="str">
        <x:v>不适用/未标注</x:v>
      </x:c>
      <x:c r="M1195" s="33" t="n">
        <x:v>2587196.61</x:v>
      </x:c>
      <x:c r="N1195" s="33" t="n">
        <x:v>258.719661</x:v>
      </x:c>
      <x:c r="O1195" s="22" t="str">
        <x:v>公顷</x:v>
      </x:c>
      <x:c r="P1195" s="22" t="str">
        <x:v>未提供（单期横截面）</x:v>
      </x:c>
      <x:c r="Q1195" s="23" t="n">
        <x:v>4174</x:v>
      </x:c>
    </x:row>
    <x:row r="1196">
      <x:c r="A1196" s="30" t="n">
        <x:v>350500</x:v>
      </x:c>
      <x:c r="B1196" s="22" t="str">
        <x:v>泉州市</x:v>
      </x:c>
      <x:c r="C1196" s="31" t="n">
        <x:v>350521</x:v>
      </x:c>
      <x:c r="D1196" s="22" t="str">
        <x:v>惠安县</x:v>
      </x:c>
      <x:c r="E1196" s="22" t="str">
        <x:v>农用地</x:v>
      </x:c>
      <x:c r="F1196" s="22" t="str">
        <x:v>林地</x:v>
      </x:c>
      <x:c r="G1196" s="32" t="str">
        <x:v>305</x:v>
      </x:c>
      <x:c r="H1196" s="32" t="str">
        <x:v>305</x:v>
      </x:c>
      <x:c r="I1196" s="22" t="str">
        <x:v>灌木林地</x:v>
      </x:c>
      <x:c r="J1196" s="22" t="str">
        <x:v>农业生态</x:v>
      </x:c>
      <x:c r="K1196" s="32" t="str"/>
      <x:c r="L1196" s="22" t="str">
        <x:v>不适用/未标注</x:v>
      </x:c>
      <x:c r="M1196" s="33" t="n">
        <x:v>1928392.7799999996</x:v>
      </x:c>
      <x:c r="N1196" s="33" t="n">
        <x:v>192.83927799999995</x:v>
      </x:c>
      <x:c r="O1196" s="22" t="str">
        <x:v>公顷</x:v>
      </x:c>
      <x:c r="P1196" s="22" t="str">
        <x:v>未提供（单期横截面）</x:v>
      </x:c>
      <x:c r="Q1196" s="23" t="n">
        <x:v>4175</x:v>
      </x:c>
    </x:row>
    <x:row r="1197">
      <x:c r="A1197" s="30" t="n">
        <x:v>350500</x:v>
      </x:c>
      <x:c r="B1197" s="22" t="str">
        <x:v>泉州市</x:v>
      </x:c>
      <x:c r="C1197" s="31" t="n">
        <x:v>350521</x:v>
      </x:c>
      <x:c r="D1197" s="22" t="str">
        <x:v>惠安县</x:v>
      </x:c>
      <x:c r="E1197" s="22" t="str">
        <x:v>农用地</x:v>
      </x:c>
      <x:c r="F1197" s="22" t="str">
        <x:v>林地</x:v>
      </x:c>
      <x:c r="G1197" s="32" t="str">
        <x:v>307</x:v>
      </x:c>
      <x:c r="H1197" s="32" t="str">
        <x:v>307</x:v>
      </x:c>
      <x:c r="I1197" s="22" t="str">
        <x:v>其他林地</x:v>
      </x:c>
      <x:c r="J1197" s="22" t="str">
        <x:v>农业生态</x:v>
      </x:c>
      <x:c r="K1197" s="32" t="str"/>
      <x:c r="L1197" s="22" t="str">
        <x:v>不适用/未标注</x:v>
      </x:c>
      <x:c r="M1197" s="33" t="n">
        <x:v>20997796.070000034</x:v>
      </x:c>
      <x:c r="N1197" s="33" t="n">
        <x:v>2099.7796070000036</x:v>
      </x:c>
      <x:c r="O1197" s="22" t="str">
        <x:v>公顷</x:v>
      </x:c>
      <x:c r="P1197" s="22" t="str">
        <x:v>未提供（单期横截面）</x:v>
      </x:c>
      <x:c r="Q1197" s="23" t="n">
        <x:v>4176</x:v>
      </x:c>
    </x:row>
    <x:row r="1198">
      <x:c r="A1198" s="30" t="n">
        <x:v>350500</x:v>
      </x:c>
      <x:c r="B1198" s="22" t="str">
        <x:v>泉州市</x:v>
      </x:c>
      <x:c r="C1198" s="31" t="n">
        <x:v>350521</x:v>
      </x:c>
      <x:c r="D1198" s="22" t="str">
        <x:v>惠安县</x:v>
      </x:c>
      <x:c r="E1198" s="22" t="str">
        <x:v>农用地</x:v>
      </x:c>
      <x:c r="F1198" s="22" t="str">
        <x:v>林地</x:v>
      </x:c>
      <x:c r="G1198" s="32" t="str">
        <x:v>0307K</x:v>
      </x:c>
      <x:c r="H1198" s="32" t="str">
        <x:v>0307</x:v>
      </x:c>
      <x:c r="I1198" s="22" t="str">
        <x:v>可调整其他林地</x:v>
      </x:c>
      <x:c r="J1198" s="22" t="str">
        <x:v>农业生态</x:v>
      </x:c>
      <x:c r="K1198" s="32" t="str"/>
      <x:c r="L1198" s="22" t="str">
        <x:v>不适用/未标注</x:v>
      </x:c>
      <x:c r="M1198" s="33" t="n">
        <x:v>21394.89</x:v>
      </x:c>
      <x:c r="N1198" s="33" t="n">
        <x:v>2.1394889999999998</x:v>
      </x:c>
      <x:c r="O1198" s="22" t="str">
        <x:v>公顷</x:v>
      </x:c>
      <x:c r="P1198" s="22" t="str">
        <x:v>未提供（单期横截面）</x:v>
      </x:c>
      <x:c r="Q1198" s="23" t="n">
        <x:v>4177</x:v>
      </x:c>
    </x:row>
    <x:row r="1199">
      <x:c r="A1199" s="30" t="n">
        <x:v>350500</x:v>
      </x:c>
      <x:c r="B1199" s="22" t="str">
        <x:v>泉州市</x:v>
      </x:c>
      <x:c r="C1199" s="31" t="n">
        <x:v>350521</x:v>
      </x:c>
      <x:c r="D1199" s="22" t="str">
        <x:v>惠安县</x:v>
      </x:c>
      <x:c r="E1199" s="22" t="str">
        <x:v>农用地</x:v>
      </x:c>
      <x:c r="F1199" s="22" t="str">
        <x:v>其他农用地</x:v>
      </x:c>
      <x:c r="G1199" s="32" t="str">
        <x:v>1006</x:v>
      </x:c>
      <x:c r="H1199" s="32" t="str">
        <x:v>1006</x:v>
      </x:c>
      <x:c r="I1199" s="22" t="str">
        <x:v>农村道路</x:v>
      </x:c>
      <x:c r="J1199" s="22" t="str">
        <x:v>农业生态</x:v>
      </x:c>
      <x:c r="K1199" s="32" t="str"/>
      <x:c r="L1199" s="22" t="str">
        <x:v>不适用/未标注</x:v>
      </x:c>
      <x:c r="M1199" s="33" t="n">
        <x:v>7514077.890000015</x:v>
      </x:c>
      <x:c r="N1199" s="33" t="n">
        <x:v>751.4077890000015</x:v>
      </x:c>
      <x:c r="O1199" s="22" t="str">
        <x:v>公顷</x:v>
      </x:c>
      <x:c r="P1199" s="22" t="str">
        <x:v>未提供（单期横截面）</x:v>
      </x:c>
      <x:c r="Q1199" s="23" t="n">
        <x:v>4178</x:v>
      </x:c>
    </x:row>
    <x:row r="1200">
      <x:c r="A1200" s="30" t="n">
        <x:v>350500</x:v>
      </x:c>
      <x:c r="B1200" s="22" t="str">
        <x:v>泉州市</x:v>
      </x:c>
      <x:c r="C1200" s="31" t="n">
        <x:v>350521</x:v>
      </x:c>
      <x:c r="D1200" s="22" t="str">
        <x:v>惠安县</x:v>
      </x:c>
      <x:c r="E1200" s="22" t="str">
        <x:v>农用地</x:v>
      </x:c>
      <x:c r="F1200" s="22" t="str">
        <x:v>水域及水利设施</x:v>
      </x:c>
      <x:c r="G1200" s="32" t="str">
        <x:v>1103</x:v>
      </x:c>
      <x:c r="H1200" s="32" t="str">
        <x:v>1103</x:v>
      </x:c>
      <x:c r="I1200" s="22" t="str">
        <x:v>水库水面</x:v>
      </x:c>
      <x:c r="J1200" s="22" t="str">
        <x:v>农业生态</x:v>
      </x:c>
      <x:c r="K1200" s="32" t="str"/>
      <x:c r="L1200" s="22" t="str">
        <x:v>不适用/未标注</x:v>
      </x:c>
      <x:c r="M1200" s="33" t="n">
        <x:v>2337511.7499999995</x:v>
      </x:c>
      <x:c r="N1200" s="33" t="n">
        <x:v>233.75117499999996</x:v>
      </x:c>
      <x:c r="O1200" s="22" t="str">
        <x:v>公顷</x:v>
      </x:c>
      <x:c r="P1200" s="22" t="str">
        <x:v>未提供（单期横截面）</x:v>
      </x:c>
      <x:c r="Q1200" s="23" t="n">
        <x:v>4179</x:v>
      </x:c>
    </x:row>
    <x:row r="1201">
      <x:c r="A1201" s="30" t="n">
        <x:v>350500</x:v>
      </x:c>
      <x:c r="B1201" s="22" t="str">
        <x:v>泉州市</x:v>
      </x:c>
      <x:c r="C1201" s="31" t="n">
        <x:v>350521</x:v>
      </x:c>
      <x:c r="D1201" s="22" t="str">
        <x:v>惠安县</x:v>
      </x:c>
      <x:c r="E1201" s="22" t="str">
        <x:v>农用地</x:v>
      </x:c>
      <x:c r="F1201" s="22" t="str">
        <x:v>水域及水利设施</x:v>
      </x:c>
      <x:c r="G1201" s="32" t="str">
        <x:v>1104</x:v>
      </x:c>
      <x:c r="H1201" s="32" t="str">
        <x:v>1104</x:v>
      </x:c>
      <x:c r="I1201" s="22" t="str">
        <x:v>坑塘水面</x:v>
      </x:c>
      <x:c r="J1201" s="22" t="str">
        <x:v>农业生态</x:v>
      </x:c>
      <x:c r="K1201" s="32" t="str"/>
      <x:c r="L1201" s="22" t="str">
        <x:v>不适用/未标注</x:v>
      </x:c>
      <x:c r="M1201" s="33" t="n">
        <x:v>27075054.939999998</x:v>
      </x:c>
      <x:c r="N1201" s="33" t="n">
        <x:v>2707.5054939999995</x:v>
      </x:c>
      <x:c r="O1201" s="22" t="str">
        <x:v>公顷</x:v>
      </x:c>
      <x:c r="P1201" s="22" t="str">
        <x:v>未提供（单期横截面）</x:v>
      </x:c>
      <x:c r="Q1201" s="23" t="n">
        <x:v>4180</x:v>
      </x:c>
    </x:row>
    <x:row r="1202">
      <x:c r="A1202" s="30" t="n">
        <x:v>350500</x:v>
      </x:c>
      <x:c r="B1202" s="22" t="str">
        <x:v>泉州市</x:v>
      </x:c>
      <x:c r="C1202" s="31" t="n">
        <x:v>350521</x:v>
      </x:c>
      <x:c r="D1202" s="22" t="str">
        <x:v>惠安县</x:v>
      </x:c>
      <x:c r="E1202" s="22" t="str">
        <x:v>农用地</x:v>
      </x:c>
      <x:c r="F1202" s="22" t="str">
        <x:v>水域及水利设施</x:v>
      </x:c>
      <x:c r="G1202" s="32" t="str">
        <x:v>1104A</x:v>
      </x:c>
      <x:c r="H1202" s="32" t="str">
        <x:v>1104</x:v>
      </x:c>
      <x:c r="I1202" s="22" t="str">
        <x:v>养殖坑塘</x:v>
      </x:c>
      <x:c r="J1202" s="22" t="str">
        <x:v>农业生态</x:v>
      </x:c>
      <x:c r="K1202" s="32" t="str"/>
      <x:c r="L1202" s="22" t="str">
        <x:v>不适用/未标注</x:v>
      </x:c>
      <x:c r="M1202" s="33" t="n">
        <x:v>8962503.079999996</x:v>
      </x:c>
      <x:c r="N1202" s="33" t="n">
        <x:v>896.2503079999997</x:v>
      </x:c>
      <x:c r="O1202" s="22" t="str">
        <x:v>公顷</x:v>
      </x:c>
      <x:c r="P1202" s="22" t="str">
        <x:v>未提供（单期横截面）</x:v>
      </x:c>
      <x:c r="Q1202" s="23" t="n">
        <x:v>4181</x:v>
      </x:c>
    </x:row>
    <x:row r="1203">
      <x:c r="A1203" s="30" t="n">
        <x:v>350500</x:v>
      </x:c>
      <x:c r="B1203" s="22" t="str">
        <x:v>泉州市</x:v>
      </x:c>
      <x:c r="C1203" s="31" t="n">
        <x:v>350521</x:v>
      </x:c>
      <x:c r="D1203" s="22" t="str">
        <x:v>惠安县</x:v>
      </x:c>
      <x:c r="E1203" s="22" t="str">
        <x:v>农用地</x:v>
      </x:c>
      <x:c r="F1203" s="22" t="str">
        <x:v>水域及水利设施</x:v>
      </x:c>
      <x:c r="G1203" s="32" t="str">
        <x:v>1104K</x:v>
      </x:c>
      <x:c r="H1203" s="32" t="str">
        <x:v>1104</x:v>
      </x:c>
      <x:c r="I1203" s="22" t="str">
        <x:v>可调整养殖坑塘</x:v>
      </x:c>
      <x:c r="J1203" s="22" t="str">
        <x:v>农业生态</x:v>
      </x:c>
      <x:c r="K1203" s="32" t="str"/>
      <x:c r="L1203" s="22" t="str">
        <x:v>不适用/未标注</x:v>
      </x:c>
      <x:c r="M1203" s="33" t="n">
        <x:v>321576.62</x:v>
      </x:c>
      <x:c r="N1203" s="33" t="n">
        <x:v>32.157662</x:v>
      </x:c>
      <x:c r="O1203" s="22" t="str">
        <x:v>公顷</x:v>
      </x:c>
      <x:c r="P1203" s="22" t="str">
        <x:v>未提供（单期横截面）</x:v>
      </x:c>
      <x:c r="Q1203" s="23" t="n">
        <x:v>4182</x:v>
      </x:c>
    </x:row>
    <x:row r="1204">
      <x:c r="A1204" s="30" t="n">
        <x:v>350500</x:v>
      </x:c>
      <x:c r="B1204" s="22" t="str">
        <x:v>泉州市</x:v>
      </x:c>
      <x:c r="C1204" s="31" t="n">
        <x:v>350521</x:v>
      </x:c>
      <x:c r="D1204" s="22" t="str">
        <x:v>惠安县</x:v>
      </x:c>
      <x:c r="E1204" s="22" t="str">
        <x:v>农用地</x:v>
      </x:c>
      <x:c r="F1204" s="22" t="str">
        <x:v>水域及水利设施</x:v>
      </x:c>
      <x:c r="G1204" s="32" t="str">
        <x:v>1107</x:v>
      </x:c>
      <x:c r="H1204" s="32" t="str">
        <x:v>1107</x:v>
      </x:c>
      <x:c r="I1204" s="22" t="str">
        <x:v>沟渠</x:v>
      </x:c>
      <x:c r="J1204" s="22" t="str">
        <x:v>农业生态</x:v>
      </x:c>
      <x:c r="K1204" s="32" t="str"/>
      <x:c r="L1204" s="22" t="str">
        <x:v>不适用/未标注</x:v>
      </x:c>
      <x:c r="M1204" s="33" t="n">
        <x:v>4319364.570000004</x:v>
      </x:c>
      <x:c r="N1204" s="33" t="n">
        <x:v>431.9364570000004</x:v>
      </x:c>
      <x:c r="O1204" s="22" t="str">
        <x:v>公顷</x:v>
      </x:c>
      <x:c r="P1204" s="22" t="str">
        <x:v>未提供（单期横截面）</x:v>
      </x:c>
      <x:c r="Q1204" s="23" t="n">
        <x:v>4183</x:v>
      </x:c>
    </x:row>
    <x:row r="1205">
      <x:c r="A1205" s="30" t="n">
        <x:v>350500</x:v>
      </x:c>
      <x:c r="B1205" s="22" t="str">
        <x:v>泉州市</x:v>
      </x:c>
      <x:c r="C1205" s="31" t="n">
        <x:v>350521</x:v>
      </x:c>
      <x:c r="D1205" s="22" t="str">
        <x:v>惠安县</x:v>
      </x:c>
      <x:c r="E1205" s="22" t="str">
        <x:v>农用地</x:v>
      </x:c>
      <x:c r="F1205" s="22" t="str">
        <x:v>其他农用地</x:v>
      </x:c>
      <x:c r="G1205" s="32" t="str">
        <x:v>1202</x:v>
      </x:c>
      <x:c r="H1205" s="32" t="str">
        <x:v>1202</x:v>
      </x:c>
      <x:c r="I1205" s="22" t="str">
        <x:v>设施农用地</x:v>
      </x:c>
      <x:c r="J1205" s="22" t="str">
        <x:v>农业生态</x:v>
      </x:c>
      <x:c r="K1205" s="32" t="str"/>
      <x:c r="L1205" s="22" t="str">
        <x:v>不适用/未标注</x:v>
      </x:c>
      <x:c r="M1205" s="33" t="n">
        <x:v>1992549.7099999988</x:v>
      </x:c>
      <x:c r="N1205" s="33" t="n">
        <x:v>199.25497099999987</x:v>
      </x:c>
      <x:c r="O1205" s="22" t="str">
        <x:v>公顷</x:v>
      </x:c>
      <x:c r="P1205" s="22" t="str">
        <x:v>未提供（单期横截面）</x:v>
      </x:c>
      <x:c r="Q1205" s="23" t="n">
        <x:v>4184</x:v>
      </x:c>
    </x:row>
    <x:row r="1206">
      <x:c r="A1206" s="30" t="n">
        <x:v>350500</x:v>
      </x:c>
      <x:c r="B1206" s="22" t="str">
        <x:v>泉州市</x:v>
      </x:c>
      <x:c r="C1206" s="31" t="n">
        <x:v>350521</x:v>
      </x:c>
      <x:c r="D1206" s="22" t="str">
        <x:v>惠安县</x:v>
      </x:c>
      <x:c r="E1206" s="22" t="str">
        <x:v>农用地</x:v>
      </x:c>
      <x:c r="F1206" s="22" t="str">
        <x:v>耕地</x:v>
      </x:c>
      <x:c r="G1206" s="32" t="str">
        <x:v>101</x:v>
      </x:c>
      <x:c r="H1206" s="32" t="str">
        <x:v>101</x:v>
      </x:c>
      <x:c r="I1206" s="22" t="str">
        <x:v>水田</x:v>
      </x:c>
      <x:c r="J1206" s="22" t="str">
        <x:v>农业生态</x:v>
      </x:c>
      <x:c r="K1206" s="32" t="str">
        <x:v>202</x:v>
      </x:c>
      <x:c r="L1206" s="22" t="str">
        <x:v>建制镇范围</x:v>
      </x:c>
      <x:c r="M1206" s="33" t="n">
        <x:v>34243.350000000006</x:v>
      </x:c>
      <x:c r="N1206" s="33" t="n">
        <x:v>3.4243350000000006</x:v>
      </x:c>
      <x:c r="O1206" s="22" t="str">
        <x:v>公顷</x:v>
      </x:c>
      <x:c r="P1206" s="22" t="str">
        <x:v>未提供（单期横截面）</x:v>
      </x:c>
      <x:c r="Q1206" s="23" t="n">
        <x:v>4185</x:v>
      </x:c>
    </x:row>
    <x:row r="1207">
      <x:c r="A1207" s="30" t="n">
        <x:v>350500</x:v>
      </x:c>
      <x:c r="B1207" s="22" t="str">
        <x:v>泉州市</x:v>
      </x:c>
      <x:c r="C1207" s="31" t="n">
        <x:v>350521</x:v>
      </x:c>
      <x:c r="D1207" s="22" t="str">
        <x:v>惠安县</x:v>
      </x:c>
      <x:c r="E1207" s="22" t="str">
        <x:v>农用地</x:v>
      </x:c>
      <x:c r="F1207" s="22" t="str">
        <x:v>耕地</x:v>
      </x:c>
      <x:c r="G1207" s="32" t="str">
        <x:v>102</x:v>
      </x:c>
      <x:c r="H1207" s="32" t="str">
        <x:v>102</x:v>
      </x:c>
      <x:c r="I1207" s="22" t="str">
        <x:v>水浇地</x:v>
      </x:c>
      <x:c r="J1207" s="22" t="str">
        <x:v>农业生态</x:v>
      </x:c>
      <x:c r="K1207" s="32" t="str">
        <x:v>202</x:v>
      </x:c>
      <x:c r="L1207" s="22" t="str">
        <x:v>建制镇范围</x:v>
      </x:c>
      <x:c r="M1207" s="33" t="n">
        <x:v>37606.47</x:v>
      </x:c>
      <x:c r="N1207" s="33" t="n">
        <x:v>3.760647</x:v>
      </x:c>
      <x:c r="O1207" s="22" t="str">
        <x:v>公顷</x:v>
      </x:c>
      <x:c r="P1207" s="22" t="str">
        <x:v>未提供（单期横截面）</x:v>
      </x:c>
      <x:c r="Q1207" s="23" t="n">
        <x:v>4186</x:v>
      </x:c>
    </x:row>
    <x:row r="1208">
      <x:c r="A1208" s="30" t="n">
        <x:v>350500</x:v>
      </x:c>
      <x:c r="B1208" s="22" t="str">
        <x:v>泉州市</x:v>
      </x:c>
      <x:c r="C1208" s="31" t="n">
        <x:v>350521</x:v>
      </x:c>
      <x:c r="D1208" s="22" t="str">
        <x:v>惠安县</x:v>
      </x:c>
      <x:c r="E1208" s="22" t="str">
        <x:v>农用地</x:v>
      </x:c>
      <x:c r="F1208" s="22" t="str">
        <x:v>耕地</x:v>
      </x:c>
      <x:c r="G1208" s="32" t="str">
        <x:v>103</x:v>
      </x:c>
      <x:c r="H1208" s="32" t="str">
        <x:v>103</x:v>
      </x:c>
      <x:c r="I1208" s="22" t="str">
        <x:v>旱地</x:v>
      </x:c>
      <x:c r="J1208" s="22" t="str">
        <x:v>农业生态</x:v>
      </x:c>
      <x:c r="K1208" s="32" t="str">
        <x:v>202</x:v>
      </x:c>
      <x:c r="L1208" s="22" t="str">
        <x:v>建制镇范围</x:v>
      </x:c>
      <x:c r="M1208" s="33" t="n">
        <x:v>782674.6399999998</x:v>
      </x:c>
      <x:c r="N1208" s="33" t="n">
        <x:v>78.26746399999998</x:v>
      </x:c>
      <x:c r="O1208" s="22" t="str">
        <x:v>公顷</x:v>
      </x:c>
      <x:c r="P1208" s="22" t="str">
        <x:v>未提供（单期横截面）</x:v>
      </x:c>
      <x:c r="Q1208" s="23" t="n">
        <x:v>4187</x:v>
      </x:c>
    </x:row>
    <x:row r="1209">
      <x:c r="A1209" s="30" t="n">
        <x:v>350500</x:v>
      </x:c>
      <x:c r="B1209" s="22" t="str">
        <x:v>泉州市</x:v>
      </x:c>
      <x:c r="C1209" s="31" t="n">
        <x:v>350521</x:v>
      </x:c>
      <x:c r="D1209" s="22" t="str">
        <x:v>惠安县</x:v>
      </x:c>
      <x:c r="E1209" s="22" t="str">
        <x:v>农用地</x:v>
      </x:c>
      <x:c r="F1209" s="22" t="str">
        <x:v>园地</x:v>
      </x:c>
      <x:c r="G1209" s="32" t="str">
        <x:v>201</x:v>
      </x:c>
      <x:c r="H1209" s="32" t="str">
        <x:v>201</x:v>
      </x:c>
      <x:c r="I1209" s="22" t="str">
        <x:v>果园</x:v>
      </x:c>
      <x:c r="J1209" s="22" t="str">
        <x:v>农业生态</x:v>
      </x:c>
      <x:c r="K1209" s="32" t="str">
        <x:v>202</x:v>
      </x:c>
      <x:c r="L1209" s="22" t="str">
        <x:v>建制镇范围</x:v>
      </x:c>
      <x:c r="M1209" s="33" t="n">
        <x:v>8233.74</x:v>
      </x:c>
      <x:c r="N1209" s="33" t="n">
        <x:v>0.8233739999999999</x:v>
      </x:c>
      <x:c r="O1209" s="22" t="str">
        <x:v>公顷</x:v>
      </x:c>
      <x:c r="P1209" s="22" t="str">
        <x:v>未提供（单期横截面）</x:v>
      </x:c>
      <x:c r="Q1209" s="23" t="n">
        <x:v>4188</x:v>
      </x:c>
    </x:row>
    <x:row r="1210">
      <x:c r="A1210" s="30" t="n">
        <x:v>350500</x:v>
      </x:c>
      <x:c r="B1210" s="22" t="str">
        <x:v>泉州市</x:v>
      </x:c>
      <x:c r="C1210" s="31" t="n">
        <x:v>350521</x:v>
      </x:c>
      <x:c r="D1210" s="22" t="str">
        <x:v>惠安县</x:v>
      </x:c>
      <x:c r="E1210" s="22" t="str">
        <x:v>农用地</x:v>
      </x:c>
      <x:c r="F1210" s="22" t="str">
        <x:v>园地</x:v>
      </x:c>
      <x:c r="G1210" s="32" t="str">
        <x:v>0201K</x:v>
      </x:c>
      <x:c r="H1210" s="32" t="str">
        <x:v>201</x:v>
      </x:c>
      <x:c r="I1210" s="22" t="str">
        <x:v>可调整果园</x:v>
      </x:c>
      <x:c r="J1210" s="22" t="str">
        <x:v>农业生态</x:v>
      </x:c>
      <x:c r="K1210" s="32" t="str">
        <x:v>202</x:v>
      </x:c>
      <x:c r="L1210" s="22" t="str">
        <x:v>建制镇范围</x:v>
      </x:c>
      <x:c r="M1210" s="33" t="n">
        <x:v>2104.08</x:v>
      </x:c>
      <x:c r="N1210" s="33" t="n">
        <x:v>0.21040799999999998</x:v>
      </x:c>
      <x:c r="O1210" s="22" t="str">
        <x:v>公顷</x:v>
      </x:c>
      <x:c r="P1210" s="22" t="str">
        <x:v>未提供（单期横截面）</x:v>
      </x:c>
      <x:c r="Q1210" s="23" t="n">
        <x:v>4189</x:v>
      </x:c>
    </x:row>
    <x:row r="1211">
      <x:c r="A1211" s="30" t="n">
        <x:v>350500</x:v>
      </x:c>
      <x:c r="B1211" s="22" t="str">
        <x:v>泉州市</x:v>
      </x:c>
      <x:c r="C1211" s="31" t="n">
        <x:v>350521</x:v>
      </x:c>
      <x:c r="D1211" s="22" t="str">
        <x:v>惠安县</x:v>
      </x:c>
      <x:c r="E1211" s="22" t="str">
        <x:v>农用地</x:v>
      </x:c>
      <x:c r="F1211" s="22" t="str">
        <x:v>园地</x:v>
      </x:c>
      <x:c r="G1211" s="32" t="str">
        <x:v>204</x:v>
      </x:c>
      <x:c r="H1211" s="32" t="str">
        <x:v>204</x:v>
      </x:c>
      <x:c r="I1211" s="22" t="str">
        <x:v>其他园地</x:v>
      </x:c>
      <x:c r="J1211" s="22" t="str">
        <x:v>农业生态</x:v>
      </x:c>
      <x:c r="K1211" s="32" t="str">
        <x:v>202</x:v>
      </x:c>
      <x:c r="L1211" s="22" t="str">
        <x:v>建制镇范围</x:v>
      </x:c>
      <x:c r="M1211" s="33" t="n">
        <x:v>747.07</x:v>
      </x:c>
      <x:c r="N1211" s="33" t="n">
        <x:v>0.07470700000000001</x:v>
      </x:c>
      <x:c r="O1211" s="22" t="str">
        <x:v>公顷</x:v>
      </x:c>
      <x:c r="P1211" s="22" t="str">
        <x:v>未提供（单期横截面）</x:v>
      </x:c>
      <x:c r="Q1211" s="23" t="n">
        <x:v>4190</x:v>
      </x:c>
    </x:row>
    <x:row r="1212">
      <x:c r="A1212" s="30" t="n">
        <x:v>350500</x:v>
      </x:c>
      <x:c r="B1212" s="22" t="str">
        <x:v>泉州市</x:v>
      </x:c>
      <x:c r="C1212" s="31" t="n">
        <x:v>350521</x:v>
      </x:c>
      <x:c r="D1212" s="22" t="str">
        <x:v>惠安县</x:v>
      </x:c>
      <x:c r="E1212" s="22" t="str">
        <x:v>农用地</x:v>
      </x:c>
      <x:c r="F1212" s="22" t="str">
        <x:v>林地</x:v>
      </x:c>
      <x:c r="G1212" s="32" t="str">
        <x:v>301</x:v>
      </x:c>
      <x:c r="H1212" s="32" t="str">
        <x:v>301</x:v>
      </x:c>
      <x:c r="I1212" s="22" t="str">
        <x:v>乔木林地</x:v>
      </x:c>
      <x:c r="J1212" s="22" t="str">
        <x:v>农业生态</x:v>
      </x:c>
      <x:c r="K1212" s="32" t="str">
        <x:v>202</x:v>
      </x:c>
      <x:c r="L1212" s="22" t="str">
        <x:v>建制镇范围</x:v>
      </x:c>
      <x:c r="M1212" s="33" t="n">
        <x:v>161142.43000000008</x:v>
      </x:c>
      <x:c r="N1212" s="33" t="n">
        <x:v>16.11424300000001</x:v>
      </x:c>
      <x:c r="O1212" s="22" t="str">
        <x:v>公顷</x:v>
      </x:c>
      <x:c r="P1212" s="22" t="str">
        <x:v>未提供（单期横截面）</x:v>
      </x:c>
      <x:c r="Q1212" s="23" t="n">
        <x:v>4191</x:v>
      </x:c>
    </x:row>
    <x:row r="1213">
      <x:c r="A1213" s="30" t="n">
        <x:v>350500</x:v>
      </x:c>
      <x:c r="B1213" s="22" t="str">
        <x:v>泉州市</x:v>
      </x:c>
      <x:c r="C1213" s="31" t="n">
        <x:v>350521</x:v>
      </x:c>
      <x:c r="D1213" s="22" t="str">
        <x:v>惠安县</x:v>
      </x:c>
      <x:c r="E1213" s="22" t="str">
        <x:v>农用地</x:v>
      </x:c>
      <x:c r="F1213" s="22" t="str">
        <x:v>林地</x:v>
      </x:c>
      <x:c r="G1213" s="32" t="str">
        <x:v>305</x:v>
      </x:c>
      <x:c r="H1213" s="32" t="str">
        <x:v>305</x:v>
      </x:c>
      <x:c r="I1213" s="22" t="str">
        <x:v>灌木林地</x:v>
      </x:c>
      <x:c r="J1213" s="22" t="str">
        <x:v>农业生态</x:v>
      </x:c>
      <x:c r="K1213" s="32" t="str">
        <x:v>202</x:v>
      </x:c>
      <x:c r="L1213" s="22" t="str">
        <x:v>建制镇范围</x:v>
      </x:c>
      <x:c r="M1213" s="33" t="n">
        <x:v>11927.59</x:v>
      </x:c>
      <x:c r="N1213" s="33" t="n">
        <x:v>1.1927590000000001</x:v>
      </x:c>
      <x:c r="O1213" s="22" t="str">
        <x:v>公顷</x:v>
      </x:c>
      <x:c r="P1213" s="22" t="str">
        <x:v>未提供（单期横截面）</x:v>
      </x:c>
      <x:c r="Q1213" s="23" t="n">
        <x:v>4192</x:v>
      </x:c>
    </x:row>
    <x:row r="1214">
      <x:c r="A1214" s="30" t="n">
        <x:v>350500</x:v>
      </x:c>
      <x:c r="B1214" s="22" t="str">
        <x:v>泉州市</x:v>
      </x:c>
      <x:c r="C1214" s="31" t="n">
        <x:v>350521</x:v>
      </x:c>
      <x:c r="D1214" s="22" t="str">
        <x:v>惠安县</x:v>
      </x:c>
      <x:c r="E1214" s="22" t="str">
        <x:v>农用地</x:v>
      </x:c>
      <x:c r="F1214" s="22" t="str">
        <x:v>林地</x:v>
      </x:c>
      <x:c r="G1214" s="32" t="str">
        <x:v>307</x:v>
      </x:c>
      <x:c r="H1214" s="32" t="str">
        <x:v>307</x:v>
      </x:c>
      <x:c r="I1214" s="22" t="str">
        <x:v>其他林地</x:v>
      </x:c>
      <x:c r="J1214" s="22" t="str">
        <x:v>农业生态</x:v>
      </x:c>
      <x:c r="K1214" s="32" t="str">
        <x:v>202</x:v>
      </x:c>
      <x:c r="L1214" s="22" t="str">
        <x:v>建制镇范围</x:v>
      </x:c>
      <x:c r="M1214" s="33" t="n">
        <x:v>84363.18</x:v>
      </x:c>
      <x:c r="N1214" s="33" t="n">
        <x:v>8.436318</x:v>
      </x:c>
      <x:c r="O1214" s="22" t="str">
        <x:v>公顷</x:v>
      </x:c>
      <x:c r="P1214" s="22" t="str">
        <x:v>未提供（单期横截面）</x:v>
      </x:c>
      <x:c r="Q1214" s="23" t="n">
        <x:v>4193</x:v>
      </x:c>
    </x:row>
    <x:row r="1215">
      <x:c r="A1215" s="30" t="n">
        <x:v>350500</x:v>
      </x:c>
      <x:c r="B1215" s="22" t="str">
        <x:v>泉州市</x:v>
      </x:c>
      <x:c r="C1215" s="31" t="n">
        <x:v>350521</x:v>
      </x:c>
      <x:c r="D1215" s="22" t="str">
        <x:v>惠安县</x:v>
      </x:c>
      <x:c r="E1215" s="22" t="str">
        <x:v>农用地</x:v>
      </x:c>
      <x:c r="F1215" s="22" t="str">
        <x:v>其他农用地</x:v>
      </x:c>
      <x:c r="G1215" s="32" t="str">
        <x:v>1006</x:v>
      </x:c>
      <x:c r="H1215" s="32" t="str">
        <x:v>1006</x:v>
      </x:c>
      <x:c r="I1215" s="22" t="str">
        <x:v>农村道路</x:v>
      </x:c>
      <x:c r="J1215" s="22" t="str">
        <x:v>农业生态</x:v>
      </x:c>
      <x:c r="K1215" s="32" t="str">
        <x:v>202</x:v>
      </x:c>
      <x:c r="L1215" s="22" t="str">
        <x:v>建制镇范围</x:v>
      </x:c>
      <x:c r="M1215" s="33" t="n">
        <x:v>15575.810000000001</x:v>
      </x:c>
      <x:c r="N1215" s="33" t="n">
        <x:v>1.557581</x:v>
      </x:c>
      <x:c r="O1215" s="22" t="str">
        <x:v>公顷</x:v>
      </x:c>
      <x:c r="P1215" s="22" t="str">
        <x:v>未提供（单期横截面）</x:v>
      </x:c>
      <x:c r="Q1215" s="23" t="n">
        <x:v>4194</x:v>
      </x:c>
    </x:row>
    <x:row r="1216">
      <x:c r="A1216" s="30" t="n">
        <x:v>350500</x:v>
      </x:c>
      <x:c r="B1216" s="22" t="str">
        <x:v>泉州市</x:v>
      </x:c>
      <x:c r="C1216" s="31" t="n">
        <x:v>350521</x:v>
      </x:c>
      <x:c r="D1216" s="22" t="str">
        <x:v>惠安县</x:v>
      </x:c>
      <x:c r="E1216" s="22" t="str">
        <x:v>农用地</x:v>
      </x:c>
      <x:c r="F1216" s="22" t="str">
        <x:v>水域及水利设施</x:v>
      </x:c>
      <x:c r="G1216" s="32" t="str">
        <x:v>1104</x:v>
      </x:c>
      <x:c r="H1216" s="32" t="str">
        <x:v>1104</x:v>
      </x:c>
      <x:c r="I1216" s="22" t="str">
        <x:v>坑塘水面</x:v>
      </x:c>
      <x:c r="J1216" s="22" t="str">
        <x:v>农业生态</x:v>
      </x:c>
      <x:c r="K1216" s="32" t="str">
        <x:v>202</x:v>
      </x:c>
      <x:c r="L1216" s="22" t="str">
        <x:v>建制镇范围</x:v>
      </x:c>
      <x:c r="M1216" s="33" t="n">
        <x:v>167820.5</x:v>
      </x:c>
      <x:c r="N1216" s="33" t="n">
        <x:v>16.78205</x:v>
      </x:c>
      <x:c r="O1216" s="22" t="str">
        <x:v>公顷</x:v>
      </x:c>
      <x:c r="P1216" s="22" t="str">
        <x:v>未提供（单期横截面）</x:v>
      </x:c>
      <x:c r="Q1216" s="23" t="n">
        <x:v>4195</x:v>
      </x:c>
    </x:row>
    <x:row r="1217">
      <x:c r="A1217" s="30" t="n">
        <x:v>350500</x:v>
      </x:c>
      <x:c r="B1217" s="22" t="str">
        <x:v>泉州市</x:v>
      </x:c>
      <x:c r="C1217" s="31" t="n">
        <x:v>350521</x:v>
      </x:c>
      <x:c r="D1217" s="22" t="str">
        <x:v>惠安县</x:v>
      </x:c>
      <x:c r="E1217" s="22" t="str">
        <x:v>农用地</x:v>
      </x:c>
      <x:c r="F1217" s="22" t="str">
        <x:v>水域及水利设施</x:v>
      </x:c>
      <x:c r="G1217" s="32" t="str">
        <x:v>1107</x:v>
      </x:c>
      <x:c r="H1217" s="32" t="str">
        <x:v>1107</x:v>
      </x:c>
      <x:c r="I1217" s="22" t="str">
        <x:v>沟渠</x:v>
      </x:c>
      <x:c r="J1217" s="22" t="str">
        <x:v>农业生态</x:v>
      </x:c>
      <x:c r="K1217" s="32" t="str">
        <x:v>202</x:v>
      </x:c>
      <x:c r="L1217" s="22" t="str">
        <x:v>建制镇范围</x:v>
      </x:c>
      <x:c r="M1217" s="33" t="n">
        <x:v>33790.30999999999</x:v>
      </x:c>
      <x:c r="N1217" s="33" t="n">
        <x:v>3.379030999999999</x:v>
      </x:c>
      <x:c r="O1217" s="22" t="str">
        <x:v>公顷</x:v>
      </x:c>
      <x:c r="P1217" s="22" t="str">
        <x:v>未提供（单期横截面）</x:v>
      </x:c>
      <x:c r="Q1217" s="23" t="n">
        <x:v>4196</x:v>
      </x:c>
    </x:row>
    <x:row r="1218">
      <x:c r="A1218" s="30" t="n">
        <x:v>350500</x:v>
      </x:c>
      <x:c r="B1218" s="22" t="str">
        <x:v>泉州市</x:v>
      </x:c>
      <x:c r="C1218" s="31" t="n">
        <x:v>350521</x:v>
      </x:c>
      <x:c r="D1218" s="22" t="str">
        <x:v>惠安县</x:v>
      </x:c>
      <x:c r="E1218" s="22" t="str">
        <x:v>农用地</x:v>
      </x:c>
      <x:c r="F1218" s="22" t="str">
        <x:v>其他农用地</x:v>
      </x:c>
      <x:c r="G1218" s="32" t="str">
        <x:v>1202</x:v>
      </x:c>
      <x:c r="H1218" s="32" t="str">
        <x:v>1202</x:v>
      </x:c>
      <x:c r="I1218" s="22" t="str">
        <x:v>设施农用地</x:v>
      </x:c>
      <x:c r="J1218" s="22" t="str">
        <x:v>农业生态</x:v>
      </x:c>
      <x:c r="K1218" s="32" t="str">
        <x:v>202</x:v>
      </x:c>
      <x:c r="L1218" s="22" t="str">
        <x:v>建制镇范围</x:v>
      </x:c>
      <x:c r="M1218" s="33" t="n">
        <x:v>11563.67</x:v>
      </x:c>
      <x:c r="N1218" s="33" t="n">
        <x:v>1.156367</x:v>
      </x:c>
      <x:c r="O1218" s="22" t="str">
        <x:v>公顷</x:v>
      </x:c>
      <x:c r="P1218" s="22" t="str">
        <x:v>未提供（单期横截面）</x:v>
      </x:c>
      <x:c r="Q1218" s="23" t="n">
        <x:v>4197</x:v>
      </x:c>
    </x:row>
    <x:row r="1219">
      <x:c r="A1219" s="30" t="n">
        <x:v>350500</x:v>
      </x:c>
      <x:c r="B1219" s="22" t="str">
        <x:v>泉州市</x:v>
      </x:c>
      <x:c r="C1219" s="31" t="n">
        <x:v>350521</x:v>
      </x:c>
      <x:c r="D1219" s="22" t="str">
        <x:v>惠安县</x:v>
      </x:c>
      <x:c r="E1219" s="22" t="str">
        <x:v>农用地</x:v>
      </x:c>
      <x:c r="F1219" s="22" t="str">
        <x:v>耕地</x:v>
      </x:c>
      <x:c r="G1219" s="32" t="str">
        <x:v>101</x:v>
      </x:c>
      <x:c r="H1219" s="32" t="str">
        <x:v>101</x:v>
      </x:c>
      <x:c r="I1219" s="22" t="str">
        <x:v>水田</x:v>
      </x:c>
      <x:c r="J1219" s="22" t="str">
        <x:v>农业生态</x:v>
      </x:c>
      <x:c r="K1219" s="32" t="str">
        <x:v>203</x:v>
      </x:c>
      <x:c r="L1219" s="22" t="str">
        <x:v>村庄范围</x:v>
      </x:c>
      <x:c r="M1219" s="33" t="n">
        <x:v>256185.0799999999</x:v>
      </x:c>
      <x:c r="N1219" s="33" t="n">
        <x:v>25.61850799999999</x:v>
      </x:c>
      <x:c r="O1219" s="22" t="str">
        <x:v>公顷</x:v>
      </x:c>
      <x:c r="P1219" s="22" t="str">
        <x:v>未提供（单期横截面）</x:v>
      </x:c>
      <x:c r="Q1219" s="23" t="n">
        <x:v>4198</x:v>
      </x:c>
    </x:row>
    <x:row r="1220">
      <x:c r="A1220" s="30" t="n">
        <x:v>350500</x:v>
      </x:c>
      <x:c r="B1220" s="22" t="str">
        <x:v>泉州市</x:v>
      </x:c>
      <x:c r="C1220" s="31" t="n">
        <x:v>350521</x:v>
      </x:c>
      <x:c r="D1220" s="22" t="str">
        <x:v>惠安县</x:v>
      </x:c>
      <x:c r="E1220" s="22" t="str">
        <x:v>农用地</x:v>
      </x:c>
      <x:c r="F1220" s="22" t="str">
        <x:v>耕地</x:v>
      </x:c>
      <x:c r="G1220" s="32" t="str">
        <x:v>102</x:v>
      </x:c>
      <x:c r="H1220" s="32" t="str">
        <x:v>102</x:v>
      </x:c>
      <x:c r="I1220" s="22" t="str">
        <x:v>水浇地</x:v>
      </x:c>
      <x:c r="J1220" s="22" t="str">
        <x:v>农业生态</x:v>
      </x:c>
      <x:c r="K1220" s="32" t="str">
        <x:v>203</x:v>
      </x:c>
      <x:c r="L1220" s="22" t="str">
        <x:v>村庄范围</x:v>
      </x:c>
      <x:c r="M1220" s="33" t="n">
        <x:v>356297.77000000025</x:v>
      </x:c>
      <x:c r="N1220" s="33" t="n">
        <x:v>35.629777000000026</x:v>
      </x:c>
      <x:c r="O1220" s="22" t="str">
        <x:v>公顷</x:v>
      </x:c>
      <x:c r="P1220" s="22" t="str">
        <x:v>未提供（单期横截面）</x:v>
      </x:c>
      <x:c r="Q1220" s="23" t="n">
        <x:v>4199</x:v>
      </x:c>
    </x:row>
    <x:row r="1221">
      <x:c r="A1221" s="30" t="n">
        <x:v>350500</x:v>
      </x:c>
      <x:c r="B1221" s="22" t="str">
        <x:v>泉州市</x:v>
      </x:c>
      <x:c r="C1221" s="31" t="n">
        <x:v>350521</x:v>
      </x:c>
      <x:c r="D1221" s="22" t="str">
        <x:v>惠安县</x:v>
      </x:c>
      <x:c r="E1221" s="22" t="str">
        <x:v>农用地</x:v>
      </x:c>
      <x:c r="F1221" s="22" t="str">
        <x:v>耕地</x:v>
      </x:c>
      <x:c r="G1221" s="32" t="str">
        <x:v>103</x:v>
      </x:c>
      <x:c r="H1221" s="32" t="str">
        <x:v>103</x:v>
      </x:c>
      <x:c r="I1221" s="22" t="str">
        <x:v>旱地</x:v>
      </x:c>
      <x:c r="J1221" s="22" t="str">
        <x:v>农业生态</x:v>
      </x:c>
      <x:c r="K1221" s="32" t="str">
        <x:v>203</x:v>
      </x:c>
      <x:c r="L1221" s="22" t="str">
        <x:v>村庄范围</x:v>
      </x:c>
      <x:c r="M1221" s="33" t="n">
        <x:v>1880414.539999998</x:v>
      </x:c>
      <x:c r="N1221" s="33" t="n">
        <x:v>188.0414539999998</x:v>
      </x:c>
      <x:c r="O1221" s="22" t="str">
        <x:v>公顷</x:v>
      </x:c>
      <x:c r="P1221" s="22" t="str">
        <x:v>未提供（单期横截面）</x:v>
      </x:c>
      <x:c r="Q1221" s="23" t="n">
        <x:v>4200</x:v>
      </x:c>
    </x:row>
    <x:row r="1222">
      <x:c r="A1222" s="30" t="n">
        <x:v>350500</x:v>
      </x:c>
      <x:c r="B1222" s="22" t="str">
        <x:v>泉州市</x:v>
      </x:c>
      <x:c r="C1222" s="31" t="n">
        <x:v>350521</x:v>
      </x:c>
      <x:c r="D1222" s="22" t="str">
        <x:v>惠安县</x:v>
      </x:c>
      <x:c r="E1222" s="22" t="str">
        <x:v>农用地</x:v>
      </x:c>
      <x:c r="F1222" s="22" t="str">
        <x:v>园地</x:v>
      </x:c>
      <x:c r="G1222" s="32" t="str">
        <x:v>201</x:v>
      </x:c>
      <x:c r="H1222" s="32" t="str">
        <x:v>201</x:v>
      </x:c>
      <x:c r="I1222" s="22" t="str">
        <x:v>果园</x:v>
      </x:c>
      <x:c r="J1222" s="22" t="str">
        <x:v>农业生态</x:v>
      </x:c>
      <x:c r="K1222" s="32" t="str">
        <x:v>203</x:v>
      </x:c>
      <x:c r="L1222" s="22" t="str">
        <x:v>村庄范围</x:v>
      </x:c>
      <x:c r="M1222" s="33" t="n">
        <x:v>37664.759999999995</x:v>
      </x:c>
      <x:c r="N1222" s="33" t="n">
        <x:v>3.7664759999999995</x:v>
      </x:c>
      <x:c r="O1222" s="22" t="str">
        <x:v>公顷</x:v>
      </x:c>
      <x:c r="P1222" s="22" t="str">
        <x:v>未提供（单期横截面）</x:v>
      </x:c>
      <x:c r="Q1222" s="23" t="n">
        <x:v>4201</x:v>
      </x:c>
    </x:row>
    <x:row r="1223">
      <x:c r="A1223" s="30" t="n">
        <x:v>350500</x:v>
      </x:c>
      <x:c r="B1223" s="22" t="str">
        <x:v>泉州市</x:v>
      </x:c>
      <x:c r="C1223" s="31" t="n">
        <x:v>350521</x:v>
      </x:c>
      <x:c r="D1223" s="22" t="str">
        <x:v>惠安县</x:v>
      </x:c>
      <x:c r="E1223" s="22" t="str">
        <x:v>农用地</x:v>
      </x:c>
      <x:c r="F1223" s="22" t="str">
        <x:v>园地</x:v>
      </x:c>
      <x:c r="G1223" s="32" t="str">
        <x:v>0201K</x:v>
      </x:c>
      <x:c r="H1223" s="32" t="str">
        <x:v>201</x:v>
      </x:c>
      <x:c r="I1223" s="22" t="str">
        <x:v>可调整果园</x:v>
      </x:c>
      <x:c r="J1223" s="22" t="str">
        <x:v>农业生态</x:v>
      </x:c>
      <x:c r="K1223" s="32" t="str">
        <x:v>203</x:v>
      </x:c>
      <x:c r="L1223" s="22" t="str">
        <x:v>村庄范围</x:v>
      </x:c>
      <x:c r="M1223" s="33" t="n">
        <x:v>11266.77</x:v>
      </x:c>
      <x:c r="N1223" s="33" t="n">
        <x:v>1.1266770000000002</x:v>
      </x:c>
      <x:c r="O1223" s="22" t="str">
        <x:v>公顷</x:v>
      </x:c>
      <x:c r="P1223" s="22" t="str">
        <x:v>未提供（单期横截面）</x:v>
      </x:c>
      <x:c r="Q1223" s="23" t="n">
        <x:v>4202</x:v>
      </x:c>
    </x:row>
    <x:row r="1224">
      <x:c r="A1224" s="30" t="n">
        <x:v>350500</x:v>
      </x:c>
      <x:c r="B1224" s="22" t="str">
        <x:v>泉州市</x:v>
      </x:c>
      <x:c r="C1224" s="31" t="n">
        <x:v>350521</x:v>
      </x:c>
      <x:c r="D1224" s="22" t="str">
        <x:v>惠安县</x:v>
      </x:c>
      <x:c r="E1224" s="22" t="str">
        <x:v>农用地</x:v>
      </x:c>
      <x:c r="F1224" s="22" t="str">
        <x:v>园地</x:v>
      </x:c>
      <x:c r="G1224" s="32" t="str">
        <x:v>204</x:v>
      </x:c>
      <x:c r="H1224" s="32" t="str">
        <x:v>204</x:v>
      </x:c>
      <x:c r="I1224" s="22" t="str">
        <x:v>其他园地</x:v>
      </x:c>
      <x:c r="J1224" s="22" t="str">
        <x:v>农业生态</x:v>
      </x:c>
      <x:c r="K1224" s="32" t="str">
        <x:v>203</x:v>
      </x:c>
      <x:c r="L1224" s="22" t="str">
        <x:v>村庄范围</x:v>
      </x:c>
      <x:c r="M1224" s="33" t="n">
        <x:v>2819.96</x:v>
      </x:c>
      <x:c r="N1224" s="33" t="n">
        <x:v>0.281996</x:v>
      </x:c>
      <x:c r="O1224" s="22" t="str">
        <x:v>公顷</x:v>
      </x:c>
      <x:c r="P1224" s="22" t="str">
        <x:v>未提供（单期横截面）</x:v>
      </x:c>
      <x:c r="Q1224" s="23" t="n">
        <x:v>4203</x:v>
      </x:c>
    </x:row>
    <x:row r="1225">
      <x:c r="A1225" s="30" t="n">
        <x:v>350500</x:v>
      </x:c>
      <x:c r="B1225" s="22" t="str">
        <x:v>泉州市</x:v>
      </x:c>
      <x:c r="C1225" s="31" t="n">
        <x:v>350521</x:v>
      </x:c>
      <x:c r="D1225" s="22" t="str">
        <x:v>惠安县</x:v>
      </x:c>
      <x:c r="E1225" s="22" t="str">
        <x:v>农用地</x:v>
      </x:c>
      <x:c r="F1225" s="22" t="str">
        <x:v>林地</x:v>
      </x:c>
      <x:c r="G1225" s="32" t="str">
        <x:v>301</x:v>
      </x:c>
      <x:c r="H1225" s="32" t="str">
        <x:v>301</x:v>
      </x:c>
      <x:c r="I1225" s="22" t="str">
        <x:v>乔木林地</x:v>
      </x:c>
      <x:c r="J1225" s="22" t="str">
        <x:v>农业生态</x:v>
      </x:c>
      <x:c r="K1225" s="32" t="str">
        <x:v>203</x:v>
      </x:c>
      <x:c r="L1225" s="22" t="str">
        <x:v>村庄范围</x:v>
      </x:c>
      <x:c r="M1225" s="33" t="n">
        <x:v>241300.08999999997</x:v>
      </x:c>
      <x:c r="N1225" s="33" t="n">
        <x:v>24.130008999999998</x:v>
      </x:c>
      <x:c r="O1225" s="22" t="str">
        <x:v>公顷</x:v>
      </x:c>
      <x:c r="P1225" s="22" t="str">
        <x:v>未提供（单期横截面）</x:v>
      </x:c>
      <x:c r="Q1225" s="23" t="n">
        <x:v>4204</x:v>
      </x:c>
    </x:row>
    <x:row r="1226">
      <x:c r="A1226" s="30" t="n">
        <x:v>350500</x:v>
      </x:c>
      <x:c r="B1226" s="22" t="str">
        <x:v>泉州市</x:v>
      </x:c>
      <x:c r="C1226" s="31" t="n">
        <x:v>350521</x:v>
      </x:c>
      <x:c r="D1226" s="22" t="str">
        <x:v>惠安县</x:v>
      </x:c>
      <x:c r="E1226" s="22" t="str">
        <x:v>农用地</x:v>
      </x:c>
      <x:c r="F1226" s="22" t="str">
        <x:v>林地</x:v>
      </x:c>
      <x:c r="G1226" s="32" t="str">
        <x:v>305</x:v>
      </x:c>
      <x:c r="H1226" s="32" t="str">
        <x:v>305</x:v>
      </x:c>
      <x:c r="I1226" s="22" t="str">
        <x:v>灌木林地</x:v>
      </x:c>
      <x:c r="J1226" s="22" t="str">
        <x:v>农业生态</x:v>
      </x:c>
      <x:c r="K1226" s="32" t="str">
        <x:v>203</x:v>
      </x:c>
      <x:c r="L1226" s="22" t="str">
        <x:v>村庄范围</x:v>
      </x:c>
      <x:c r="M1226" s="33" t="n">
        <x:v>26920.07</x:v>
      </x:c>
      <x:c r="N1226" s="33" t="n">
        <x:v>2.692007</x:v>
      </x:c>
      <x:c r="O1226" s="22" t="str">
        <x:v>公顷</x:v>
      </x:c>
      <x:c r="P1226" s="22" t="str">
        <x:v>未提供（单期横截面）</x:v>
      </x:c>
      <x:c r="Q1226" s="23" t="n">
        <x:v>4205</x:v>
      </x:c>
    </x:row>
    <x:row r="1227">
      <x:c r="A1227" s="30" t="n">
        <x:v>350500</x:v>
      </x:c>
      <x:c r="B1227" s="22" t="str">
        <x:v>泉州市</x:v>
      </x:c>
      <x:c r="C1227" s="31" t="n">
        <x:v>350521</x:v>
      </x:c>
      <x:c r="D1227" s="22" t="str">
        <x:v>惠安县</x:v>
      </x:c>
      <x:c r="E1227" s="22" t="str">
        <x:v>农用地</x:v>
      </x:c>
      <x:c r="F1227" s="22" t="str">
        <x:v>林地</x:v>
      </x:c>
      <x:c r="G1227" s="32" t="str">
        <x:v>307</x:v>
      </x:c>
      <x:c r="H1227" s="32" t="str">
        <x:v>307</x:v>
      </x:c>
      <x:c r="I1227" s="22" t="str">
        <x:v>其他林地</x:v>
      </x:c>
      <x:c r="J1227" s="22" t="str">
        <x:v>农业生态</x:v>
      </x:c>
      <x:c r="K1227" s="32" t="str">
        <x:v>203</x:v>
      </x:c>
      <x:c r="L1227" s="22" t="str">
        <x:v>村庄范围</x:v>
      </x:c>
      <x:c r="M1227" s="33" t="n">
        <x:v>25808.15</x:v>
      </x:c>
      <x:c r="N1227" s="33" t="n">
        <x:v>2.5808150000000003</x:v>
      </x:c>
      <x:c r="O1227" s="22" t="str">
        <x:v>公顷</x:v>
      </x:c>
      <x:c r="P1227" s="22" t="str">
        <x:v>未提供（单期横截面）</x:v>
      </x:c>
      <x:c r="Q1227" s="23" t="n">
        <x:v>4206</x:v>
      </x:c>
    </x:row>
    <x:row r="1228">
      <x:c r="A1228" s="30" t="n">
        <x:v>350500</x:v>
      </x:c>
      <x:c r="B1228" s="22" t="str">
        <x:v>泉州市</x:v>
      </x:c>
      <x:c r="C1228" s="31" t="n">
        <x:v>350521</x:v>
      </x:c>
      <x:c r="D1228" s="22" t="str">
        <x:v>惠安县</x:v>
      </x:c>
      <x:c r="E1228" s="22" t="str">
        <x:v>农用地</x:v>
      </x:c>
      <x:c r="F1228" s="22" t="str">
        <x:v>其他农用地</x:v>
      </x:c>
      <x:c r="G1228" s="32" t="str">
        <x:v>1006</x:v>
      </x:c>
      <x:c r="H1228" s="32" t="str">
        <x:v>1006</x:v>
      </x:c>
      <x:c r="I1228" s="22" t="str">
        <x:v>农村道路</x:v>
      </x:c>
      <x:c r="J1228" s="22" t="str">
        <x:v>农业生态</x:v>
      </x:c>
      <x:c r="K1228" s="32" t="str">
        <x:v>203</x:v>
      </x:c>
      <x:c r="L1228" s="22" t="str">
        <x:v>村庄范围</x:v>
      </x:c>
      <x:c r="M1228" s="33" t="n">
        <x:v>11026.15</x:v>
      </x:c>
      <x:c r="N1228" s="33" t="n">
        <x:v>1.102615</x:v>
      </x:c>
      <x:c r="O1228" s="22" t="str">
        <x:v>公顷</x:v>
      </x:c>
      <x:c r="P1228" s="22" t="str">
        <x:v>未提供（单期横截面）</x:v>
      </x:c>
      <x:c r="Q1228" s="23" t="n">
        <x:v>4207</x:v>
      </x:c>
    </x:row>
    <x:row r="1229">
      <x:c r="A1229" s="30" t="n">
        <x:v>350500</x:v>
      </x:c>
      <x:c r="B1229" s="22" t="str">
        <x:v>泉州市</x:v>
      </x:c>
      <x:c r="C1229" s="31" t="n">
        <x:v>350521</x:v>
      </x:c>
      <x:c r="D1229" s="22" t="str">
        <x:v>惠安县</x:v>
      </x:c>
      <x:c r="E1229" s="22" t="str">
        <x:v>农用地</x:v>
      </x:c>
      <x:c r="F1229" s="22" t="str">
        <x:v>水域及水利设施</x:v>
      </x:c>
      <x:c r="G1229" s="32" t="str">
        <x:v>1104</x:v>
      </x:c>
      <x:c r="H1229" s="32" t="str">
        <x:v>1104</x:v>
      </x:c>
      <x:c r="I1229" s="22" t="str">
        <x:v>坑塘水面</x:v>
      </x:c>
      <x:c r="J1229" s="22" t="str">
        <x:v>农业生态</x:v>
      </x:c>
      <x:c r="K1229" s="32" t="str">
        <x:v>203</x:v>
      </x:c>
      <x:c r="L1229" s="22" t="str">
        <x:v>村庄范围</x:v>
      </x:c>
      <x:c r="M1229" s="33" t="n">
        <x:v>151005.21999999997</x:v>
      </x:c>
      <x:c r="N1229" s="33" t="n">
        <x:v>15.100521999999998</x:v>
      </x:c>
      <x:c r="O1229" s="22" t="str">
        <x:v>公顷</x:v>
      </x:c>
      <x:c r="P1229" s="22" t="str">
        <x:v>未提供（单期横截面）</x:v>
      </x:c>
      <x:c r="Q1229" s="23" t="n">
        <x:v>4208</x:v>
      </x:c>
    </x:row>
    <x:row r="1230">
      <x:c r="A1230" s="30" t="n">
        <x:v>350500</x:v>
      </x:c>
      <x:c r="B1230" s="22" t="str">
        <x:v>泉州市</x:v>
      </x:c>
      <x:c r="C1230" s="31" t="n">
        <x:v>350521</x:v>
      </x:c>
      <x:c r="D1230" s="22" t="str">
        <x:v>惠安县</x:v>
      </x:c>
      <x:c r="E1230" s="22" t="str">
        <x:v>农用地</x:v>
      </x:c>
      <x:c r="F1230" s="22" t="str">
        <x:v>水域及水利设施</x:v>
      </x:c>
      <x:c r="G1230" s="32" t="str">
        <x:v>1107</x:v>
      </x:c>
      <x:c r="H1230" s="32" t="str">
        <x:v>1107</x:v>
      </x:c>
      <x:c r="I1230" s="22" t="str">
        <x:v>沟渠</x:v>
      </x:c>
      <x:c r="J1230" s="22" t="str">
        <x:v>农业生态</x:v>
      </x:c>
      <x:c r="K1230" s="32" t="str">
        <x:v>203</x:v>
      </x:c>
      <x:c r="L1230" s="22" t="str">
        <x:v>村庄范围</x:v>
      </x:c>
      <x:c r="M1230" s="33" t="n">
        <x:v>27571.530000000006</x:v>
      </x:c>
      <x:c r="N1230" s="33" t="n">
        <x:v>2.7571530000000006</x:v>
      </x:c>
      <x:c r="O1230" s="22" t="str">
        <x:v>公顷</x:v>
      </x:c>
      <x:c r="P1230" s="22" t="str">
        <x:v>未提供（单期横截面）</x:v>
      </x:c>
      <x:c r="Q1230" s="23" t="n">
        <x:v>4209</x:v>
      </x:c>
    </x:row>
    <x:row r="1231">
      <x:c r="A1231" s="30" t="n">
        <x:v>350500</x:v>
      </x:c>
      <x:c r="B1231" s="22" t="str">
        <x:v>泉州市</x:v>
      </x:c>
      <x:c r="C1231" s="31" t="n">
        <x:v>350521</x:v>
      </x:c>
      <x:c r="D1231" s="22" t="str">
        <x:v>惠安县</x:v>
      </x:c>
      <x:c r="E1231" s="22" t="str">
        <x:v>农用地</x:v>
      </x:c>
      <x:c r="F1231" s="22" t="str">
        <x:v>其他农用地</x:v>
      </x:c>
      <x:c r="G1231" s="32" t="str">
        <x:v>1202</x:v>
      </x:c>
      <x:c r="H1231" s="32" t="str">
        <x:v>1202</x:v>
      </x:c>
      <x:c r="I1231" s="22" t="str">
        <x:v>设施农用地</x:v>
      </x:c>
      <x:c r="J1231" s="22" t="str">
        <x:v>农业生态</x:v>
      </x:c>
      <x:c r="K1231" s="32" t="str">
        <x:v>203</x:v>
      </x:c>
      <x:c r="L1231" s="22" t="str">
        <x:v>村庄范围</x:v>
      </x:c>
      <x:c r="M1231" s="33" t="n">
        <x:v>43795.95</x:v>
      </x:c>
      <x:c r="N1231" s="33" t="n">
        <x:v>4.379595</x:v>
      </x:c>
      <x:c r="O1231" s="22" t="str">
        <x:v>公顷</x:v>
      </x:c>
      <x:c r="P1231" s="22" t="str">
        <x:v>未提供（单期横截面）</x:v>
      </x:c>
      <x:c r="Q1231" s="23" t="n">
        <x:v>4210</x:v>
      </x:c>
    </x:row>
    <x:row r="1232">
      <x:c r="A1232" s="30" t="n">
        <x:v>350500</x:v>
      </x:c>
      <x:c r="B1232" s="22" t="str">
        <x:v>泉州市</x:v>
      </x:c>
      <x:c r="C1232" s="31" t="n">
        <x:v>350521</x:v>
      </x:c>
      <x:c r="D1232" s="22" t="str">
        <x:v>惠安县</x:v>
      </x:c>
      <x:c r="E1232" s="22" t="str">
        <x:v>农用地</x:v>
      </x:c>
      <x:c r="F1232" s="22" t="str">
        <x:v>园地</x:v>
      </x:c>
      <x:c r="G1232" s="32" t="str">
        <x:v>204</x:v>
      </x:c>
      <x:c r="H1232" s="32" t="str">
        <x:v>204</x:v>
      </x:c>
      <x:c r="I1232" s="22" t="str">
        <x:v>其他园地</x:v>
      </x:c>
      <x:c r="J1232" s="22" t="str">
        <x:v>农业生态</x:v>
      </x:c>
      <x:c r="K1232" s="32" t="str">
        <x:v>204</x:v>
      </x:c>
      <x:c r="L1232" s="22" t="str">
        <x:v>盐田及采矿用地</x:v>
      </x:c>
      <x:c r="M1232" s="33" t="n">
        <x:v>9509.5</x:v>
      </x:c>
      <x:c r="N1232" s="33" t="n">
        <x:v>0.95095</x:v>
      </x:c>
      <x:c r="O1232" s="22" t="str">
        <x:v>公顷</x:v>
      </x:c>
      <x:c r="P1232" s="22" t="str">
        <x:v>未提供（单期横截面）</x:v>
      </x:c>
      <x:c r="Q1232" s="23" t="n">
        <x:v>4211</x:v>
      </x:c>
    </x:row>
    <x:row r="1233">
      <x:c r="A1233" s="30" t="n">
        <x:v>350500</x:v>
      </x:c>
      <x:c r="B1233" s="22" t="str">
        <x:v>泉州市</x:v>
      </x:c>
      <x:c r="C1233" s="31" t="n">
        <x:v>350521</x:v>
      </x:c>
      <x:c r="D1233" s="22" t="str">
        <x:v>惠安县</x:v>
      </x:c>
      <x:c r="E1233" s="22" t="str">
        <x:v>农用地</x:v>
      </x:c>
      <x:c r="F1233" s="22" t="str">
        <x:v>林地</x:v>
      </x:c>
      <x:c r="G1233" s="32" t="str">
        <x:v>301</x:v>
      </x:c>
      <x:c r="H1233" s="32" t="str">
        <x:v>301</x:v>
      </x:c>
      <x:c r="I1233" s="22" t="str">
        <x:v>乔木林地</x:v>
      </x:c>
      <x:c r="J1233" s="22" t="str">
        <x:v>农业生态</x:v>
      </x:c>
      <x:c r="K1233" s="32" t="str">
        <x:v>204</x:v>
      </x:c>
      <x:c r="L1233" s="22" t="str">
        <x:v>盐田及采矿用地</x:v>
      </x:c>
      <x:c r="M1233" s="33" t="n">
        <x:v>19778.4</x:v>
      </x:c>
      <x:c r="N1233" s="33" t="n">
        <x:v>1.97784</x:v>
      </x:c>
      <x:c r="O1233" s="22" t="str">
        <x:v>公顷</x:v>
      </x:c>
      <x:c r="P1233" s="22" t="str">
        <x:v>未提供（单期横截面）</x:v>
      </x:c>
      <x:c r="Q1233" s="23" t="n">
        <x:v>4212</x:v>
      </x:c>
    </x:row>
    <x:row r="1234">
      <x:c r="A1234" s="30" t="n">
        <x:v>350500</x:v>
      </x:c>
      <x:c r="B1234" s="22" t="str">
        <x:v>泉州市</x:v>
      </x:c>
      <x:c r="C1234" s="31" t="n">
        <x:v>350521</x:v>
      </x:c>
      <x:c r="D1234" s="22" t="str">
        <x:v>惠安县</x:v>
      </x:c>
      <x:c r="E1234" s="22" t="str">
        <x:v>农用地</x:v>
      </x:c>
      <x:c r="F1234" s="22" t="str">
        <x:v>其他农用地</x:v>
      </x:c>
      <x:c r="G1234" s="32" t="str">
        <x:v>1006</x:v>
      </x:c>
      <x:c r="H1234" s="32" t="str">
        <x:v>1006</x:v>
      </x:c>
      <x:c r="I1234" s="22" t="str">
        <x:v>农村道路</x:v>
      </x:c>
      <x:c r="J1234" s="22" t="str">
        <x:v>农业生态</x:v>
      </x:c>
      <x:c r="K1234" s="32" t="str">
        <x:v>204</x:v>
      </x:c>
      <x:c r="L1234" s="22" t="str">
        <x:v>盐田及采矿用地</x:v>
      </x:c>
      <x:c r="M1234" s="33" t="n">
        <x:v>5867.56</x:v>
      </x:c>
      <x:c r="N1234" s="33" t="n">
        <x:v>0.586756</x:v>
      </x:c>
      <x:c r="O1234" s="22" t="str">
        <x:v>公顷</x:v>
      </x:c>
      <x:c r="P1234" s="22" t="str">
        <x:v>未提供（单期横截面）</x:v>
      </x:c>
      <x:c r="Q1234" s="23" t="n">
        <x:v>4213</x:v>
      </x:c>
    </x:row>
    <x:row r="1235">
      <x:c r="A1235" s="30" t="n">
        <x:v>350500</x:v>
      </x:c>
      <x:c r="B1235" s="22" t="str">
        <x:v>泉州市</x:v>
      </x:c>
      <x:c r="C1235" s="31" t="n">
        <x:v>350521</x:v>
      </x:c>
      <x:c r="D1235" s="22" t="str">
        <x:v>惠安县</x:v>
      </x:c>
      <x:c r="E1235" s="22" t="str">
        <x:v>农用地</x:v>
      </x:c>
      <x:c r="F1235" s="22" t="str">
        <x:v>水域及水利设施</x:v>
      </x:c>
      <x:c r="G1235" s="32" t="str">
        <x:v>1104</x:v>
      </x:c>
      <x:c r="H1235" s="32" t="str">
        <x:v>1104</x:v>
      </x:c>
      <x:c r="I1235" s="22" t="str">
        <x:v>坑塘水面</x:v>
      </x:c>
      <x:c r="J1235" s="22" t="str">
        <x:v>农业生态</x:v>
      </x:c>
      <x:c r="K1235" s="32" t="str">
        <x:v>204</x:v>
      </x:c>
      <x:c r="L1235" s="22" t="str">
        <x:v>盐田及采矿用地</x:v>
      </x:c>
      <x:c r="M1235" s="33" t="n">
        <x:v>14317.01</x:v>
      </x:c>
      <x:c r="N1235" s="33" t="n">
        <x:v>1.4317010000000001</x:v>
      </x:c>
      <x:c r="O1235" s="22" t="str">
        <x:v>公顷</x:v>
      </x:c>
      <x:c r="P1235" s="22" t="str">
        <x:v>未提供（单期横截面）</x:v>
      </x:c>
      <x:c r="Q1235" s="23" t="n">
        <x:v>4214</x:v>
      </x:c>
    </x:row>
    <x:row r="1236">
      <x:c r="A1236" s="30" t="n">
        <x:v>350500</x:v>
      </x:c>
      <x:c r="B1236" s="22" t="str">
        <x:v>泉州市</x:v>
      </x:c>
      <x:c r="C1236" s="31" t="n">
        <x:v>350521</x:v>
      </x:c>
      <x:c r="D1236" s="22" t="str">
        <x:v>惠安县</x:v>
      </x:c>
      <x:c r="E1236" s="22" t="str">
        <x:v>农用地</x:v>
      </x:c>
      <x:c r="F1236" s="22" t="str">
        <x:v>其他农用地</x:v>
      </x:c>
      <x:c r="G1236" s="32" t="str">
        <x:v>1202</x:v>
      </x:c>
      <x:c r="H1236" s="32" t="str">
        <x:v>1202</x:v>
      </x:c>
      <x:c r="I1236" s="22" t="str">
        <x:v>设施农用地</x:v>
      </x:c>
      <x:c r="J1236" s="22" t="str">
        <x:v>农业生态</x:v>
      </x:c>
      <x:c r="K1236" s="32" t="str">
        <x:v>204</x:v>
      </x:c>
      <x:c r="L1236" s="22" t="str">
        <x:v>盐田及采矿用地</x:v>
      </x:c>
      <x:c r="M1236" s="33" t="n">
        <x:v>162</x:v>
      </x:c>
      <x:c r="N1236" s="33" t="n">
        <x:v>0.0162</x:v>
      </x:c>
      <x:c r="O1236" s="22" t="str">
        <x:v>公顷</x:v>
      </x:c>
      <x:c r="P1236" s="22" t="str">
        <x:v>未提供（单期横截面）</x:v>
      </x:c>
      <x:c r="Q1236" s="23" t="n">
        <x:v>4215</x:v>
      </x:c>
    </x:row>
    <x:row r="1237">
      <x:c r="A1237" s="30" t="n">
        <x:v>350500</x:v>
      </x:c>
      <x:c r="B1237" s="22" t="str">
        <x:v>泉州市</x:v>
      </x:c>
      <x:c r="C1237" s="31" t="n">
        <x:v>350521</x:v>
      </x:c>
      <x:c r="D1237" s="22" t="str">
        <x:v>惠安县</x:v>
      </x:c>
      <x:c r="E1237" s="22" t="str">
        <x:v>未利用地</x:v>
      </x:c>
      <x:c r="F1237" s="22" t="str">
        <x:v>草地</x:v>
      </x:c>
      <x:c r="G1237" s="32" t="str">
        <x:v>404</x:v>
      </x:c>
      <x:c r="H1237" s="32" t="str">
        <x:v>404</x:v>
      </x:c>
      <x:c r="I1237" s="22" t="str">
        <x:v>其他草地</x:v>
      </x:c>
      <x:c r="J1237" s="22" t="str">
        <x:v>农业生态</x:v>
      </x:c>
      <x:c r="K1237" s="32" t="str"/>
      <x:c r="L1237" s="22" t="str">
        <x:v>不适用/未标注</x:v>
      </x:c>
      <x:c r="M1237" s="33" t="n">
        <x:v>15613067.330000024</x:v>
      </x:c>
      <x:c r="N1237" s="33" t="n">
        <x:v>1561.3067330000024</x:v>
      </x:c>
      <x:c r="O1237" s="22" t="str">
        <x:v>公顷</x:v>
      </x:c>
      <x:c r="P1237" s="22" t="str">
        <x:v>未提供（单期横截面）</x:v>
      </x:c>
      <x:c r="Q1237" s="23" t="n">
        <x:v>4216</x:v>
      </x:c>
    </x:row>
    <x:row r="1238">
      <x:c r="A1238" s="30" t="n">
        <x:v>350500</x:v>
      </x:c>
      <x:c r="B1238" s="22" t="str">
        <x:v>泉州市</x:v>
      </x:c>
      <x:c r="C1238" s="31" t="n">
        <x:v>350521</x:v>
      </x:c>
      <x:c r="D1238" s="22" t="str">
        <x:v>惠安县</x:v>
      </x:c>
      <x:c r="E1238" s="22" t="str">
        <x:v>未利用地</x:v>
      </x:c>
      <x:c r="F1238" s="22" t="str">
        <x:v>水域及水利设施</x:v>
      </x:c>
      <x:c r="G1238" s="32" t="str">
        <x:v>1101</x:v>
      </x:c>
      <x:c r="H1238" s="32" t="str">
        <x:v>1101</x:v>
      </x:c>
      <x:c r="I1238" s="22" t="str">
        <x:v>河流水面</x:v>
      </x:c>
      <x:c r="J1238" s="22" t="str">
        <x:v>农业生态</x:v>
      </x:c>
      <x:c r="K1238" s="32" t="str"/>
      <x:c r="L1238" s="22" t="str">
        <x:v>不适用/未标注</x:v>
      </x:c>
      <x:c r="M1238" s="33" t="n">
        <x:v>11404238.860000003</x:v>
      </x:c>
      <x:c r="N1238" s="33" t="n">
        <x:v>1140.4238860000003</x:v>
      </x:c>
      <x:c r="O1238" s="22" t="str">
        <x:v>公顷</x:v>
      </x:c>
      <x:c r="P1238" s="22" t="str">
        <x:v>未提供（单期横截面）</x:v>
      </x:c>
      <x:c r="Q1238" s="23" t="n">
        <x:v>4217</x:v>
      </x:c>
    </x:row>
    <x:row r="1239">
      <x:c r="A1239" s="30" t="n">
        <x:v>350500</x:v>
      </x:c>
      <x:c r="B1239" s="22" t="str">
        <x:v>泉州市</x:v>
      </x:c>
      <x:c r="C1239" s="31" t="n">
        <x:v>350521</x:v>
      </x:c>
      <x:c r="D1239" s="22" t="str">
        <x:v>惠安县</x:v>
      </x:c>
      <x:c r="E1239" s="22" t="str">
        <x:v>未利用地</x:v>
      </x:c>
      <x:c r="F1239" s="22" t="str">
        <x:v>水域及水利设施</x:v>
      </x:c>
      <x:c r="G1239" s="32" t="str">
        <x:v>1105</x:v>
      </x:c>
      <x:c r="H1239" s="32" t="str">
        <x:v>1105</x:v>
      </x:c>
      <x:c r="I1239" s="22" t="str">
        <x:v>沿海滩涂</x:v>
      </x:c>
      <x:c r="J1239" s="22" t="str">
        <x:v>农业生态</x:v>
      </x:c>
      <x:c r="K1239" s="32" t="str"/>
      <x:c r="L1239" s="22" t="str">
        <x:v>不适用/未标注</x:v>
      </x:c>
      <x:c r="M1239" s="33" t="n">
        <x:v>63261947.17</x:v>
      </x:c>
      <x:c r="N1239" s="33" t="n">
        <x:v>6326.194717</x:v>
      </x:c>
      <x:c r="O1239" s="22" t="str">
        <x:v>公顷</x:v>
      </x:c>
      <x:c r="P1239" s="22" t="str">
        <x:v>未提供（单期横截面）</x:v>
      </x:c>
      <x:c r="Q1239" s="23" t="n">
        <x:v>4218</x:v>
      </x:c>
    </x:row>
    <x:row r="1240">
      <x:c r="A1240" s="30" t="n">
        <x:v>350500</x:v>
      </x:c>
      <x:c r="B1240" s="22" t="str">
        <x:v>泉州市</x:v>
      </x:c>
      <x:c r="C1240" s="31" t="n">
        <x:v>350521</x:v>
      </x:c>
      <x:c r="D1240" s="22" t="str">
        <x:v>惠安县</x:v>
      </x:c>
      <x:c r="E1240" s="22" t="str">
        <x:v>未利用地</x:v>
      </x:c>
      <x:c r="F1240" s="22" t="str">
        <x:v>水域及水利设施</x:v>
      </x:c>
      <x:c r="G1240" s="32" t="str">
        <x:v>1106</x:v>
      </x:c>
      <x:c r="H1240" s="32" t="str">
        <x:v>1106</x:v>
      </x:c>
      <x:c r="I1240" s="22" t="str">
        <x:v>内陆滩涂</x:v>
      </x:c>
      <x:c r="J1240" s="22" t="str">
        <x:v>农业生态</x:v>
      </x:c>
      <x:c r="K1240" s="32" t="str"/>
      <x:c r="L1240" s="22" t="str">
        <x:v>不适用/未标注</x:v>
      </x:c>
      <x:c r="M1240" s="33" t="n">
        <x:v>274374.51</x:v>
      </x:c>
      <x:c r="N1240" s="33" t="n">
        <x:v>27.437451</x:v>
      </x:c>
      <x:c r="O1240" s="22" t="str">
        <x:v>公顷</x:v>
      </x:c>
      <x:c r="P1240" s="22" t="str">
        <x:v>未提供（单期横截面）</x:v>
      </x:c>
      <x:c r="Q1240" s="23" t="n">
        <x:v>4219</x:v>
      </x:c>
    </x:row>
    <x:row r="1241">
      <x:c r="A1241" s="30" t="n">
        <x:v>350500</x:v>
      </x:c>
      <x:c r="B1241" s="22" t="str">
        <x:v>泉州市</x:v>
      </x:c>
      <x:c r="C1241" s="31" t="n">
        <x:v>350521</x:v>
      </x:c>
      <x:c r="D1241" s="22" t="str">
        <x:v>惠安县</x:v>
      </x:c>
      <x:c r="E1241" s="22" t="str">
        <x:v>未利用地</x:v>
      </x:c>
      <x:c r="F1241" s="22" t="str">
        <x:v>未利用地</x:v>
      </x:c>
      <x:c r="G1241" s="32" t="str">
        <x:v>1205</x:v>
      </x:c>
      <x:c r="H1241" s="32" t="str">
        <x:v>1205</x:v>
      </x:c>
      <x:c r="I1241" s="22" t="str">
        <x:v>沙地</x:v>
      </x:c>
      <x:c r="J1241" s="22" t="str">
        <x:v>未利用地</x:v>
      </x:c>
      <x:c r="K1241" s="32" t="str"/>
      <x:c r="L1241" s="22" t="str">
        <x:v>不适用/未标注</x:v>
      </x:c>
      <x:c r="M1241" s="33" t="n">
        <x:v>1581.87</x:v>
      </x:c>
      <x:c r="N1241" s="33" t="n">
        <x:v>0.158187</x:v>
      </x:c>
      <x:c r="O1241" s="22" t="str">
        <x:v>公顷</x:v>
      </x:c>
      <x:c r="P1241" s="22" t="str">
        <x:v>未提供（单期横截面）</x:v>
      </x:c>
      <x:c r="Q1241" s="23" t="n">
        <x:v>4220</x:v>
      </x:c>
    </x:row>
    <x:row r="1242">
      <x:c r="A1242" s="30" t="n">
        <x:v>350500</x:v>
      </x:c>
      <x:c r="B1242" s="22" t="str">
        <x:v>泉州市</x:v>
      </x:c>
      <x:c r="C1242" s="31" t="n">
        <x:v>350521</x:v>
      </x:c>
      <x:c r="D1242" s="22" t="str">
        <x:v>惠安县</x:v>
      </x:c>
      <x:c r="E1242" s="22" t="str">
        <x:v>未利用地</x:v>
      </x:c>
      <x:c r="F1242" s="22" t="str">
        <x:v>未利用地</x:v>
      </x:c>
      <x:c r="G1242" s="32" t="str">
        <x:v>1207</x:v>
      </x:c>
      <x:c r="H1242" s="32" t="str">
        <x:v>1207</x:v>
      </x:c>
      <x:c r="I1242" s="22" t="str">
        <x:v>裸岩石砾地</x:v>
      </x:c>
      <x:c r="J1242" s="22" t="str">
        <x:v>未利用地</x:v>
      </x:c>
      <x:c r="K1242" s="32" t="str"/>
      <x:c r="L1242" s="22" t="str">
        <x:v>不适用/未标注</x:v>
      </x:c>
      <x:c r="M1242" s="33" t="n">
        <x:v>6562170.14</x:v>
      </x:c>
      <x:c r="N1242" s="33" t="n">
        <x:v>656.217014</x:v>
      </x:c>
      <x:c r="O1242" s="22" t="str">
        <x:v>公顷</x:v>
      </x:c>
      <x:c r="P1242" s="22" t="str">
        <x:v>未提供（单期横截面）</x:v>
      </x:c>
      <x:c r="Q1242" s="23" t="n">
        <x:v>4221</x:v>
      </x:c>
    </x:row>
    <x:row r="1243">
      <x:c r="A1243" s="30" t="n">
        <x:v>350500</x:v>
      </x:c>
      <x:c r="B1243" s="22" t="str">
        <x:v>泉州市</x:v>
      </x:c>
      <x:c r="C1243" s="31" t="n">
        <x:v>350521</x:v>
      </x:c>
      <x:c r="D1243" s="22" t="str">
        <x:v>惠安县</x:v>
      </x:c>
      <x:c r="E1243" s="22" t="str">
        <x:v>未利用地</x:v>
      </x:c>
      <x:c r="F1243" s="22" t="str">
        <x:v>草地</x:v>
      </x:c>
      <x:c r="G1243" s="32" t="str">
        <x:v>404</x:v>
      </x:c>
      <x:c r="H1243" s="32" t="str">
        <x:v>404</x:v>
      </x:c>
      <x:c r="I1243" s="22" t="str">
        <x:v>其他草地</x:v>
      </x:c>
      <x:c r="J1243" s="22" t="str">
        <x:v>农业生态</x:v>
      </x:c>
      <x:c r="K1243" s="32" t="str">
        <x:v>202</x:v>
      </x:c>
      <x:c r="L1243" s="22" t="str">
        <x:v>建制镇范围</x:v>
      </x:c>
      <x:c r="M1243" s="33" t="n">
        <x:v>264415.94</x:v>
      </x:c>
      <x:c r="N1243" s="33" t="n">
        <x:v>26.441594</x:v>
      </x:c>
      <x:c r="O1243" s="22" t="str">
        <x:v>公顷</x:v>
      </x:c>
      <x:c r="P1243" s="22" t="str">
        <x:v>未提供（单期横截面）</x:v>
      </x:c>
      <x:c r="Q1243" s="23" t="n">
        <x:v>4222</x:v>
      </x:c>
    </x:row>
    <x:row r="1244">
      <x:c r="A1244" s="30" t="n">
        <x:v>350500</x:v>
      </x:c>
      <x:c r="B1244" s="22" t="str">
        <x:v>泉州市</x:v>
      </x:c>
      <x:c r="C1244" s="31" t="n">
        <x:v>350521</x:v>
      </x:c>
      <x:c r="D1244" s="22" t="str">
        <x:v>惠安县</x:v>
      </x:c>
      <x:c r="E1244" s="22" t="str">
        <x:v>未利用地</x:v>
      </x:c>
      <x:c r="F1244" s="22" t="str">
        <x:v>水域及水利设施</x:v>
      </x:c>
      <x:c r="G1244" s="32" t="str">
        <x:v>1101</x:v>
      </x:c>
      <x:c r="H1244" s="32" t="str">
        <x:v>1101</x:v>
      </x:c>
      <x:c r="I1244" s="22" t="str">
        <x:v>河流水面</x:v>
      </x:c>
      <x:c r="J1244" s="22" t="str">
        <x:v>农业生态</x:v>
      </x:c>
      <x:c r="K1244" s="32" t="str">
        <x:v>202</x:v>
      </x:c>
      <x:c r="L1244" s="22" t="str">
        <x:v>建制镇范围</x:v>
      </x:c>
      <x:c r="M1244" s="33" t="n">
        <x:v>6593.660000000001</x:v>
      </x:c>
      <x:c r="N1244" s="33" t="n">
        <x:v>0.6593660000000001</x:v>
      </x:c>
      <x:c r="O1244" s="22" t="str">
        <x:v>公顷</x:v>
      </x:c>
      <x:c r="P1244" s="22" t="str">
        <x:v>未提供（单期横截面）</x:v>
      </x:c>
      <x:c r="Q1244" s="23" t="n">
        <x:v>4223</x:v>
      </x:c>
    </x:row>
    <x:row r="1245">
      <x:c r="A1245" s="30" t="n">
        <x:v>350500</x:v>
      </x:c>
      <x:c r="B1245" s="22" t="str">
        <x:v>泉州市</x:v>
      </x:c>
      <x:c r="C1245" s="31" t="n">
        <x:v>350521</x:v>
      </x:c>
      <x:c r="D1245" s="22" t="str">
        <x:v>惠安县</x:v>
      </x:c>
      <x:c r="E1245" s="22" t="str">
        <x:v>未利用地</x:v>
      </x:c>
      <x:c r="F1245" s="22" t="str">
        <x:v>未利用地</x:v>
      </x:c>
      <x:c r="G1245" s="32" t="str">
        <x:v>1207</x:v>
      </x:c>
      <x:c r="H1245" s="32" t="str">
        <x:v>1207</x:v>
      </x:c>
      <x:c r="I1245" s="22" t="str">
        <x:v>裸岩石砾地</x:v>
      </x:c>
      <x:c r="J1245" s="22" t="str">
        <x:v>未利用地</x:v>
      </x:c>
      <x:c r="K1245" s="32" t="str">
        <x:v>202</x:v>
      </x:c>
      <x:c r="L1245" s="22" t="str">
        <x:v>建制镇范围</x:v>
      </x:c>
      <x:c r="M1245" s="33" t="n">
        <x:v>956.33</x:v>
      </x:c>
      <x:c r="N1245" s="33" t="n">
        <x:v>0.09563300000000001</x:v>
      </x:c>
      <x:c r="O1245" s="22" t="str">
        <x:v>公顷</x:v>
      </x:c>
      <x:c r="P1245" s="22" t="str">
        <x:v>未提供（单期横截面）</x:v>
      </x:c>
      <x:c r="Q1245" s="23" t="n">
        <x:v>4224</x:v>
      </x:c>
    </x:row>
    <x:row r="1246">
      <x:c r="A1246" s="30" t="n">
        <x:v>350500</x:v>
      </x:c>
      <x:c r="B1246" s="22" t="str">
        <x:v>泉州市</x:v>
      </x:c>
      <x:c r="C1246" s="31" t="n">
        <x:v>350521</x:v>
      </x:c>
      <x:c r="D1246" s="22" t="str">
        <x:v>惠安县</x:v>
      </x:c>
      <x:c r="E1246" s="22" t="str">
        <x:v>未利用地</x:v>
      </x:c>
      <x:c r="F1246" s="22" t="str">
        <x:v>草地</x:v>
      </x:c>
      <x:c r="G1246" s="32" t="str">
        <x:v>404</x:v>
      </x:c>
      <x:c r="H1246" s="32" t="str">
        <x:v>404</x:v>
      </x:c>
      <x:c r="I1246" s="22" t="str">
        <x:v>其他草地</x:v>
      </x:c>
      <x:c r="J1246" s="22" t="str">
        <x:v>农业生态</x:v>
      </x:c>
      <x:c r="K1246" s="32" t="str">
        <x:v>203</x:v>
      </x:c>
      <x:c r="L1246" s="22" t="str">
        <x:v>村庄范围</x:v>
      </x:c>
      <x:c r="M1246" s="33" t="n">
        <x:v>50252.78</x:v>
      </x:c>
      <x:c r="N1246" s="33" t="n">
        <x:v>5.025278</x:v>
      </x:c>
      <x:c r="O1246" s="22" t="str">
        <x:v>公顷</x:v>
      </x:c>
      <x:c r="P1246" s="22" t="str">
        <x:v>未提供（单期横截面）</x:v>
      </x:c>
      <x:c r="Q1246" s="23" t="n">
        <x:v>4225</x:v>
      </x:c>
    </x:row>
    <x:row r="1247">
      <x:c r="A1247" s="30" t="n">
        <x:v>350500</x:v>
      </x:c>
      <x:c r="B1247" s="22" t="str">
        <x:v>泉州市</x:v>
      </x:c>
      <x:c r="C1247" s="31" t="n">
        <x:v>350521</x:v>
      </x:c>
      <x:c r="D1247" s="22" t="str">
        <x:v>惠安县</x:v>
      </x:c>
      <x:c r="E1247" s="22" t="str">
        <x:v>未利用地</x:v>
      </x:c>
      <x:c r="F1247" s="22" t="str">
        <x:v>水域及水利设施</x:v>
      </x:c>
      <x:c r="G1247" s="32" t="str">
        <x:v>1101</x:v>
      </x:c>
      <x:c r="H1247" s="32" t="str">
        <x:v>1101</x:v>
      </x:c>
      <x:c r="I1247" s="22" t="str">
        <x:v>河流水面</x:v>
      </x:c>
      <x:c r="J1247" s="22" t="str">
        <x:v>农业生态</x:v>
      </x:c>
      <x:c r="K1247" s="32" t="str">
        <x:v>203</x:v>
      </x:c>
      <x:c r="L1247" s="22" t="str">
        <x:v>村庄范围</x:v>
      </x:c>
      <x:c r="M1247" s="33" t="n">
        <x:v>5889.82</x:v>
      </x:c>
      <x:c r="N1247" s="33" t="n">
        <x:v>0.588982</x:v>
      </x:c>
      <x:c r="O1247" s="22" t="str">
        <x:v>公顷</x:v>
      </x:c>
      <x:c r="P1247" s="22" t="str">
        <x:v>未提供（单期横截面）</x:v>
      </x:c>
      <x:c r="Q1247" s="23" t="n">
        <x:v>4226</x:v>
      </x:c>
    </x:row>
    <x:row r="1248">
      <x:c r="A1248" s="30" t="n">
        <x:v>350500</x:v>
      </x:c>
      <x:c r="B1248" s="22" t="str">
        <x:v>泉州市</x:v>
      </x:c>
      <x:c r="C1248" s="31" t="n">
        <x:v>350521</x:v>
      </x:c>
      <x:c r="D1248" s="22" t="str">
        <x:v>惠安县</x:v>
      </x:c>
      <x:c r="E1248" s="22" t="str">
        <x:v>未利用地</x:v>
      </x:c>
      <x:c r="F1248" s="22" t="str">
        <x:v>水域及水利设施</x:v>
      </x:c>
      <x:c r="G1248" s="32" t="str">
        <x:v>1105</x:v>
      </x:c>
      <x:c r="H1248" s="32" t="str">
        <x:v>1105</x:v>
      </x:c>
      <x:c r="I1248" s="22" t="str">
        <x:v>沿海滩涂</x:v>
      </x:c>
      <x:c r="J1248" s="22" t="str">
        <x:v>农业生态</x:v>
      </x:c>
      <x:c r="K1248" s="32" t="str">
        <x:v>203</x:v>
      </x:c>
      <x:c r="L1248" s="22" t="str">
        <x:v>村庄范围</x:v>
      </x:c>
      <x:c r="M1248" s="33" t="n">
        <x:v>10169.47</x:v>
      </x:c>
      <x:c r="N1248" s="33" t="n">
        <x:v>1.016947</x:v>
      </x:c>
      <x:c r="O1248" s="22" t="str">
        <x:v>公顷</x:v>
      </x:c>
      <x:c r="P1248" s="22" t="str">
        <x:v>未提供（单期横截面）</x:v>
      </x:c>
      <x:c r="Q1248" s="23" t="n">
        <x:v>4227</x:v>
      </x:c>
    </x:row>
    <x:row r="1249">
      <x:c r="A1249" s="30" t="n">
        <x:v>350500</x:v>
      </x:c>
      <x:c r="B1249" s="22" t="str">
        <x:v>泉州市</x:v>
      </x:c>
      <x:c r="C1249" s="31" t="n">
        <x:v>350521</x:v>
      </x:c>
      <x:c r="D1249" s="22" t="str">
        <x:v>惠安县</x:v>
      </x:c>
      <x:c r="E1249" s="22" t="str">
        <x:v>未利用地</x:v>
      </x:c>
      <x:c r="F1249" s="22" t="str">
        <x:v>未利用地</x:v>
      </x:c>
      <x:c r="G1249" s="32" t="str">
        <x:v>1207</x:v>
      </x:c>
      <x:c r="H1249" s="32" t="str">
        <x:v>1207</x:v>
      </x:c>
      <x:c r="I1249" s="22" t="str">
        <x:v>裸岩石砾地</x:v>
      </x:c>
      <x:c r="J1249" s="22" t="str">
        <x:v>未利用地</x:v>
      </x:c>
      <x:c r="K1249" s="32" t="str">
        <x:v>203</x:v>
      </x:c>
      <x:c r="L1249" s="22" t="str">
        <x:v>村庄范围</x:v>
      </x:c>
      <x:c r="M1249" s="33" t="n">
        <x:v>9916.48</x:v>
      </x:c>
      <x:c r="N1249" s="33" t="n">
        <x:v>0.991648</x:v>
      </x:c>
      <x:c r="O1249" s="22" t="str">
        <x:v>公顷</x:v>
      </x:c>
      <x:c r="P1249" s="22" t="str">
        <x:v>未提供（单期横截面）</x:v>
      </x:c>
      <x:c r="Q1249" s="23" t="n">
        <x:v>4228</x:v>
      </x:c>
    </x:row>
    <x:row r="1250">
      <x:c r="A1250" s="30" t="n">
        <x:v>350500</x:v>
      </x:c>
      <x:c r="B1250" s="22" t="str">
        <x:v>泉州市</x:v>
      </x:c>
      <x:c r="C1250" s="31" t="n">
        <x:v>350524</x:v>
      </x:c>
      <x:c r="D1250" s="22" t="str">
        <x:v>安溪县</x:v>
      </x:c>
      <x:c r="E1250" s="22" t="str">
        <x:v>建设用地</x:v>
      </x:c>
      <x:c r="F1250" s="22" t="str">
        <x:v>交通运输用地</x:v>
      </x:c>
      <x:c r="G1250" s="32" t="str">
        <x:v>1001</x:v>
      </x:c>
      <x:c r="H1250" s="32" t="str">
        <x:v>1001</x:v>
      </x:c>
      <x:c r="I1250" s="22" t="str">
        <x:v>铁路用地</x:v>
      </x:c>
      <x:c r="J1250" s="22" t="str">
        <x:v>交通门户</x:v>
      </x:c>
      <x:c r="K1250" s="32" t="str"/>
      <x:c r="L1250" s="22" t="str">
        <x:v>不适用/未标注</x:v>
      </x:c>
      <x:c r="M1250" s="33" t="n">
        <x:v>1856609.2499999993</x:v>
      </x:c>
      <x:c r="N1250" s="33" t="n">
        <x:v>185.66092499999993</x:v>
      </x:c>
      <x:c r="O1250" s="22" t="str">
        <x:v>公顷</x:v>
      </x:c>
      <x:c r="P1250" s="22" t="str">
        <x:v>未提供（单期横截面）</x:v>
      </x:c>
      <x:c r="Q1250" s="23" t="n">
        <x:v>4229</x:v>
      </x:c>
    </x:row>
    <x:row r="1251">
      <x:c r="A1251" s="30" t="n">
        <x:v>350500</x:v>
      </x:c>
      <x:c r="B1251" s="22" t="str">
        <x:v>泉州市</x:v>
      </x:c>
      <x:c r="C1251" s="31" t="n">
        <x:v>350524</x:v>
      </x:c>
      <x:c r="D1251" s="22" t="str">
        <x:v>安溪县</x:v>
      </x:c>
      <x:c r="E1251" s="22" t="str">
        <x:v>建设用地</x:v>
      </x:c>
      <x:c r="F1251" s="22" t="str">
        <x:v>交通运输用地</x:v>
      </x:c>
      <x:c r="G1251" s="32" t="str">
        <x:v>1003</x:v>
      </x:c>
      <x:c r="H1251" s="32" t="str">
        <x:v>1003</x:v>
      </x:c>
      <x:c r="I1251" s="22" t="str">
        <x:v>公路用地</x:v>
      </x:c>
      <x:c r="J1251" s="22" t="str">
        <x:v>交通门户</x:v>
      </x:c>
      <x:c r="K1251" s="32" t="str"/>
      <x:c r="L1251" s="22" t="str">
        <x:v>不适用/未标注</x:v>
      </x:c>
      <x:c r="M1251" s="33" t="n">
        <x:v>32461330.450000085</x:v>
      </x:c>
      <x:c r="N1251" s="33" t="n">
        <x:v>3246.1330450000087</x:v>
      </x:c>
      <x:c r="O1251" s="22" t="str">
        <x:v>公顷</x:v>
      </x:c>
      <x:c r="P1251" s="22" t="str">
        <x:v>未提供（单期横截面）</x:v>
      </x:c>
      <x:c r="Q1251" s="23" t="n">
        <x:v>4230</x:v>
      </x:c>
    </x:row>
    <x:row r="1252">
      <x:c r="A1252" s="30" t="n">
        <x:v>350500</x:v>
      </x:c>
      <x:c r="B1252" s="22" t="str">
        <x:v>泉州市</x:v>
      </x:c>
      <x:c r="C1252" s="31" t="n">
        <x:v>350524</x:v>
      </x:c>
      <x:c r="D1252" s="22" t="str">
        <x:v>安溪县</x:v>
      </x:c>
      <x:c r="E1252" s="22" t="str">
        <x:v>建设用地</x:v>
      </x:c>
      <x:c r="F1252" s="22" t="str">
        <x:v>水域及水利设施</x:v>
      </x:c>
      <x:c r="G1252" s="32" t="str">
        <x:v>1109</x:v>
      </x:c>
      <x:c r="H1252" s="32" t="str">
        <x:v>1109</x:v>
      </x:c>
      <x:c r="I1252" s="22" t="str">
        <x:v>水工建筑用地</x:v>
      </x:c>
      <x:c r="J1252" s="22" t="str">
        <x:v>其他建设</x:v>
      </x:c>
      <x:c r="K1252" s="32" t="str"/>
      <x:c r="L1252" s="22" t="str">
        <x:v>不适用/未标注</x:v>
      </x:c>
      <x:c r="M1252" s="33" t="n">
        <x:v>879619.2900000005</x:v>
      </x:c>
      <x:c r="N1252" s="33" t="n">
        <x:v>87.96192900000005</x:v>
      </x:c>
      <x:c r="O1252" s="22" t="str">
        <x:v>公顷</x:v>
      </x:c>
      <x:c r="P1252" s="22" t="str">
        <x:v>未提供（单期横截面）</x:v>
      </x:c>
      <x:c r="Q1252" s="23" t="n">
        <x:v>4231</x:v>
      </x:c>
    </x:row>
    <x:row r="1253">
      <x:c r="A1253" s="30" t="n">
        <x:v>350500</x:v>
      </x:c>
      <x:c r="B1253" s="22" t="str">
        <x:v>泉州市</x:v>
      </x:c>
      <x:c r="C1253" s="31" t="n">
        <x:v>350524</x:v>
      </x:c>
      <x:c r="D1253" s="22" t="str">
        <x:v>安溪县</x:v>
      </x:c>
      <x:c r="E1253" s="22" t="str">
        <x:v>建设用地</x:v>
      </x:c>
      <x:c r="F1253" s="22" t="str">
        <x:v>工矿仓储用地</x:v>
      </x:c>
      <x:c r="G1253" s="32" t="str">
        <x:v>508</x:v>
      </x:c>
      <x:c r="H1253" s="32" t="str">
        <x:v>508</x:v>
      </x:c>
      <x:c r="I1253" s="22" t="str">
        <x:v>物流仓储用地</x:v>
      </x:c>
      <x:c r="J1253" s="22" t="str">
        <x:v>产业功能</x:v>
      </x:c>
      <x:c r="K1253" s="32" t="str">
        <x:v>202</x:v>
      </x:c>
      <x:c r="L1253" s="22" t="str">
        <x:v>建制镇范围</x:v>
      </x:c>
      <x:c r="M1253" s="33" t="n">
        <x:v>151616.09999999998</x:v>
      </x:c>
      <x:c r="N1253" s="33" t="n">
        <x:v>15.161609999999998</x:v>
      </x:c>
      <x:c r="O1253" s="22" t="str">
        <x:v>公顷</x:v>
      </x:c>
      <x:c r="P1253" s="22" t="str">
        <x:v>未提供（单期横截面）</x:v>
      </x:c>
      <x:c r="Q1253" s="23" t="n">
        <x:v>4232</x:v>
      </x:c>
    </x:row>
    <x:row r="1254">
      <x:c r="A1254" s="30" t="n">
        <x:v>350500</x:v>
      </x:c>
      <x:c r="B1254" s="22" t="str">
        <x:v>泉州市</x:v>
      </x:c>
      <x:c r="C1254" s="31" t="n">
        <x:v>350524</x:v>
      </x:c>
      <x:c r="D1254" s="22" t="str">
        <x:v>安溪县</x:v>
      </x:c>
      <x:c r="E1254" s="22" t="str">
        <x:v>建设用地</x:v>
      </x:c>
      <x:c r="F1254" s="22" t="str">
        <x:v>商业服务业用地</x:v>
      </x:c>
      <x:c r="G1254" s="32" t="str">
        <x:v>05H1</x:v>
      </x:c>
      <x:c r="H1254" s="32" t="str">
        <x:v>05H1</x:v>
      </x:c>
      <x:c r="I1254" s="22" t="str">
        <x:v>商业服务业设施用地</x:v>
      </x:c>
      <x:c r="J1254" s="22" t="str">
        <x:v>商业服务</x:v>
      </x:c>
      <x:c r="K1254" s="32" t="str">
        <x:v>202</x:v>
      </x:c>
      <x:c r="L1254" s="22" t="str">
        <x:v>建制镇范围</x:v>
      </x:c>
      <x:c r="M1254" s="33" t="n">
        <x:v>1025867.8900000005</x:v>
      </x:c>
      <x:c r="N1254" s="33" t="n">
        <x:v>102.58678900000005</x:v>
      </x:c>
      <x:c r="O1254" s="22" t="str">
        <x:v>公顷</x:v>
      </x:c>
      <x:c r="P1254" s="22" t="str">
        <x:v>未提供（单期横截面）</x:v>
      </x:c>
      <x:c r="Q1254" s="23" t="n">
        <x:v>4233</x:v>
      </x:c>
    </x:row>
    <x:row r="1255">
      <x:c r="A1255" s="30" t="n">
        <x:v>350500</x:v>
      </x:c>
      <x:c r="B1255" s="22" t="str">
        <x:v>泉州市</x:v>
      </x:c>
      <x:c r="C1255" s="31" t="n">
        <x:v>350524</x:v>
      </x:c>
      <x:c r="D1255" s="22" t="str">
        <x:v>安溪县</x:v>
      </x:c>
      <x:c r="E1255" s="22" t="str">
        <x:v>建设用地</x:v>
      </x:c>
      <x:c r="F1255" s="22" t="str">
        <x:v>工矿仓储用地</x:v>
      </x:c>
      <x:c r="G1255" s="32" t="str">
        <x:v>601</x:v>
      </x:c>
      <x:c r="H1255" s="32" t="str">
        <x:v>601</x:v>
      </x:c>
      <x:c r="I1255" s="22" t="str">
        <x:v>工业用地</x:v>
      </x:c>
      <x:c r="J1255" s="22" t="str">
        <x:v>产业功能</x:v>
      </x:c>
      <x:c r="K1255" s="32" t="str">
        <x:v>202</x:v>
      </x:c>
      <x:c r="L1255" s="22" t="str">
        <x:v>建制镇范围</x:v>
      </x:c>
      <x:c r="M1255" s="33" t="n">
        <x:v>2422643.73</x:v>
      </x:c>
      <x:c r="N1255" s="33" t="n">
        <x:v>242.264373</x:v>
      </x:c>
      <x:c r="O1255" s="22" t="str">
        <x:v>公顷</x:v>
      </x:c>
      <x:c r="P1255" s="22" t="str">
        <x:v>未提供（单期横截面）</x:v>
      </x:c>
      <x:c r="Q1255" s="23" t="n">
        <x:v>4234</x:v>
      </x:c>
    </x:row>
    <x:row r="1256">
      <x:c r="A1256" s="30" t="n">
        <x:v>350500</x:v>
      </x:c>
      <x:c r="B1256" s="22" t="str">
        <x:v>泉州市</x:v>
      </x:c>
      <x:c r="C1256" s="31" t="n">
        <x:v>350524</x:v>
      </x:c>
      <x:c r="D1256" s="22" t="str">
        <x:v>安溪县</x:v>
      </x:c>
      <x:c r="E1256" s="22" t="str">
        <x:v>建设用地</x:v>
      </x:c>
      <x:c r="F1256" s="22" t="str">
        <x:v>居住用地</x:v>
      </x:c>
      <x:c r="G1256" s="32" t="str">
        <x:v>701</x:v>
      </x:c>
      <x:c r="H1256" s="32" t="str">
        <x:v>701</x:v>
      </x:c>
      <x:c r="I1256" s="22" t="str">
        <x:v>城镇住宅用地</x:v>
      </x:c>
      <x:c r="J1256" s="22" t="str">
        <x:v>居住功能</x:v>
      </x:c>
      <x:c r="K1256" s="32" t="str">
        <x:v>202</x:v>
      </x:c>
      <x:c r="L1256" s="22" t="str">
        <x:v>建制镇范围</x:v>
      </x:c>
      <x:c r="M1256" s="33" t="n">
        <x:v>15560842.420000007</x:v>
      </x:c>
      <x:c r="N1256" s="33" t="n">
        <x:v>1556.0842420000008</x:v>
      </x:c>
      <x:c r="O1256" s="22" t="str">
        <x:v>公顷</x:v>
      </x:c>
      <x:c r="P1256" s="22" t="str">
        <x:v>未提供（单期横截面）</x:v>
      </x:c>
      <x:c r="Q1256" s="23" t="n">
        <x:v>4235</x:v>
      </x:c>
    </x:row>
    <x:row r="1257">
      <x:c r="A1257" s="30" t="n">
        <x:v>350500</x:v>
      </x:c>
      <x:c r="B1257" s="22" t="str">
        <x:v>泉州市</x:v>
      </x:c>
      <x:c r="C1257" s="31" t="n">
        <x:v>350524</x:v>
      </x:c>
      <x:c r="D1257" s="22" t="str">
        <x:v>安溪县</x:v>
      </x:c>
      <x:c r="E1257" s="22" t="str">
        <x:v>建设用地</x:v>
      </x:c>
      <x:c r="F1257" s="22" t="str">
        <x:v>居住用地</x:v>
      </x:c>
      <x:c r="G1257" s="32" t="str">
        <x:v>702</x:v>
      </x:c>
      <x:c r="H1257" s="32" t="str">
        <x:v>702</x:v>
      </x:c>
      <x:c r="I1257" s="22" t="str">
        <x:v>农村宅基地</x:v>
      </x:c>
      <x:c r="J1257" s="22" t="str">
        <x:v>居住功能</x:v>
      </x:c>
      <x:c r="K1257" s="32" t="str">
        <x:v>202</x:v>
      </x:c>
      <x:c r="L1257" s="22" t="str">
        <x:v>建制镇范围</x:v>
      </x:c>
      <x:c r="M1257" s="33" t="n">
        <x:v>19143.38</x:v>
      </x:c>
      <x:c r="N1257" s="33" t="n">
        <x:v>1.914338</x:v>
      </x:c>
      <x:c r="O1257" s="22" t="str">
        <x:v>公顷</x:v>
      </x:c>
      <x:c r="P1257" s="22" t="str">
        <x:v>未提供（单期横截面）</x:v>
      </x:c>
      <x:c r="Q1257" s="23" t="n">
        <x:v>4236</x:v>
      </x:c>
    </x:row>
    <x:row r="1258">
      <x:c r="A1258" s="30" t="n">
        <x:v>350500</x:v>
      </x:c>
      <x:c r="B1258" s="22" t="str">
        <x:v>泉州市</x:v>
      </x:c>
      <x:c r="C1258" s="31" t="n">
        <x:v>350524</x:v>
      </x:c>
      <x:c r="D1258" s="22" t="str">
        <x:v>安溪县</x:v>
      </x:c>
      <x:c r="E1258" s="22" t="str">
        <x:v>建设用地</x:v>
      </x:c>
      <x:c r="F1258" s="22" t="str">
        <x:v>公用设施用地</x:v>
      </x:c>
      <x:c r="G1258" s="32" t="str">
        <x:v>809</x:v>
      </x:c>
      <x:c r="H1258" s="32" t="str">
        <x:v>809</x:v>
      </x:c>
      <x:c r="I1258" s="22" t="str">
        <x:v>公用设施用地</x:v>
      </x:c>
      <x:c r="J1258" s="22" t="str">
        <x:v>其他建设</x:v>
      </x:c>
      <x:c r="K1258" s="32" t="str">
        <x:v>202</x:v>
      </x:c>
      <x:c r="L1258" s="22" t="str">
        <x:v>建制镇范围</x:v>
      </x:c>
      <x:c r="M1258" s="33" t="n">
        <x:v>81366.64999999998</x:v>
      </x:c>
      <x:c r="N1258" s="33" t="n">
        <x:v>8.136664999999997</x:v>
      </x:c>
      <x:c r="O1258" s="22" t="str">
        <x:v>公顷</x:v>
      </x:c>
      <x:c r="P1258" s="22" t="str">
        <x:v>未提供（单期横截面）</x:v>
      </x:c>
      <x:c r="Q1258" s="23" t="n">
        <x:v>4237</x:v>
      </x:c>
    </x:row>
    <x:row r="1259">
      <x:c r="A1259" s="30" t="n">
        <x:v>350500</x:v>
      </x:c>
      <x:c r="B1259" s="22" t="str">
        <x:v>泉州市</x:v>
      </x:c>
      <x:c r="C1259" s="31" t="n">
        <x:v>350524</x:v>
      </x:c>
      <x:c r="D1259" s="22" t="str">
        <x:v>安溪县</x:v>
      </x:c>
      <x:c r="E1259" s="22" t="str">
        <x:v>建设用地</x:v>
      </x:c>
      <x:c r="F1259" s="22" t="str">
        <x:v>绿地与广场用地</x:v>
      </x:c>
      <x:c r="G1259" s="32" t="str">
        <x:v>810</x:v>
      </x:c>
      <x:c r="H1259" s="32" t="str">
        <x:v>810</x:v>
      </x:c>
      <x:c r="I1259" s="22" t="str">
        <x:v>公园与绿地</x:v>
      </x:c>
      <x:c r="J1259" s="22" t="str">
        <x:v>公共空间</x:v>
      </x:c>
      <x:c r="K1259" s="32" t="str">
        <x:v>202</x:v>
      </x:c>
      <x:c r="L1259" s="22" t="str">
        <x:v>建制镇范围</x:v>
      </x:c>
      <x:c r="M1259" s="33" t="n">
        <x:v>59835.83000000001</x:v>
      </x:c>
      <x:c r="N1259" s="33" t="n">
        <x:v>5.983583000000001</x:v>
      </x:c>
      <x:c r="O1259" s="22" t="str">
        <x:v>公顷</x:v>
      </x:c>
      <x:c r="P1259" s="22" t="str">
        <x:v>未提供（单期横截面）</x:v>
      </x:c>
      <x:c r="Q1259" s="23" t="n">
        <x:v>4238</x:v>
      </x:c>
    </x:row>
    <x:row r="1260">
      <x:c r="A1260" s="30" t="n">
        <x:v>350500</x:v>
      </x:c>
      <x:c r="B1260" s="22" t="str">
        <x:v>泉州市</x:v>
      </x:c>
      <x:c r="C1260" s="31" t="n">
        <x:v>350524</x:v>
      </x:c>
      <x:c r="D1260" s="22" t="str">
        <x:v>安溪县</x:v>
      </x:c>
      <x:c r="E1260" s="22" t="str">
        <x:v>建设用地</x:v>
      </x:c>
      <x:c r="F1260" s="22" t="str">
        <x:v>绿地与广场用地</x:v>
      </x:c>
      <x:c r="G1260" s="32" t="str">
        <x:v>0810A</x:v>
      </x:c>
      <x:c r="H1260" s="32" t="str">
        <x:v>0810</x:v>
      </x:c>
      <x:c r="I1260" s="22" t="str">
        <x:v>广场用地</x:v>
      </x:c>
      <x:c r="J1260" s="22" t="str">
        <x:v>公共空间</x:v>
      </x:c>
      <x:c r="K1260" s="32" t="str">
        <x:v>202</x:v>
      </x:c>
      <x:c r="L1260" s="22" t="str">
        <x:v>建制镇范围</x:v>
      </x:c>
      <x:c r="M1260" s="33" t="n">
        <x:v>56949.27</x:v>
      </x:c>
      <x:c r="N1260" s="33" t="n">
        <x:v>5.694927</x:v>
      </x:c>
      <x:c r="O1260" s="22" t="str">
        <x:v>公顷</x:v>
      </x:c>
      <x:c r="P1260" s="22" t="str">
        <x:v>未提供（单期横截面）</x:v>
      </x:c>
      <x:c r="Q1260" s="23" t="n">
        <x:v>4239</x:v>
      </x:c>
    </x:row>
    <x:row r="1261">
      <x:c r="A1261" s="30" t="n">
        <x:v>350500</x:v>
      </x:c>
      <x:c r="B1261" s="22" t="str">
        <x:v>泉州市</x:v>
      </x:c>
      <x:c r="C1261" s="31" t="n">
        <x:v>350524</x:v>
      </x:c>
      <x:c r="D1261" s="22" t="str">
        <x:v>安溪县</x:v>
      </x:c>
      <x:c r="E1261" s="22" t="str">
        <x:v>建设用地</x:v>
      </x:c>
      <x:c r="F1261" s="22" t="str">
        <x:v>公共管理与公共服务用地</x:v>
      </x:c>
      <x:c r="G1261" s="32" t="str">
        <x:v>08H1</x:v>
      </x:c>
      <x:c r="H1261" s="32" t="str">
        <x:v>08H1</x:v>
      </x:c>
      <x:c r="I1261" s="22" t="str">
        <x:v>机关团体新闻出版用地</x:v>
      </x:c>
      <x:c r="J1261" s="22" t="str">
        <x:v>公共服务</x:v>
      </x:c>
      <x:c r="K1261" s="32" t="str">
        <x:v>202</x:v>
      </x:c>
      <x:c r="L1261" s="22" t="str">
        <x:v>建制镇范围</x:v>
      </x:c>
      <x:c r="M1261" s="33" t="n">
        <x:v>373335.37999999995</x:v>
      </x:c>
      <x:c r="N1261" s="33" t="n">
        <x:v>37.333538</x:v>
      </x:c>
      <x:c r="O1261" s="22" t="str">
        <x:v>公顷</x:v>
      </x:c>
      <x:c r="P1261" s="22" t="str">
        <x:v>未提供（单期横截面）</x:v>
      </x:c>
      <x:c r="Q1261" s="23" t="n">
        <x:v>4240</x:v>
      </x:c>
    </x:row>
    <x:row r="1262">
      <x:c r="A1262" s="30" t="n">
        <x:v>350500</x:v>
      </x:c>
      <x:c r="B1262" s="22" t="str">
        <x:v>泉州市</x:v>
      </x:c>
      <x:c r="C1262" s="31" t="n">
        <x:v>350524</x:v>
      </x:c>
      <x:c r="D1262" s="22" t="str">
        <x:v>安溪县</x:v>
      </x:c>
      <x:c r="E1262" s="22" t="str">
        <x:v>建设用地</x:v>
      </x:c>
      <x:c r="F1262" s="22" t="str">
        <x:v>公共管理与公共服务用地</x:v>
      </x:c>
      <x:c r="G1262" s="32" t="str">
        <x:v>08H2</x:v>
      </x:c>
      <x:c r="H1262" s="32" t="str">
        <x:v>08H2</x:v>
      </x:c>
      <x:c r="I1262" s="22" t="str">
        <x:v>科教文卫用地</x:v>
      </x:c>
      <x:c r="J1262" s="22" t="str">
        <x:v>公共服务</x:v>
      </x:c>
      <x:c r="K1262" s="32" t="str">
        <x:v>202</x:v>
      </x:c>
      <x:c r="L1262" s="22" t="str">
        <x:v>建制镇范围</x:v>
      </x:c>
      <x:c r="M1262" s="33" t="n">
        <x:v>2524558.1300000004</x:v>
      </x:c>
      <x:c r="N1262" s="33" t="n">
        <x:v>252.45581300000003</x:v>
      </x:c>
      <x:c r="O1262" s="22" t="str">
        <x:v>公顷</x:v>
      </x:c>
      <x:c r="P1262" s="22" t="str">
        <x:v>未提供（单期横截面）</x:v>
      </x:c>
      <x:c r="Q1262" s="23" t="n">
        <x:v>4241</x:v>
      </x:c>
    </x:row>
    <x:row r="1263">
      <x:c r="A1263" s="30" t="n">
        <x:v>350500</x:v>
      </x:c>
      <x:c r="B1263" s="22" t="str">
        <x:v>泉州市</x:v>
      </x:c>
      <x:c r="C1263" s="31" t="n">
        <x:v>350524</x:v>
      </x:c>
      <x:c r="D1263" s="22" t="str">
        <x:v>安溪县</x:v>
      </x:c>
      <x:c r="E1263" s="22" t="str">
        <x:v>建设用地</x:v>
      </x:c>
      <x:c r="F1263" s="22" t="str">
        <x:v>特殊用地</x:v>
      </x:c>
      <x:c r="G1263" s="32" t="str">
        <x:v>9</x:v>
      </x:c>
      <x:c r="H1263" s="32" t="str">
        <x:v>9</x:v>
      </x:c>
      <x:c r="I1263" s="22" t="str">
        <x:v>特殊用地</x:v>
      </x:c>
      <x:c r="J1263" s="22" t="str">
        <x:v>其他建设</x:v>
      </x:c>
      <x:c r="K1263" s="32" t="str">
        <x:v>202</x:v>
      </x:c>
      <x:c r="L1263" s="22" t="str">
        <x:v>建制镇范围</x:v>
      </x:c>
      <x:c r="M1263" s="33" t="n">
        <x:v>131792.16999999993</x:v>
      </x:c>
      <x:c r="N1263" s="33" t="n">
        <x:v>13.179216999999992</x:v>
      </x:c>
      <x:c r="O1263" s="22" t="str">
        <x:v>公顷</x:v>
      </x:c>
      <x:c r="P1263" s="22" t="str">
        <x:v>未提供（单期横截面）</x:v>
      </x:c>
      <x:c r="Q1263" s="23" t="n">
        <x:v>4242</x:v>
      </x:c>
    </x:row>
    <x:row r="1264">
      <x:c r="A1264" s="30" t="n">
        <x:v>350500</x:v>
      </x:c>
      <x:c r="B1264" s="22" t="str">
        <x:v>泉州市</x:v>
      </x:c>
      <x:c r="C1264" s="31" t="n">
        <x:v>350524</x:v>
      </x:c>
      <x:c r="D1264" s="22" t="str">
        <x:v>安溪县</x:v>
      </x:c>
      <x:c r="E1264" s="22" t="str">
        <x:v>建设用地</x:v>
      </x:c>
      <x:c r="F1264" s="22" t="str">
        <x:v>交通运输用地</x:v>
      </x:c>
      <x:c r="G1264" s="32" t="str">
        <x:v>1004</x:v>
      </x:c>
      <x:c r="H1264" s="32" t="str">
        <x:v>1004</x:v>
      </x:c>
      <x:c r="I1264" s="22" t="str">
        <x:v>城镇村道路用地</x:v>
      </x:c>
      <x:c r="J1264" s="22" t="str">
        <x:v>交通门户</x:v>
      </x:c>
      <x:c r="K1264" s="32" t="str">
        <x:v>202</x:v>
      </x:c>
      <x:c r="L1264" s="22" t="str">
        <x:v>建制镇范围</x:v>
      </x:c>
      <x:c r="M1264" s="33" t="n">
        <x:v>1164816.1000000006</x:v>
      </x:c>
      <x:c r="N1264" s="33" t="n">
        <x:v>116.48161000000006</x:v>
      </x:c>
      <x:c r="O1264" s="22" t="str">
        <x:v>公顷</x:v>
      </x:c>
      <x:c r="P1264" s="22" t="str">
        <x:v>未提供（单期横截面）</x:v>
      </x:c>
      <x:c r="Q1264" s="23" t="n">
        <x:v>4243</x:v>
      </x:c>
    </x:row>
    <x:row r="1265">
      <x:c r="A1265" s="30" t="n">
        <x:v>350500</x:v>
      </x:c>
      <x:c r="B1265" s="22" t="str">
        <x:v>泉州市</x:v>
      </x:c>
      <x:c r="C1265" s="31" t="n">
        <x:v>350524</x:v>
      </x:c>
      <x:c r="D1265" s="22" t="str">
        <x:v>安溪县</x:v>
      </x:c>
      <x:c r="E1265" s="22" t="str">
        <x:v>建设用地</x:v>
      </x:c>
      <x:c r="F1265" s="22" t="str">
        <x:v>交通运输用地</x:v>
      </x:c>
      <x:c r="G1265" s="32" t="str">
        <x:v>1005</x:v>
      </x:c>
      <x:c r="H1265" s="32" t="str">
        <x:v>1005</x:v>
      </x:c>
      <x:c r="I1265" s="22" t="str">
        <x:v>交通服务场站用地</x:v>
      </x:c>
      <x:c r="J1265" s="22" t="str">
        <x:v>交通门户</x:v>
      </x:c>
      <x:c r="K1265" s="32" t="str">
        <x:v>202</x:v>
      </x:c>
      <x:c r="L1265" s="22" t="str">
        <x:v>建制镇范围</x:v>
      </x:c>
      <x:c r="M1265" s="33" t="n">
        <x:v>295047.80000000005</x:v>
      </x:c>
      <x:c r="N1265" s="33" t="n">
        <x:v>29.504780000000004</x:v>
      </x:c>
      <x:c r="O1265" s="22" t="str">
        <x:v>公顷</x:v>
      </x:c>
      <x:c r="P1265" s="22" t="str">
        <x:v>未提供（单期横截面）</x:v>
      </x:c>
      <x:c r="Q1265" s="23" t="n">
        <x:v>4244</x:v>
      </x:c>
    </x:row>
    <x:row r="1266">
      <x:c r="A1266" s="30" t="n">
        <x:v>350500</x:v>
      </x:c>
      <x:c r="B1266" s="22" t="str">
        <x:v>泉州市</x:v>
      </x:c>
      <x:c r="C1266" s="31" t="n">
        <x:v>350524</x:v>
      </x:c>
      <x:c r="D1266" s="22" t="str">
        <x:v>安溪县</x:v>
      </x:c>
      <x:c r="E1266" s="22" t="str">
        <x:v>建设用地</x:v>
      </x:c>
      <x:c r="F1266" s="22" t="str">
        <x:v>其他建设用地</x:v>
      </x:c>
      <x:c r="G1266" s="32" t="str">
        <x:v>1201</x:v>
      </x:c>
      <x:c r="H1266" s="32" t="str">
        <x:v>1201</x:v>
      </x:c>
      <x:c r="I1266" s="22" t="str">
        <x:v>空闲地</x:v>
      </x:c>
      <x:c r="J1266" s="22" t="str">
        <x:v>其他建设</x:v>
      </x:c>
      <x:c r="K1266" s="32" t="str">
        <x:v>202</x:v>
      </x:c>
      <x:c r="L1266" s="22" t="str">
        <x:v>建制镇范围</x:v>
      </x:c>
      <x:c r="M1266" s="33" t="n">
        <x:v>4134.92</x:v>
      </x:c>
      <x:c r="N1266" s="33" t="n">
        <x:v>0.413492</x:v>
      </x:c>
      <x:c r="O1266" s="22" t="str">
        <x:v>公顷</x:v>
      </x:c>
      <x:c r="P1266" s="22" t="str">
        <x:v>未提供（单期横截面）</x:v>
      </x:c>
      <x:c r="Q1266" s="23" t="n">
        <x:v>4245</x:v>
      </x:c>
    </x:row>
    <x:row r="1267">
      <x:c r="A1267" s="30" t="n">
        <x:v>350500</x:v>
      </x:c>
      <x:c r="B1267" s="22" t="str">
        <x:v>泉州市</x:v>
      </x:c>
      <x:c r="C1267" s="31" t="n">
        <x:v>350524</x:v>
      </x:c>
      <x:c r="D1267" s="22" t="str">
        <x:v>安溪县</x:v>
      </x:c>
      <x:c r="E1267" s="22" t="str">
        <x:v>建设用地</x:v>
      </x:c>
      <x:c r="F1267" s="22" t="str">
        <x:v>工矿仓储用地</x:v>
      </x:c>
      <x:c r="G1267" s="32" t="str">
        <x:v>601</x:v>
      </x:c>
      <x:c r="H1267" s="32" t="str">
        <x:v>601</x:v>
      </x:c>
      <x:c r="I1267" s="22" t="str">
        <x:v>工业用地</x:v>
      </x:c>
      <x:c r="J1267" s="22" t="str">
        <x:v>产业功能</x:v>
      </x:c>
      <x:c r="K1267" s="32" t="str">
        <x:v>202A</x:v>
      </x:c>
      <x:c r="L1267" s="22" t="str">
        <x:v>建制镇独立工业用地</x:v>
      </x:c>
      <x:c r="M1267" s="33" t="n">
        <x:v>141505.46000000002</x:v>
      </x:c>
      <x:c r="N1267" s="33" t="n">
        <x:v>14.150546000000002</x:v>
      </x:c>
      <x:c r="O1267" s="22" t="str">
        <x:v>公顷</x:v>
      </x:c>
      <x:c r="P1267" s="22" t="str">
        <x:v>未提供（单期横截面）</x:v>
      </x:c>
      <x:c r="Q1267" s="23" t="n">
        <x:v>4246</x:v>
      </x:c>
    </x:row>
    <x:row r="1268">
      <x:c r="A1268" s="30" t="n">
        <x:v>350500</x:v>
      </x:c>
      <x:c r="B1268" s="22" t="str">
        <x:v>泉州市</x:v>
      </x:c>
      <x:c r="C1268" s="31" t="n">
        <x:v>350524</x:v>
      </x:c>
      <x:c r="D1268" s="22" t="str">
        <x:v>安溪县</x:v>
      </x:c>
      <x:c r="E1268" s="22" t="str">
        <x:v>建设用地</x:v>
      </x:c>
      <x:c r="F1268" s="22" t="str">
        <x:v>工矿仓储用地</x:v>
      </x:c>
      <x:c r="G1268" s="32" t="str">
        <x:v>508</x:v>
      </x:c>
      <x:c r="H1268" s="32" t="str">
        <x:v>508</x:v>
      </x:c>
      <x:c r="I1268" s="22" t="str">
        <x:v>物流仓储用地</x:v>
      </x:c>
      <x:c r="J1268" s="22" t="str">
        <x:v>产业功能</x:v>
      </x:c>
      <x:c r="K1268" s="32" t="str">
        <x:v>203</x:v>
      </x:c>
      <x:c r="L1268" s="22" t="str">
        <x:v>村庄范围</x:v>
      </x:c>
      <x:c r="M1268" s="33" t="n">
        <x:v>340499.93</x:v>
      </x:c>
      <x:c r="N1268" s="33" t="n">
        <x:v>34.049993</x:v>
      </x:c>
      <x:c r="O1268" s="22" t="str">
        <x:v>公顷</x:v>
      </x:c>
      <x:c r="P1268" s="22" t="str">
        <x:v>未提供（单期横截面）</x:v>
      </x:c>
      <x:c r="Q1268" s="23" t="n">
        <x:v>4247</x:v>
      </x:c>
    </x:row>
    <x:row r="1269">
      <x:c r="A1269" s="30" t="n">
        <x:v>350500</x:v>
      </x:c>
      <x:c r="B1269" s="22" t="str">
        <x:v>泉州市</x:v>
      </x:c>
      <x:c r="C1269" s="31" t="n">
        <x:v>350524</x:v>
      </x:c>
      <x:c r="D1269" s="22" t="str">
        <x:v>安溪县</x:v>
      </x:c>
      <x:c r="E1269" s="22" t="str">
        <x:v>建设用地</x:v>
      </x:c>
      <x:c r="F1269" s="22" t="str">
        <x:v>商业服务业用地</x:v>
      </x:c>
      <x:c r="G1269" s="32" t="str">
        <x:v>05H1</x:v>
      </x:c>
      <x:c r="H1269" s="32" t="str">
        <x:v>05H1</x:v>
      </x:c>
      <x:c r="I1269" s="22" t="str">
        <x:v>商业服务业设施用地</x:v>
      </x:c>
      <x:c r="J1269" s="22" t="str">
        <x:v>商业服务</x:v>
      </x:c>
      <x:c r="K1269" s="32" t="str">
        <x:v>203</x:v>
      </x:c>
      <x:c r="L1269" s="22" t="str">
        <x:v>村庄范围</x:v>
      </x:c>
      <x:c r="M1269" s="33" t="n">
        <x:v>2219484.0999999978</x:v>
      </x:c>
      <x:c r="N1269" s="33" t="n">
        <x:v>221.94840999999977</x:v>
      </x:c>
      <x:c r="O1269" s="22" t="str">
        <x:v>公顷</x:v>
      </x:c>
      <x:c r="P1269" s="22" t="str">
        <x:v>未提供（单期横截面）</x:v>
      </x:c>
      <x:c r="Q1269" s="23" t="n">
        <x:v>4248</x:v>
      </x:c>
    </x:row>
    <x:row r="1270">
      <x:c r="A1270" s="30" t="n">
        <x:v>350500</x:v>
      </x:c>
      <x:c r="B1270" s="22" t="str">
        <x:v>泉州市</x:v>
      </x:c>
      <x:c r="C1270" s="31" t="n">
        <x:v>350524</x:v>
      </x:c>
      <x:c r="D1270" s="22" t="str">
        <x:v>安溪县</x:v>
      </x:c>
      <x:c r="E1270" s="22" t="str">
        <x:v>建设用地</x:v>
      </x:c>
      <x:c r="F1270" s="22" t="str">
        <x:v>工矿仓储用地</x:v>
      </x:c>
      <x:c r="G1270" s="32" t="str">
        <x:v>601</x:v>
      </x:c>
      <x:c r="H1270" s="32" t="str">
        <x:v>601</x:v>
      </x:c>
      <x:c r="I1270" s="22" t="str">
        <x:v>工业用地</x:v>
      </x:c>
      <x:c r="J1270" s="22" t="str">
        <x:v>产业功能</x:v>
      </x:c>
      <x:c r="K1270" s="32" t="str">
        <x:v>203</x:v>
      </x:c>
      <x:c r="L1270" s="22" t="str">
        <x:v>村庄范围</x:v>
      </x:c>
      <x:c r="M1270" s="33" t="n">
        <x:v>7038839.949999993</x:v>
      </x:c>
      <x:c r="N1270" s="33" t="n">
        <x:v>703.8839949999992</x:v>
      </x:c>
      <x:c r="O1270" s="22" t="str">
        <x:v>公顷</x:v>
      </x:c>
      <x:c r="P1270" s="22" t="str">
        <x:v>未提供（单期横截面）</x:v>
      </x:c>
      <x:c r="Q1270" s="23" t="n">
        <x:v>4249</x:v>
      </x:c>
    </x:row>
    <x:row r="1271">
      <x:c r="A1271" s="30" t="n">
        <x:v>350500</x:v>
      </x:c>
      <x:c r="B1271" s="22" t="str">
        <x:v>泉州市</x:v>
      </x:c>
      <x:c r="C1271" s="31" t="n">
        <x:v>350524</x:v>
      </x:c>
      <x:c r="D1271" s="22" t="str">
        <x:v>安溪县</x:v>
      </x:c>
      <x:c r="E1271" s="22" t="str">
        <x:v>建设用地</x:v>
      </x:c>
      <x:c r="F1271" s="22" t="str">
        <x:v>工矿仓储用地</x:v>
      </x:c>
      <x:c r="G1271" s="32" t="str">
        <x:v>602</x:v>
      </x:c>
      <x:c r="H1271" s="32" t="str">
        <x:v>602</x:v>
      </x:c>
      <x:c r="I1271" s="22" t="str">
        <x:v>采矿用地</x:v>
      </x:c>
      <x:c r="J1271" s="22" t="str">
        <x:v>产业功能</x:v>
      </x:c>
      <x:c r="K1271" s="32" t="str">
        <x:v>203</x:v>
      </x:c>
      <x:c r="L1271" s="22" t="str">
        <x:v>村庄范围</x:v>
      </x:c>
      <x:c r="M1271" s="33" t="n">
        <x:v>177574.37</x:v>
      </x:c>
      <x:c r="N1271" s="33" t="n">
        <x:v>17.757437</x:v>
      </x:c>
      <x:c r="O1271" s="22" t="str">
        <x:v>公顷</x:v>
      </x:c>
      <x:c r="P1271" s="22" t="str">
        <x:v>未提供（单期横截面）</x:v>
      </x:c>
      <x:c r="Q1271" s="23" t="n">
        <x:v>4250</x:v>
      </x:c>
    </x:row>
    <x:row r="1272">
      <x:c r="A1272" s="30" t="n">
        <x:v>350500</x:v>
      </x:c>
      <x:c r="B1272" s="22" t="str">
        <x:v>泉州市</x:v>
      </x:c>
      <x:c r="C1272" s="31" t="n">
        <x:v>350524</x:v>
      </x:c>
      <x:c r="D1272" s="22" t="str">
        <x:v>安溪县</x:v>
      </x:c>
      <x:c r="E1272" s="22" t="str">
        <x:v>建设用地</x:v>
      </x:c>
      <x:c r="F1272" s="22" t="str">
        <x:v>居住用地</x:v>
      </x:c>
      <x:c r="G1272" s="32" t="str">
        <x:v>701</x:v>
      </x:c>
      <x:c r="H1272" s="32" t="str">
        <x:v>701</x:v>
      </x:c>
      <x:c r="I1272" s="22" t="str">
        <x:v>城镇住宅用地</x:v>
      </x:c>
      <x:c r="J1272" s="22" t="str">
        <x:v>居住功能</x:v>
      </x:c>
      <x:c r="K1272" s="32" t="str">
        <x:v>203</x:v>
      </x:c>
      <x:c r="L1272" s="22" t="str">
        <x:v>村庄范围</x:v>
      </x:c>
      <x:c r="M1272" s="33" t="n">
        <x:v>1005539.5500000005</x:v>
      </x:c>
      <x:c r="N1272" s="33" t="n">
        <x:v>100.55395500000004</x:v>
      </x:c>
      <x:c r="O1272" s="22" t="str">
        <x:v>公顷</x:v>
      </x:c>
      <x:c r="P1272" s="22" t="str">
        <x:v>未提供（单期横截面）</x:v>
      </x:c>
      <x:c r="Q1272" s="23" t="n">
        <x:v>4251</x:v>
      </x:c>
    </x:row>
    <x:row r="1273">
      <x:c r="A1273" s="30" t="n">
        <x:v>350500</x:v>
      </x:c>
      <x:c r="B1273" s="22" t="str">
        <x:v>泉州市</x:v>
      </x:c>
      <x:c r="C1273" s="31" t="n">
        <x:v>350524</x:v>
      </x:c>
      <x:c r="D1273" s="22" t="str">
        <x:v>安溪县</x:v>
      </x:c>
      <x:c r="E1273" s="22" t="str">
        <x:v>建设用地</x:v>
      </x:c>
      <x:c r="F1273" s="22" t="str">
        <x:v>居住用地</x:v>
      </x:c>
      <x:c r="G1273" s="32" t="str">
        <x:v>702</x:v>
      </x:c>
      <x:c r="H1273" s="32" t="str">
        <x:v>702</x:v>
      </x:c>
      <x:c r="I1273" s="22" t="str">
        <x:v>农村宅基地</x:v>
      </x:c>
      <x:c r="J1273" s="22" t="str">
        <x:v>居住功能</x:v>
      </x:c>
      <x:c r="K1273" s="32" t="str">
        <x:v>203</x:v>
      </x:c>
      <x:c r="L1273" s="22" t="str">
        <x:v>村庄范围</x:v>
      </x:c>
      <x:c r="M1273" s="33" t="n">
        <x:v>108441149.71000053</x:v>
      </x:c>
      <x:c r="N1273" s="33" t="n">
        <x:v>10844.114971000054</x:v>
      </x:c>
      <x:c r="O1273" s="22" t="str">
        <x:v>公顷</x:v>
      </x:c>
      <x:c r="P1273" s="22" t="str">
        <x:v>未提供（单期横截面）</x:v>
      </x:c>
      <x:c r="Q1273" s="23" t="n">
        <x:v>4252</x:v>
      </x:c>
    </x:row>
    <x:row r="1274">
      <x:c r="A1274" s="30" t="n">
        <x:v>350500</x:v>
      </x:c>
      <x:c r="B1274" s="22" t="str">
        <x:v>泉州市</x:v>
      </x:c>
      <x:c r="C1274" s="31" t="n">
        <x:v>350524</x:v>
      </x:c>
      <x:c r="D1274" s="22" t="str">
        <x:v>安溪县</x:v>
      </x:c>
      <x:c r="E1274" s="22" t="str">
        <x:v>建设用地</x:v>
      </x:c>
      <x:c r="F1274" s="22" t="str">
        <x:v>公用设施用地</x:v>
      </x:c>
      <x:c r="G1274" s="32" t="str">
        <x:v>809</x:v>
      </x:c>
      <x:c r="H1274" s="32" t="str">
        <x:v>809</x:v>
      </x:c>
      <x:c r="I1274" s="22" t="str">
        <x:v>公用设施用地</x:v>
      </x:c>
      <x:c r="J1274" s="22" t="str">
        <x:v>其他建设</x:v>
      </x:c>
      <x:c r="K1274" s="32" t="str">
        <x:v>203</x:v>
      </x:c>
      <x:c r="L1274" s="22" t="str">
        <x:v>村庄范围</x:v>
      </x:c>
      <x:c r="M1274" s="33" t="n">
        <x:v>591781.3900000001</x:v>
      </x:c>
      <x:c r="N1274" s="33" t="n">
        <x:v>59.178139000000016</x:v>
      </x:c>
      <x:c r="O1274" s="22" t="str">
        <x:v>公顷</x:v>
      </x:c>
      <x:c r="P1274" s="22" t="str">
        <x:v>未提供（单期横截面）</x:v>
      </x:c>
      <x:c r="Q1274" s="23" t="n">
        <x:v>4253</x:v>
      </x:c>
    </x:row>
    <x:row r="1275">
      <x:c r="A1275" s="30" t="n">
        <x:v>350500</x:v>
      </x:c>
      <x:c r="B1275" s="22" t="str">
        <x:v>泉州市</x:v>
      </x:c>
      <x:c r="C1275" s="31" t="n">
        <x:v>350524</x:v>
      </x:c>
      <x:c r="D1275" s="22" t="str">
        <x:v>安溪县</x:v>
      </x:c>
      <x:c r="E1275" s="22" t="str">
        <x:v>建设用地</x:v>
      </x:c>
      <x:c r="F1275" s="22" t="str">
        <x:v>绿地与广场用地</x:v>
      </x:c>
      <x:c r="G1275" s="32" t="str">
        <x:v>810</x:v>
      </x:c>
      <x:c r="H1275" s="32" t="str">
        <x:v>810</x:v>
      </x:c>
      <x:c r="I1275" s="22" t="str">
        <x:v>公园与绿地</x:v>
      </x:c>
      <x:c r="J1275" s="22" t="str">
        <x:v>公共空间</x:v>
      </x:c>
      <x:c r="K1275" s="32" t="str">
        <x:v>203</x:v>
      </x:c>
      <x:c r="L1275" s="22" t="str">
        <x:v>村庄范围</x:v>
      </x:c>
      <x:c r="M1275" s="33" t="n">
        <x:v>323048.49999999994</x:v>
      </x:c>
      <x:c r="N1275" s="33" t="n">
        <x:v>32.304849999999995</x:v>
      </x:c>
      <x:c r="O1275" s="22" t="str">
        <x:v>公顷</x:v>
      </x:c>
      <x:c r="P1275" s="22" t="str">
        <x:v>未提供（单期横截面）</x:v>
      </x:c>
      <x:c r="Q1275" s="23" t="n">
        <x:v>4254</x:v>
      </x:c>
    </x:row>
    <x:row r="1276">
      <x:c r="A1276" s="30" t="n">
        <x:v>350500</x:v>
      </x:c>
      <x:c r="B1276" s="22" t="str">
        <x:v>泉州市</x:v>
      </x:c>
      <x:c r="C1276" s="31" t="n">
        <x:v>350524</x:v>
      </x:c>
      <x:c r="D1276" s="22" t="str">
        <x:v>安溪县</x:v>
      </x:c>
      <x:c r="E1276" s="22" t="str">
        <x:v>建设用地</x:v>
      </x:c>
      <x:c r="F1276" s="22" t="str">
        <x:v>绿地与广场用地</x:v>
      </x:c>
      <x:c r="G1276" s="32" t="str">
        <x:v>0810A</x:v>
      </x:c>
      <x:c r="H1276" s="32" t="str">
        <x:v>0810</x:v>
      </x:c>
      <x:c r="I1276" s="22" t="str">
        <x:v>广场用地</x:v>
      </x:c>
      <x:c r="J1276" s="22" t="str">
        <x:v>公共空间</x:v>
      </x:c>
      <x:c r="K1276" s="32" t="str">
        <x:v>203</x:v>
      </x:c>
      <x:c r="L1276" s="22" t="str">
        <x:v>村庄范围</x:v>
      </x:c>
      <x:c r="M1276" s="33" t="n">
        <x:v>104451.31</x:v>
      </x:c>
      <x:c r="N1276" s="33" t="n">
        <x:v>10.445131</x:v>
      </x:c>
      <x:c r="O1276" s="22" t="str">
        <x:v>公顷</x:v>
      </x:c>
      <x:c r="P1276" s="22" t="str">
        <x:v>未提供（单期横截面）</x:v>
      </x:c>
      <x:c r="Q1276" s="23" t="n">
        <x:v>4255</x:v>
      </x:c>
    </x:row>
    <x:row r="1277">
      <x:c r="A1277" s="30" t="n">
        <x:v>350500</x:v>
      </x:c>
      <x:c r="B1277" s="22" t="str">
        <x:v>泉州市</x:v>
      </x:c>
      <x:c r="C1277" s="31" t="n">
        <x:v>350524</x:v>
      </x:c>
      <x:c r="D1277" s="22" t="str">
        <x:v>安溪县</x:v>
      </x:c>
      <x:c r="E1277" s="22" t="str">
        <x:v>建设用地</x:v>
      </x:c>
      <x:c r="F1277" s="22" t="str">
        <x:v>公共管理与公共服务用地</x:v>
      </x:c>
      <x:c r="G1277" s="32" t="str">
        <x:v>08H1</x:v>
      </x:c>
      <x:c r="H1277" s="32" t="str">
        <x:v>08H1</x:v>
      </x:c>
      <x:c r="I1277" s="22" t="str">
        <x:v>机关团体新闻出版用地</x:v>
      </x:c>
      <x:c r="J1277" s="22" t="str">
        <x:v>公共服务</x:v>
      </x:c>
      <x:c r="K1277" s="32" t="str">
        <x:v>203</x:v>
      </x:c>
      <x:c r="L1277" s="22" t="str">
        <x:v>村庄范围</x:v>
      </x:c>
      <x:c r="M1277" s="33" t="n">
        <x:v>592335.6800000005</x:v>
      </x:c>
      <x:c r="N1277" s="33" t="n">
        <x:v>59.233568000000055</x:v>
      </x:c>
      <x:c r="O1277" s="22" t="str">
        <x:v>公顷</x:v>
      </x:c>
      <x:c r="P1277" s="22" t="str">
        <x:v>未提供（单期横截面）</x:v>
      </x:c>
      <x:c r="Q1277" s="23" t="n">
        <x:v>4256</x:v>
      </x:c>
    </x:row>
    <x:row r="1278">
      <x:c r="A1278" s="30" t="n">
        <x:v>350500</x:v>
      </x:c>
      <x:c r="B1278" s="22" t="str">
        <x:v>泉州市</x:v>
      </x:c>
      <x:c r="C1278" s="31" t="n">
        <x:v>350524</x:v>
      </x:c>
      <x:c r="D1278" s="22" t="str">
        <x:v>安溪县</x:v>
      </x:c>
      <x:c r="E1278" s="22" t="str">
        <x:v>建设用地</x:v>
      </x:c>
      <x:c r="F1278" s="22" t="str">
        <x:v>公共管理与公共服务用地</x:v>
      </x:c>
      <x:c r="G1278" s="32" t="str">
        <x:v>08H2</x:v>
      </x:c>
      <x:c r="H1278" s="32" t="str">
        <x:v>08H2</x:v>
      </x:c>
      <x:c r="I1278" s="22" t="str">
        <x:v>科教文卫用地</x:v>
      </x:c>
      <x:c r="J1278" s="22" t="str">
        <x:v>公共服务</x:v>
      </x:c>
      <x:c r="K1278" s="32" t="str">
        <x:v>203</x:v>
      </x:c>
      <x:c r="L1278" s="22" t="str">
        <x:v>村庄范围</x:v>
      </x:c>
      <x:c r="M1278" s="33" t="n">
        <x:v>2927012.7100000004</x:v>
      </x:c>
      <x:c r="N1278" s="33" t="n">
        <x:v>292.701271</x:v>
      </x:c>
      <x:c r="O1278" s="22" t="str">
        <x:v>公顷</x:v>
      </x:c>
      <x:c r="P1278" s="22" t="str">
        <x:v>未提供（单期横截面）</x:v>
      </x:c>
      <x:c r="Q1278" s="23" t="n">
        <x:v>4257</x:v>
      </x:c>
    </x:row>
    <x:row r="1279">
      <x:c r="A1279" s="30" t="n">
        <x:v>350500</x:v>
      </x:c>
      <x:c r="B1279" s="22" t="str">
        <x:v>泉州市</x:v>
      </x:c>
      <x:c r="C1279" s="31" t="n">
        <x:v>350524</x:v>
      </x:c>
      <x:c r="D1279" s="22" t="str">
        <x:v>安溪县</x:v>
      </x:c>
      <x:c r="E1279" s="22" t="str">
        <x:v>建设用地</x:v>
      </x:c>
      <x:c r="F1279" s="22" t="str">
        <x:v>特殊用地</x:v>
      </x:c>
      <x:c r="G1279" s="32" t="str">
        <x:v>9</x:v>
      </x:c>
      <x:c r="H1279" s="32" t="str">
        <x:v>9</x:v>
      </x:c>
      <x:c r="I1279" s="22" t="str">
        <x:v>特殊用地</x:v>
      </x:c>
      <x:c r="J1279" s="22" t="str">
        <x:v>其他建设</x:v>
      </x:c>
      <x:c r="K1279" s="32" t="str">
        <x:v>203</x:v>
      </x:c>
      <x:c r="L1279" s="22" t="str">
        <x:v>村庄范围</x:v>
      </x:c>
      <x:c r="M1279" s="33" t="n">
        <x:v>650992.3099999999</x:v>
      </x:c>
      <x:c r="N1279" s="33" t="n">
        <x:v>65.09923099999999</x:v>
      </x:c>
      <x:c r="O1279" s="22" t="str">
        <x:v>公顷</x:v>
      </x:c>
      <x:c r="P1279" s="22" t="str">
        <x:v>未提供（单期横截面）</x:v>
      </x:c>
      <x:c r="Q1279" s="23" t="n">
        <x:v>4258</x:v>
      </x:c>
    </x:row>
    <x:row r="1280">
      <x:c r="A1280" s="30" t="n">
        <x:v>350500</x:v>
      </x:c>
      <x:c r="B1280" s="22" t="str">
        <x:v>泉州市</x:v>
      </x:c>
      <x:c r="C1280" s="31" t="n">
        <x:v>350524</x:v>
      </x:c>
      <x:c r="D1280" s="22" t="str">
        <x:v>安溪县</x:v>
      </x:c>
      <x:c r="E1280" s="22" t="str">
        <x:v>建设用地</x:v>
      </x:c>
      <x:c r="F1280" s="22" t="str">
        <x:v>交通运输用地</x:v>
      </x:c>
      <x:c r="G1280" s="32" t="str">
        <x:v>1004</x:v>
      </x:c>
      <x:c r="H1280" s="32" t="str">
        <x:v>1004</x:v>
      </x:c>
      <x:c r="I1280" s="22" t="str">
        <x:v>城镇村道路用地</x:v>
      </x:c>
      <x:c r="J1280" s="22" t="str">
        <x:v>交通门户</x:v>
      </x:c>
      <x:c r="K1280" s="32" t="str">
        <x:v>203</x:v>
      </x:c>
      <x:c r="L1280" s="22" t="str">
        <x:v>村庄范围</x:v>
      </x:c>
      <x:c r="M1280" s="33" t="n">
        <x:v>2241318.2500000014</x:v>
      </x:c>
      <x:c r="N1280" s="33" t="n">
        <x:v>224.13182500000013</x:v>
      </x:c>
      <x:c r="O1280" s="22" t="str">
        <x:v>公顷</x:v>
      </x:c>
      <x:c r="P1280" s="22" t="str">
        <x:v>未提供（单期横截面）</x:v>
      </x:c>
      <x:c r="Q1280" s="23" t="n">
        <x:v>4259</x:v>
      </x:c>
    </x:row>
    <x:row r="1281">
      <x:c r="A1281" s="30" t="n">
        <x:v>350500</x:v>
      </x:c>
      <x:c r="B1281" s="22" t="str">
        <x:v>泉州市</x:v>
      </x:c>
      <x:c r="C1281" s="31" t="n">
        <x:v>350524</x:v>
      </x:c>
      <x:c r="D1281" s="22" t="str">
        <x:v>安溪县</x:v>
      </x:c>
      <x:c r="E1281" s="22" t="str">
        <x:v>建设用地</x:v>
      </x:c>
      <x:c r="F1281" s="22" t="str">
        <x:v>交通运输用地</x:v>
      </x:c>
      <x:c r="G1281" s="32" t="str">
        <x:v>1005</x:v>
      </x:c>
      <x:c r="H1281" s="32" t="str">
        <x:v>1005</x:v>
      </x:c>
      <x:c r="I1281" s="22" t="str">
        <x:v>交通服务场站用地</x:v>
      </x:c>
      <x:c r="J1281" s="22" t="str">
        <x:v>交通门户</x:v>
      </x:c>
      <x:c r="K1281" s="32" t="str">
        <x:v>203</x:v>
      </x:c>
      <x:c r="L1281" s="22" t="str">
        <x:v>村庄范围</x:v>
      </x:c>
      <x:c r="M1281" s="33" t="n">
        <x:v>329310.36000000004</x:v>
      </x:c>
      <x:c r="N1281" s="33" t="n">
        <x:v>32.931036000000006</x:v>
      </x:c>
      <x:c r="O1281" s="22" t="str">
        <x:v>公顷</x:v>
      </x:c>
      <x:c r="P1281" s="22" t="str">
        <x:v>未提供（单期横截面）</x:v>
      </x:c>
      <x:c r="Q1281" s="23" t="n">
        <x:v>4260</x:v>
      </x:c>
    </x:row>
    <x:row r="1282">
      <x:c r="A1282" s="30" t="n">
        <x:v>350500</x:v>
      </x:c>
      <x:c r="B1282" s="22" t="str">
        <x:v>泉州市</x:v>
      </x:c>
      <x:c r="C1282" s="31" t="n">
        <x:v>350524</x:v>
      </x:c>
      <x:c r="D1282" s="22" t="str">
        <x:v>安溪县</x:v>
      </x:c>
      <x:c r="E1282" s="22" t="str">
        <x:v>建设用地</x:v>
      </x:c>
      <x:c r="F1282" s="22" t="str">
        <x:v>水域及水利设施</x:v>
      </x:c>
      <x:c r="G1282" s="32" t="str">
        <x:v>1109</x:v>
      </x:c>
      <x:c r="H1282" s="32" t="str">
        <x:v>1109</x:v>
      </x:c>
      <x:c r="I1282" s="22" t="str">
        <x:v>水工建筑用地</x:v>
      </x:c>
      <x:c r="J1282" s="22" t="str">
        <x:v>其他建设</x:v>
      </x:c>
      <x:c r="K1282" s="32" t="str">
        <x:v>203</x:v>
      </x:c>
      <x:c r="L1282" s="22" t="str">
        <x:v>村庄范围</x:v>
      </x:c>
      <x:c r="M1282" s="33" t="n">
        <x:v>1211.6399999999999</x:v>
      </x:c>
      <x:c r="N1282" s="33" t="n">
        <x:v>0.121164</x:v>
      </x:c>
      <x:c r="O1282" s="22" t="str">
        <x:v>公顷</x:v>
      </x:c>
      <x:c r="P1282" s="22" t="str">
        <x:v>未提供（单期横截面）</x:v>
      </x:c>
      <x:c r="Q1282" s="23" t="n">
        <x:v>4261</x:v>
      </x:c>
    </x:row>
    <x:row r="1283">
      <x:c r="A1283" s="30" t="n">
        <x:v>350500</x:v>
      </x:c>
      <x:c r="B1283" s="22" t="str">
        <x:v>泉州市</x:v>
      </x:c>
      <x:c r="C1283" s="31" t="n">
        <x:v>350524</x:v>
      </x:c>
      <x:c r="D1283" s="22" t="str">
        <x:v>安溪县</x:v>
      </x:c>
      <x:c r="E1283" s="22" t="str">
        <x:v>建设用地</x:v>
      </x:c>
      <x:c r="F1283" s="22" t="str">
        <x:v>其他建设用地</x:v>
      </x:c>
      <x:c r="G1283" s="32" t="str">
        <x:v>1201</x:v>
      </x:c>
      <x:c r="H1283" s="32" t="str">
        <x:v>1201</x:v>
      </x:c>
      <x:c r="I1283" s="22" t="str">
        <x:v>空闲地</x:v>
      </x:c>
      <x:c r="J1283" s="22" t="str">
        <x:v>其他建设</x:v>
      </x:c>
      <x:c r="K1283" s="32" t="str">
        <x:v>203</x:v>
      </x:c>
      <x:c r="L1283" s="22" t="str">
        <x:v>村庄范围</x:v>
      </x:c>
      <x:c r="M1283" s="33" t="n">
        <x:v>75419.09</x:v>
      </x:c>
      <x:c r="N1283" s="33" t="n">
        <x:v>7.5419089999999995</x:v>
      </x:c>
      <x:c r="O1283" s="22" t="str">
        <x:v>公顷</x:v>
      </x:c>
      <x:c r="P1283" s="22" t="str">
        <x:v>未提供（单期横截面）</x:v>
      </x:c>
      <x:c r="Q1283" s="23" t="n">
        <x:v>4262</x:v>
      </x:c>
    </x:row>
    <x:row r="1284">
      <x:c r="A1284" s="30" t="n">
        <x:v>350500</x:v>
      </x:c>
      <x:c r="B1284" s="22" t="str">
        <x:v>泉州市</x:v>
      </x:c>
      <x:c r="C1284" s="31" t="n">
        <x:v>350524</x:v>
      </x:c>
      <x:c r="D1284" s="22" t="str">
        <x:v>安溪县</x:v>
      </x:c>
      <x:c r="E1284" s="22" t="str">
        <x:v>建设用地</x:v>
      </x:c>
      <x:c r="F1284" s="22" t="str">
        <x:v>工矿仓储用地</x:v>
      </x:c>
      <x:c r="G1284" s="32" t="str">
        <x:v>601</x:v>
      </x:c>
      <x:c r="H1284" s="32" t="str">
        <x:v>601</x:v>
      </x:c>
      <x:c r="I1284" s="22" t="str">
        <x:v>工业用地</x:v>
      </x:c>
      <x:c r="J1284" s="22" t="str">
        <x:v>产业功能</x:v>
      </x:c>
      <x:c r="K1284" s="32" t="str">
        <x:v>203A</x:v>
      </x:c>
      <x:c r="L1284" s="22" t="str">
        <x:v>村庄独立工业用地</x:v>
      </x:c>
      <x:c r="M1284" s="33" t="n">
        <x:v>1838609.3900000013</x:v>
      </x:c>
      <x:c r="N1284" s="33" t="n">
        <x:v>183.86093900000012</x:v>
      </x:c>
      <x:c r="O1284" s="22" t="str">
        <x:v>公顷</x:v>
      </x:c>
      <x:c r="P1284" s="22" t="str">
        <x:v>未提供（单期横截面）</x:v>
      </x:c>
      <x:c r="Q1284" s="23" t="n">
        <x:v>4263</x:v>
      </x:c>
    </x:row>
    <x:row r="1285">
      <x:c r="A1285" s="30" t="n">
        <x:v>350500</x:v>
      </x:c>
      <x:c r="B1285" s="22" t="str">
        <x:v>泉州市</x:v>
      </x:c>
      <x:c r="C1285" s="31" t="n">
        <x:v>350524</x:v>
      </x:c>
      <x:c r="D1285" s="22" t="str">
        <x:v>安溪县</x:v>
      </x:c>
      <x:c r="E1285" s="22" t="str">
        <x:v>建设用地</x:v>
      </x:c>
      <x:c r="F1285" s="22" t="str">
        <x:v>工矿仓储用地</x:v>
      </x:c>
      <x:c r="G1285" s="32" t="str">
        <x:v>601</x:v>
      </x:c>
      <x:c r="H1285" s="32" t="str">
        <x:v>601</x:v>
      </x:c>
      <x:c r="I1285" s="22" t="str">
        <x:v>工业用地</x:v>
      </x:c>
      <x:c r="J1285" s="22" t="str">
        <x:v>产业功能</x:v>
      </x:c>
      <x:c r="K1285" s="32" t="str">
        <x:v>204</x:v>
      </x:c>
      <x:c r="L1285" s="22" t="str">
        <x:v>盐田及采矿用地</x:v>
      </x:c>
      <x:c r="M1285" s="33" t="n">
        <x:v>7490.259999999999</x:v>
      </x:c>
      <x:c r="N1285" s="33" t="n">
        <x:v>0.749026</x:v>
      </x:c>
      <x:c r="O1285" s="22" t="str">
        <x:v>公顷</x:v>
      </x:c>
      <x:c r="P1285" s="22" t="str">
        <x:v>未提供（单期横截面）</x:v>
      </x:c>
      <x:c r="Q1285" s="23" t="n">
        <x:v>4264</x:v>
      </x:c>
    </x:row>
    <x:row r="1286">
      <x:c r="A1286" s="30" t="n">
        <x:v>350500</x:v>
      </x:c>
      <x:c r="B1286" s="22" t="str">
        <x:v>泉州市</x:v>
      </x:c>
      <x:c r="C1286" s="31" t="n">
        <x:v>350524</x:v>
      </x:c>
      <x:c r="D1286" s="22" t="str">
        <x:v>安溪县</x:v>
      </x:c>
      <x:c r="E1286" s="22" t="str">
        <x:v>建设用地</x:v>
      </x:c>
      <x:c r="F1286" s="22" t="str">
        <x:v>工矿仓储用地</x:v>
      </x:c>
      <x:c r="G1286" s="32" t="str">
        <x:v>602</x:v>
      </x:c>
      <x:c r="H1286" s="32" t="str">
        <x:v>602</x:v>
      </x:c>
      <x:c r="I1286" s="22" t="str">
        <x:v>采矿用地</x:v>
      </x:c>
      <x:c r="J1286" s="22" t="str">
        <x:v>产业功能</x:v>
      </x:c>
      <x:c r="K1286" s="32" t="str">
        <x:v>204</x:v>
      </x:c>
      <x:c r="L1286" s="22" t="str">
        <x:v>盐田及采矿用地</x:v>
      </x:c>
      <x:c r="M1286" s="33" t="n">
        <x:v>5239649.5</x:v>
      </x:c>
      <x:c r="N1286" s="33" t="n">
        <x:v>523.96495</x:v>
      </x:c>
      <x:c r="O1286" s="22" t="str">
        <x:v>公顷</x:v>
      </x:c>
      <x:c r="P1286" s="22" t="str">
        <x:v>未提供（单期横截面）</x:v>
      </x:c>
      <x:c r="Q1286" s="23" t="n">
        <x:v>4265</x:v>
      </x:c>
    </x:row>
    <x:row r="1287">
      <x:c r="A1287" s="30" t="n">
        <x:v>350500</x:v>
      </x:c>
      <x:c r="B1287" s="22" t="str">
        <x:v>泉州市</x:v>
      </x:c>
      <x:c r="C1287" s="31" t="n">
        <x:v>350524</x:v>
      </x:c>
      <x:c r="D1287" s="22" t="str">
        <x:v>安溪县</x:v>
      </x:c>
      <x:c r="E1287" s="22" t="str">
        <x:v>建设用地</x:v>
      </x:c>
      <x:c r="F1287" s="22" t="str">
        <x:v>居住用地</x:v>
      </x:c>
      <x:c r="G1287" s="32" t="str">
        <x:v>702</x:v>
      </x:c>
      <x:c r="H1287" s="32" t="str">
        <x:v>702</x:v>
      </x:c>
      <x:c r="I1287" s="22" t="str">
        <x:v>农村宅基地</x:v>
      </x:c>
      <x:c r="J1287" s="22" t="str">
        <x:v>居住功能</x:v>
      </x:c>
      <x:c r="K1287" s="32" t="str">
        <x:v>204</x:v>
      </x:c>
      <x:c r="L1287" s="22" t="str">
        <x:v>盐田及采矿用地</x:v>
      </x:c>
      <x:c r="M1287" s="33" t="n">
        <x:v>345.95</x:v>
      </x:c>
      <x:c r="N1287" s="33" t="n">
        <x:v>0.034595</x:v>
      </x:c>
      <x:c r="O1287" s="22" t="str">
        <x:v>公顷</x:v>
      </x:c>
      <x:c r="P1287" s="22" t="str">
        <x:v>未提供（单期横截面）</x:v>
      </x:c>
      <x:c r="Q1287" s="23" t="n">
        <x:v>4266</x:v>
      </x:c>
    </x:row>
    <x:row r="1288">
      <x:c r="A1288" s="30" t="n">
        <x:v>350500</x:v>
      </x:c>
      <x:c r="B1288" s="22" t="str">
        <x:v>泉州市</x:v>
      </x:c>
      <x:c r="C1288" s="31" t="n">
        <x:v>350524</x:v>
      </x:c>
      <x:c r="D1288" s="22" t="str">
        <x:v>安溪县</x:v>
      </x:c>
      <x:c r="E1288" s="22" t="str">
        <x:v>建设用地</x:v>
      </x:c>
      <x:c r="F1288" s="22" t="str">
        <x:v>交通运输用地</x:v>
      </x:c>
      <x:c r="G1288" s="32" t="str">
        <x:v>1004</x:v>
      </x:c>
      <x:c r="H1288" s="32" t="str">
        <x:v>1004</x:v>
      </x:c>
      <x:c r="I1288" s="22" t="str">
        <x:v>城镇村道路用地</x:v>
      </x:c>
      <x:c r="J1288" s="22" t="str">
        <x:v>交通门户</x:v>
      </x:c>
      <x:c r="K1288" s="32" t="str">
        <x:v>204</x:v>
      </x:c>
      <x:c r="L1288" s="22" t="str">
        <x:v>盐田及采矿用地</x:v>
      </x:c>
      <x:c r="M1288" s="33" t="n">
        <x:v>617.22</x:v>
      </x:c>
      <x:c r="N1288" s="33" t="n">
        <x:v>0.061722000000000006</x:v>
      </x:c>
      <x:c r="O1288" s="22" t="str">
        <x:v>公顷</x:v>
      </x:c>
      <x:c r="P1288" s="22" t="str">
        <x:v>未提供（单期横截面）</x:v>
      </x:c>
      <x:c r="Q1288" s="23" t="n">
        <x:v>4267</x:v>
      </x:c>
    </x:row>
    <x:row r="1289">
      <x:c r="A1289" s="30" t="n">
        <x:v>350500</x:v>
      </x:c>
      <x:c r="B1289" s="22" t="str">
        <x:v>泉州市</x:v>
      </x:c>
      <x:c r="C1289" s="31" t="n">
        <x:v>350524</x:v>
      </x:c>
      <x:c r="D1289" s="22" t="str">
        <x:v>安溪县</x:v>
      </x:c>
      <x:c r="E1289" s="22" t="str">
        <x:v>建设用地</x:v>
      </x:c>
      <x:c r="F1289" s="22" t="str">
        <x:v>居住用地</x:v>
      </x:c>
      <x:c r="G1289" s="32" t="str">
        <x:v>702</x:v>
      </x:c>
      <x:c r="H1289" s="32" t="str">
        <x:v>702</x:v>
      </x:c>
      <x:c r="I1289" s="22" t="str">
        <x:v>农村宅基地</x:v>
      </x:c>
      <x:c r="J1289" s="22" t="str">
        <x:v>居住功能</x:v>
      </x:c>
      <x:c r="K1289" s="32" t="str">
        <x:v>205</x:v>
      </x:c>
      <x:c r="L1289" s="22" t="str">
        <x:v>特殊用地</x:v>
      </x:c>
      <x:c r="M1289" s="33" t="n">
        <x:v>2620.79</x:v>
      </x:c>
      <x:c r="N1289" s="33" t="n">
        <x:v>0.262079</x:v>
      </x:c>
      <x:c r="O1289" s="22" t="str">
        <x:v>公顷</x:v>
      </x:c>
      <x:c r="P1289" s="22" t="str">
        <x:v>未提供（单期横截面）</x:v>
      </x:c>
      <x:c r="Q1289" s="23" t="n">
        <x:v>4268</x:v>
      </x:c>
    </x:row>
    <x:row r="1290">
      <x:c r="A1290" s="30" t="n">
        <x:v>350500</x:v>
      </x:c>
      <x:c r="B1290" s="22" t="str">
        <x:v>泉州市</x:v>
      </x:c>
      <x:c r="C1290" s="31" t="n">
        <x:v>350524</x:v>
      </x:c>
      <x:c r="D1290" s="22" t="str">
        <x:v>安溪县</x:v>
      </x:c>
      <x:c r="E1290" s="22" t="str">
        <x:v>建设用地</x:v>
      </x:c>
      <x:c r="F1290" s="22" t="str">
        <x:v>公共管理与公共服务用地</x:v>
      </x:c>
      <x:c r="G1290" s="32" t="str">
        <x:v>08H2</x:v>
      </x:c>
      <x:c r="H1290" s="32" t="str">
        <x:v>08H2</x:v>
      </x:c>
      <x:c r="I1290" s="22" t="str">
        <x:v>科教文卫用地</x:v>
      </x:c>
      <x:c r="J1290" s="22" t="str">
        <x:v>公共服务</x:v>
      </x:c>
      <x:c r="K1290" s="32" t="str">
        <x:v>205</x:v>
      </x:c>
      <x:c r="L1290" s="22" t="str">
        <x:v>特殊用地</x:v>
      </x:c>
      <x:c r="M1290" s="33" t="n">
        <x:v>1267.65</x:v>
      </x:c>
      <x:c r="N1290" s="33" t="n">
        <x:v>0.12676500000000002</x:v>
      </x:c>
      <x:c r="O1290" s="22" t="str">
        <x:v>公顷</x:v>
      </x:c>
      <x:c r="P1290" s="22" t="str">
        <x:v>未提供（单期横截面）</x:v>
      </x:c>
      <x:c r="Q1290" s="23" t="n">
        <x:v>4269</x:v>
      </x:c>
    </x:row>
    <x:row r="1291">
      <x:c r="A1291" s="30" t="n">
        <x:v>350500</x:v>
      </x:c>
      <x:c r="B1291" s="22" t="str">
        <x:v>泉州市</x:v>
      </x:c>
      <x:c r="C1291" s="31" t="n">
        <x:v>350524</x:v>
      </x:c>
      <x:c r="D1291" s="22" t="str">
        <x:v>安溪县</x:v>
      </x:c>
      <x:c r="E1291" s="22" t="str">
        <x:v>建设用地</x:v>
      </x:c>
      <x:c r="F1291" s="22" t="str">
        <x:v>特殊用地</x:v>
      </x:c>
      <x:c r="G1291" s="32" t="str">
        <x:v>9</x:v>
      </x:c>
      <x:c r="H1291" s="32" t="str">
        <x:v>9</x:v>
      </x:c>
      <x:c r="I1291" s="22" t="str">
        <x:v>特殊用地</x:v>
      </x:c>
      <x:c r="J1291" s="22" t="str">
        <x:v>其他建设</x:v>
      </x:c>
      <x:c r="K1291" s="32" t="str">
        <x:v>205</x:v>
      </x:c>
      <x:c r="L1291" s="22" t="str">
        <x:v>特殊用地</x:v>
      </x:c>
      <x:c r="M1291" s="33" t="n">
        <x:v>1626624.2199999976</x:v>
      </x:c>
      <x:c r="N1291" s="33" t="n">
        <x:v>162.66242199999976</x:v>
      </x:c>
      <x:c r="O1291" s="22" t="str">
        <x:v>公顷</x:v>
      </x:c>
      <x:c r="P1291" s="22" t="str">
        <x:v>未提供（单期横截面）</x:v>
      </x:c>
      <x:c r="Q1291" s="23" t="n">
        <x:v>4270</x:v>
      </x:c>
    </x:row>
    <x:row r="1292">
      <x:c r="A1292" s="30" t="n">
        <x:v>350500</x:v>
      </x:c>
      <x:c r="B1292" s="22" t="str">
        <x:v>泉州市</x:v>
      </x:c>
      <x:c r="C1292" s="31" t="n">
        <x:v>350524</x:v>
      </x:c>
      <x:c r="D1292" s="22" t="str">
        <x:v>安溪县</x:v>
      </x:c>
      <x:c r="E1292" s="22" t="str">
        <x:v>建设用地</x:v>
      </x:c>
      <x:c r="F1292" s="22" t="str">
        <x:v>交通运输用地</x:v>
      </x:c>
      <x:c r="G1292" s="32" t="str">
        <x:v>1005</x:v>
      </x:c>
      <x:c r="H1292" s="32" t="str">
        <x:v>1005</x:v>
      </x:c>
      <x:c r="I1292" s="22" t="str">
        <x:v>交通服务场站用地</x:v>
      </x:c>
      <x:c r="J1292" s="22" t="str">
        <x:v>交通门户</x:v>
      </x:c>
      <x:c r="K1292" s="32" t="str">
        <x:v>205</x:v>
      </x:c>
      <x:c r="L1292" s="22" t="str">
        <x:v>特殊用地</x:v>
      </x:c>
      <x:c r="M1292" s="33" t="n">
        <x:v>1202.85</x:v>
      </x:c>
      <x:c r="N1292" s="33" t="n">
        <x:v>0.12028499999999999</x:v>
      </x:c>
      <x:c r="O1292" s="22" t="str">
        <x:v>公顷</x:v>
      </x:c>
      <x:c r="P1292" s="22" t="str">
        <x:v>未提供（单期横截面）</x:v>
      </x:c>
      <x:c r="Q1292" s="23" t="n">
        <x:v>4271</x:v>
      </x:c>
    </x:row>
    <x:row r="1293">
      <x:c r="A1293" s="30" t="n">
        <x:v>350500</x:v>
      </x:c>
      <x:c r="B1293" s="22" t="str">
        <x:v>泉州市</x:v>
      </x:c>
      <x:c r="C1293" s="31" t="n">
        <x:v>350524</x:v>
      </x:c>
      <x:c r="D1293" s="22" t="str">
        <x:v>安溪县</x:v>
      </x:c>
      <x:c r="E1293" s="22" t="str">
        <x:v>农用地</x:v>
      </x:c>
      <x:c r="F1293" s="22" t="str">
        <x:v>耕地</x:v>
      </x:c>
      <x:c r="G1293" s="32" t="str">
        <x:v>101</x:v>
      </x:c>
      <x:c r="H1293" s="32" t="str">
        <x:v>101</x:v>
      </x:c>
      <x:c r="I1293" s="22" t="str">
        <x:v>水田</x:v>
      </x:c>
      <x:c r="J1293" s="22" t="str">
        <x:v>农业生态</x:v>
      </x:c>
      <x:c r="K1293" s="32" t="str"/>
      <x:c r="L1293" s="22" t="str">
        <x:v>不适用/未标注</x:v>
      </x:c>
      <x:c r="M1293" s="33" t="n">
        <x:v>131050213.43999976</x:v>
      </x:c>
      <x:c r="N1293" s="33" t="n">
        <x:v>13105.021343999975</x:v>
      </x:c>
      <x:c r="O1293" s="22" t="str">
        <x:v>公顷</x:v>
      </x:c>
      <x:c r="P1293" s="22" t="str">
        <x:v>未提供（单期横截面）</x:v>
      </x:c>
      <x:c r="Q1293" s="23" t="n">
        <x:v>4272</x:v>
      </x:c>
    </x:row>
    <x:row r="1294">
      <x:c r="A1294" s="30" t="n">
        <x:v>350500</x:v>
      </x:c>
      <x:c r="B1294" s="22" t="str">
        <x:v>泉州市</x:v>
      </x:c>
      <x:c r="C1294" s="31" t="n">
        <x:v>350524</x:v>
      </x:c>
      <x:c r="D1294" s="22" t="str">
        <x:v>安溪县</x:v>
      </x:c>
      <x:c r="E1294" s="22" t="str">
        <x:v>农用地</x:v>
      </x:c>
      <x:c r="F1294" s="22" t="str">
        <x:v>耕地</x:v>
      </x:c>
      <x:c r="G1294" s="32" t="str">
        <x:v>102</x:v>
      </x:c>
      <x:c r="H1294" s="32" t="str">
        <x:v>102</x:v>
      </x:c>
      <x:c r="I1294" s="22" t="str">
        <x:v>水浇地</x:v>
      </x:c>
      <x:c r="J1294" s="22" t="str">
        <x:v>农业生态</x:v>
      </x:c>
      <x:c r="K1294" s="32" t="str"/>
      <x:c r="L1294" s="22" t="str">
        <x:v>不适用/未标注</x:v>
      </x:c>
      <x:c r="M1294" s="33" t="n">
        <x:v>91592.56</x:v>
      </x:c>
      <x:c r="N1294" s="33" t="n">
        <x:v>9.159256</x:v>
      </x:c>
      <x:c r="O1294" s="22" t="str">
        <x:v>公顷</x:v>
      </x:c>
      <x:c r="P1294" s="22" t="str">
        <x:v>未提供（单期横截面）</x:v>
      </x:c>
      <x:c r="Q1294" s="23" t="n">
        <x:v>4273</x:v>
      </x:c>
    </x:row>
    <x:row r="1295">
      <x:c r="A1295" s="30" t="n">
        <x:v>350500</x:v>
      </x:c>
      <x:c r="B1295" s="22" t="str">
        <x:v>泉州市</x:v>
      </x:c>
      <x:c r="C1295" s="31" t="n">
        <x:v>350524</x:v>
      </x:c>
      <x:c r="D1295" s="22" t="str">
        <x:v>安溪县</x:v>
      </x:c>
      <x:c r="E1295" s="22" t="str">
        <x:v>农用地</x:v>
      </x:c>
      <x:c r="F1295" s="22" t="str">
        <x:v>耕地</x:v>
      </x:c>
      <x:c r="G1295" s="32" t="str">
        <x:v>103</x:v>
      </x:c>
      <x:c r="H1295" s="32" t="str">
        <x:v>103</x:v>
      </x:c>
      <x:c r="I1295" s="22" t="str">
        <x:v>旱地</x:v>
      </x:c>
      <x:c r="J1295" s="22" t="str">
        <x:v>农业生态</x:v>
      </x:c>
      <x:c r="K1295" s="32" t="str"/>
      <x:c r="L1295" s="22" t="str">
        <x:v>不适用/未标注</x:v>
      </x:c>
      <x:c r="M1295" s="33" t="n">
        <x:v>11423573.959999979</x:v>
      </x:c>
      <x:c r="N1295" s="33" t="n">
        <x:v>1142.3573959999978</x:v>
      </x:c>
      <x:c r="O1295" s="22" t="str">
        <x:v>公顷</x:v>
      </x:c>
      <x:c r="P1295" s="22" t="str">
        <x:v>未提供（单期横截面）</x:v>
      </x:c>
      <x:c r="Q1295" s="23" t="n">
        <x:v>4274</x:v>
      </x:c>
    </x:row>
    <x:row r="1296">
      <x:c r="A1296" s="30" t="n">
        <x:v>350500</x:v>
      </x:c>
      <x:c r="B1296" s="22" t="str">
        <x:v>泉州市</x:v>
      </x:c>
      <x:c r="C1296" s="31" t="n">
        <x:v>350524</x:v>
      </x:c>
      <x:c r="D1296" s="22" t="str">
        <x:v>安溪县</x:v>
      </x:c>
      <x:c r="E1296" s="22" t="str">
        <x:v>农用地</x:v>
      </x:c>
      <x:c r="F1296" s="22" t="str">
        <x:v>园地</x:v>
      </x:c>
      <x:c r="G1296" s="32" t="str">
        <x:v>201</x:v>
      </x:c>
      <x:c r="H1296" s="32" t="str">
        <x:v>201</x:v>
      </x:c>
      <x:c r="I1296" s="22" t="str">
        <x:v>果园</x:v>
      </x:c>
      <x:c r="J1296" s="22" t="str">
        <x:v>农业生态</x:v>
      </x:c>
      <x:c r="K1296" s="32" t="str"/>
      <x:c r="L1296" s="22" t="str">
        <x:v>不适用/未标注</x:v>
      </x:c>
      <x:c r="M1296" s="33" t="n">
        <x:v>23367776.669999897</x:v>
      </x:c>
      <x:c r="N1296" s="33" t="n">
        <x:v>2336.77766699999</x:v>
      </x:c>
      <x:c r="O1296" s="22" t="str">
        <x:v>公顷</x:v>
      </x:c>
      <x:c r="P1296" s="22" t="str">
        <x:v>未提供（单期横截面）</x:v>
      </x:c>
      <x:c r="Q1296" s="23" t="n">
        <x:v>4275</x:v>
      </x:c>
    </x:row>
    <x:row r="1297">
      <x:c r="A1297" s="30" t="n">
        <x:v>350500</x:v>
      </x:c>
      <x:c r="B1297" s="22" t="str">
        <x:v>泉州市</x:v>
      </x:c>
      <x:c r="C1297" s="31" t="n">
        <x:v>350524</x:v>
      </x:c>
      <x:c r="D1297" s="22" t="str">
        <x:v>安溪县</x:v>
      </x:c>
      <x:c r="E1297" s="22" t="str">
        <x:v>农用地</x:v>
      </x:c>
      <x:c r="F1297" s="22" t="str">
        <x:v>园地</x:v>
      </x:c>
      <x:c r="G1297" s="32" t="str">
        <x:v>0201K</x:v>
      </x:c>
      <x:c r="H1297" s="32" t="str">
        <x:v>201</x:v>
      </x:c>
      <x:c r="I1297" s="22" t="str">
        <x:v>可调整果园</x:v>
      </x:c>
      <x:c r="J1297" s="22" t="str">
        <x:v>农业生态</x:v>
      </x:c>
      <x:c r="K1297" s="32" t="str"/>
      <x:c r="L1297" s="22" t="str">
        <x:v>不适用/未标注</x:v>
      </x:c>
      <x:c r="M1297" s="33" t="n">
        <x:v>215944.60999999996</x:v>
      </x:c>
      <x:c r="N1297" s="33" t="n">
        <x:v>21.594460999999995</x:v>
      </x:c>
      <x:c r="O1297" s="22" t="str">
        <x:v>公顷</x:v>
      </x:c>
      <x:c r="P1297" s="22" t="str">
        <x:v>未提供（单期横截面）</x:v>
      </x:c>
      <x:c r="Q1297" s="23" t="n">
        <x:v>4276</x:v>
      </x:c>
    </x:row>
    <x:row r="1298">
      <x:c r="A1298" s="30" t="n">
        <x:v>350500</x:v>
      </x:c>
      <x:c r="B1298" s="22" t="str">
        <x:v>泉州市</x:v>
      </x:c>
      <x:c r="C1298" s="31" t="n">
        <x:v>350524</x:v>
      </x:c>
      <x:c r="D1298" s="22" t="str">
        <x:v>安溪县</x:v>
      </x:c>
      <x:c r="E1298" s="22" t="str">
        <x:v>农用地</x:v>
      </x:c>
      <x:c r="F1298" s="22" t="str">
        <x:v>园地</x:v>
      </x:c>
      <x:c r="G1298" s="32" t="str">
        <x:v>202</x:v>
      </x:c>
      <x:c r="H1298" s="32" t="str">
        <x:v>202</x:v>
      </x:c>
      <x:c r="I1298" s="22" t="str">
        <x:v>茶园</x:v>
      </x:c>
      <x:c r="J1298" s="22" t="str">
        <x:v>农业生态</x:v>
      </x:c>
      <x:c r="K1298" s="32" t="str"/>
      <x:c r="L1298" s="22" t="str">
        <x:v>不适用/未标注</x:v>
      </x:c>
      <x:c r="M1298" s="33" t="n">
        <x:v>771060665.6400012</x:v>
      </x:c>
      <x:c r="N1298" s="33" t="n">
        <x:v>77106.06656400012</x:v>
      </x:c>
      <x:c r="O1298" s="22" t="str">
        <x:v>公顷</x:v>
      </x:c>
      <x:c r="P1298" s="22" t="str">
        <x:v>未提供（单期横截面）</x:v>
      </x:c>
      <x:c r="Q1298" s="23" t="n">
        <x:v>4277</x:v>
      </x:c>
    </x:row>
    <x:row r="1299">
      <x:c r="A1299" s="30" t="n">
        <x:v>350500</x:v>
      </x:c>
      <x:c r="B1299" s="22" t="str">
        <x:v>泉州市</x:v>
      </x:c>
      <x:c r="C1299" s="31" t="n">
        <x:v>350524</x:v>
      </x:c>
      <x:c r="D1299" s="22" t="str">
        <x:v>安溪县</x:v>
      </x:c>
      <x:c r="E1299" s="22" t="str">
        <x:v>农用地</x:v>
      </x:c>
      <x:c r="F1299" s="22" t="str">
        <x:v>园地</x:v>
      </x:c>
      <x:c r="G1299" s="32" t="str">
        <x:v>0202K</x:v>
      </x:c>
      <x:c r="H1299" s="32" t="str">
        <x:v>0202</x:v>
      </x:c>
      <x:c r="I1299" s="22" t="str">
        <x:v>可调整茶园</x:v>
      </x:c>
      <x:c r="J1299" s="22" t="str">
        <x:v>农业生态</x:v>
      </x:c>
      <x:c r="K1299" s="32" t="str"/>
      <x:c r="L1299" s="22" t="str">
        <x:v>不适用/未标注</x:v>
      </x:c>
      <x:c r="M1299" s="33" t="n">
        <x:v>4542076.549999999</x:v>
      </x:c>
      <x:c r="N1299" s="33" t="n">
        <x:v>454.2076549999999</x:v>
      </x:c>
      <x:c r="O1299" s="22" t="str">
        <x:v>公顷</x:v>
      </x:c>
      <x:c r="P1299" s="22" t="str">
        <x:v>未提供（单期横截面）</x:v>
      </x:c>
      <x:c r="Q1299" s="23" t="n">
        <x:v>4278</x:v>
      </x:c>
    </x:row>
    <x:row r="1300">
      <x:c r="A1300" s="30" t="n">
        <x:v>350500</x:v>
      </x:c>
      <x:c r="B1300" s="22" t="str">
        <x:v>泉州市</x:v>
      </x:c>
      <x:c r="C1300" s="31" t="n">
        <x:v>350524</x:v>
      </x:c>
      <x:c r="D1300" s="22" t="str">
        <x:v>安溪县</x:v>
      </x:c>
      <x:c r="E1300" s="22" t="str">
        <x:v>农用地</x:v>
      </x:c>
      <x:c r="F1300" s="22" t="str">
        <x:v>园地</x:v>
      </x:c>
      <x:c r="G1300" s="32" t="str">
        <x:v>204</x:v>
      </x:c>
      <x:c r="H1300" s="32" t="str">
        <x:v>204</x:v>
      </x:c>
      <x:c r="I1300" s="22" t="str">
        <x:v>其他园地</x:v>
      </x:c>
      <x:c r="J1300" s="22" t="str">
        <x:v>农业生态</x:v>
      </x:c>
      <x:c r="K1300" s="32" t="str"/>
      <x:c r="L1300" s="22" t="str">
        <x:v>不适用/未标注</x:v>
      </x:c>
      <x:c r="M1300" s="33" t="n">
        <x:v>856168.8800000002</x:v>
      </x:c>
      <x:c r="N1300" s="33" t="n">
        <x:v>85.61688800000002</x:v>
      </x:c>
      <x:c r="O1300" s="22" t="str">
        <x:v>公顷</x:v>
      </x:c>
      <x:c r="P1300" s="22" t="str">
        <x:v>未提供（单期横截面）</x:v>
      </x:c>
      <x:c r="Q1300" s="23" t="n">
        <x:v>4279</x:v>
      </x:c>
    </x:row>
    <x:row r="1301">
      <x:c r="A1301" s="30" t="n">
        <x:v>350500</x:v>
      </x:c>
      <x:c r="B1301" s="22" t="str">
        <x:v>泉州市</x:v>
      </x:c>
      <x:c r="C1301" s="31" t="n">
        <x:v>350524</x:v>
      </x:c>
      <x:c r="D1301" s="22" t="str">
        <x:v>安溪县</x:v>
      </x:c>
      <x:c r="E1301" s="22" t="str">
        <x:v>农用地</x:v>
      </x:c>
      <x:c r="F1301" s="22" t="str">
        <x:v>林地</x:v>
      </x:c>
      <x:c r="G1301" s="32" t="str">
        <x:v>301</x:v>
      </x:c>
      <x:c r="H1301" s="32" t="str">
        <x:v>301</x:v>
      </x:c>
      <x:c r="I1301" s="22" t="str">
        <x:v>乔木林地</x:v>
      </x:c>
      <x:c r="J1301" s="22" t="str">
        <x:v>农业生态</x:v>
      </x:c>
      <x:c r="K1301" s="32" t="str"/>
      <x:c r="L1301" s="22" t="str">
        <x:v>不适用/未标注</x:v>
      </x:c>
      <x:c r="M1301" s="33" t="n">
        <x:v>1367534512.3199928</x:v>
      </x:c>
      <x:c r="N1301" s="33" t="n">
        <x:v>136753.45123199926</x:v>
      </x:c>
      <x:c r="O1301" s="22" t="str">
        <x:v>公顷</x:v>
      </x:c>
      <x:c r="P1301" s="22" t="str">
        <x:v>未提供（单期横截面）</x:v>
      </x:c>
      <x:c r="Q1301" s="23" t="n">
        <x:v>4280</x:v>
      </x:c>
    </x:row>
    <x:row r="1302">
      <x:c r="A1302" s="30" t="n">
        <x:v>350500</x:v>
      </x:c>
      <x:c r="B1302" s="22" t="str">
        <x:v>泉州市</x:v>
      </x:c>
      <x:c r="C1302" s="31" t="n">
        <x:v>350524</x:v>
      </x:c>
      <x:c r="D1302" s="22" t="str">
        <x:v>安溪县</x:v>
      </x:c>
      <x:c r="E1302" s="22" t="str">
        <x:v>农用地</x:v>
      </x:c>
      <x:c r="F1302" s="22" t="str">
        <x:v>林地</x:v>
      </x:c>
      <x:c r="G1302" s="32" t="str">
        <x:v>302</x:v>
      </x:c>
      <x:c r="H1302" s="32" t="str">
        <x:v>302</x:v>
      </x:c>
      <x:c r="I1302" s="22" t="str">
        <x:v>竹林地</x:v>
      </x:c>
      <x:c r="J1302" s="22" t="str">
        <x:v>农业生态</x:v>
      </x:c>
      <x:c r="K1302" s="32" t="str"/>
      <x:c r="L1302" s="22" t="str">
        <x:v>不适用/未标注</x:v>
      </x:c>
      <x:c r="M1302" s="33" t="n">
        <x:v>85653989.15999979</x:v>
      </x:c>
      <x:c r="N1302" s="33" t="n">
        <x:v>8565.398915999978</x:v>
      </x:c>
      <x:c r="O1302" s="22" t="str">
        <x:v>公顷</x:v>
      </x:c>
      <x:c r="P1302" s="22" t="str">
        <x:v>未提供（单期横截面）</x:v>
      </x:c>
      <x:c r="Q1302" s="23" t="n">
        <x:v>4281</x:v>
      </x:c>
    </x:row>
    <x:row r="1303">
      <x:c r="A1303" s="30" t="n">
        <x:v>350500</x:v>
      </x:c>
      <x:c r="B1303" s="22" t="str">
        <x:v>泉州市</x:v>
      </x:c>
      <x:c r="C1303" s="31" t="n">
        <x:v>350524</x:v>
      </x:c>
      <x:c r="D1303" s="22" t="str">
        <x:v>安溪县</x:v>
      </x:c>
      <x:c r="E1303" s="22" t="str">
        <x:v>农用地</x:v>
      </x:c>
      <x:c r="F1303" s="22" t="str">
        <x:v>林地</x:v>
      </x:c>
      <x:c r="G1303" s="32" t="str">
        <x:v>305</x:v>
      </x:c>
      <x:c r="H1303" s="32" t="str">
        <x:v>305</x:v>
      </x:c>
      <x:c r="I1303" s="22" t="str">
        <x:v>灌木林地</x:v>
      </x:c>
      <x:c r="J1303" s="22" t="str">
        <x:v>农业生态</x:v>
      </x:c>
      <x:c r="K1303" s="32" t="str"/>
      <x:c r="L1303" s="22" t="str">
        <x:v>不适用/未标注</x:v>
      </x:c>
      <x:c r="M1303" s="33" t="n">
        <x:v>18443981.2</x:v>
      </x:c>
      <x:c r="N1303" s="33" t="n">
        <x:v>1844.3981199999998</x:v>
      </x:c>
      <x:c r="O1303" s="22" t="str">
        <x:v>公顷</x:v>
      </x:c>
      <x:c r="P1303" s="22" t="str">
        <x:v>未提供（单期横截面）</x:v>
      </x:c>
      <x:c r="Q1303" s="23" t="n">
        <x:v>4282</x:v>
      </x:c>
    </x:row>
    <x:row r="1304">
      <x:c r="A1304" s="30" t="n">
        <x:v>350500</x:v>
      </x:c>
      <x:c r="B1304" s="22" t="str">
        <x:v>泉州市</x:v>
      </x:c>
      <x:c r="C1304" s="31" t="n">
        <x:v>350524</x:v>
      </x:c>
      <x:c r="D1304" s="22" t="str">
        <x:v>安溪县</x:v>
      </x:c>
      <x:c r="E1304" s="22" t="str">
        <x:v>农用地</x:v>
      </x:c>
      <x:c r="F1304" s="22" t="str">
        <x:v>林地</x:v>
      </x:c>
      <x:c r="G1304" s="32" t="str">
        <x:v>307</x:v>
      </x:c>
      <x:c r="H1304" s="32" t="str">
        <x:v>307</x:v>
      </x:c>
      <x:c r="I1304" s="22" t="str">
        <x:v>其他林地</x:v>
      </x:c>
      <x:c r="J1304" s="22" t="str">
        <x:v>农业生态</x:v>
      </x:c>
      <x:c r="K1304" s="32" t="str"/>
      <x:c r="L1304" s="22" t="str">
        <x:v>不适用/未标注</x:v>
      </x:c>
      <x:c r="M1304" s="33" t="n">
        <x:v>287670425.9500002</x:v>
      </x:c>
      <x:c r="N1304" s="33" t="n">
        <x:v>28767.042595000024</x:v>
      </x:c>
      <x:c r="O1304" s="22" t="str">
        <x:v>公顷</x:v>
      </x:c>
      <x:c r="P1304" s="22" t="str">
        <x:v>未提供（单期横截面）</x:v>
      </x:c>
      <x:c r="Q1304" s="23" t="n">
        <x:v>4283</x:v>
      </x:c>
    </x:row>
    <x:row r="1305">
      <x:c r="A1305" s="30" t="n">
        <x:v>350500</x:v>
      </x:c>
      <x:c r="B1305" s="22" t="str">
        <x:v>泉州市</x:v>
      </x:c>
      <x:c r="C1305" s="31" t="n">
        <x:v>350524</x:v>
      </x:c>
      <x:c r="D1305" s="22" t="str">
        <x:v>安溪县</x:v>
      </x:c>
      <x:c r="E1305" s="22" t="str">
        <x:v>农用地</x:v>
      </x:c>
      <x:c r="F1305" s="22" t="str">
        <x:v>草地</x:v>
      </x:c>
      <x:c r="G1305" s="32" t="str">
        <x:v>403</x:v>
      </x:c>
      <x:c r="H1305" s="32" t="str">
        <x:v>403</x:v>
      </x:c>
      <x:c r="I1305" s="22" t="str">
        <x:v>人工牧草地</x:v>
      </x:c>
      <x:c r="J1305" s="22" t="str">
        <x:v>农业生态</x:v>
      </x:c>
      <x:c r="K1305" s="32" t="str"/>
      <x:c r="L1305" s="22" t="str">
        <x:v>不适用/未标注</x:v>
      </x:c>
      <x:c r="M1305" s="33" t="n">
        <x:v>7408.05</x:v>
      </x:c>
      <x:c r="N1305" s="33" t="n">
        <x:v>0.740805</x:v>
      </x:c>
      <x:c r="O1305" s="22" t="str">
        <x:v>公顷</x:v>
      </x:c>
      <x:c r="P1305" s="22" t="str">
        <x:v>未提供（单期横截面）</x:v>
      </x:c>
      <x:c r="Q1305" s="23" t="n">
        <x:v>4284</x:v>
      </x:c>
    </x:row>
    <x:row r="1306">
      <x:c r="A1306" s="30" t="n">
        <x:v>350500</x:v>
      </x:c>
      <x:c r="B1306" s="22" t="str">
        <x:v>泉州市</x:v>
      </x:c>
      <x:c r="C1306" s="31" t="n">
        <x:v>350524</x:v>
      </x:c>
      <x:c r="D1306" s="22" t="str">
        <x:v>安溪县</x:v>
      </x:c>
      <x:c r="E1306" s="22" t="str">
        <x:v>农用地</x:v>
      </x:c>
      <x:c r="F1306" s="22" t="str">
        <x:v>其他农用地</x:v>
      </x:c>
      <x:c r="G1306" s="32" t="str">
        <x:v>1006</x:v>
      </x:c>
      <x:c r="H1306" s="32" t="str">
        <x:v>1006</x:v>
      </x:c>
      <x:c r="I1306" s="22" t="str">
        <x:v>农村道路</x:v>
      </x:c>
      <x:c r="J1306" s="22" t="str">
        <x:v>农业生态</x:v>
      </x:c>
      <x:c r="K1306" s="32" t="str"/>
      <x:c r="L1306" s="22" t="str">
        <x:v>不适用/未标注</x:v>
      </x:c>
      <x:c r="M1306" s="33" t="n">
        <x:v>29375282.549999945</x:v>
      </x:c>
      <x:c r="N1306" s="33" t="n">
        <x:v>2937.5282549999943</x:v>
      </x:c>
      <x:c r="O1306" s="22" t="str">
        <x:v>公顷</x:v>
      </x:c>
      <x:c r="P1306" s="22" t="str">
        <x:v>未提供（单期横截面）</x:v>
      </x:c>
      <x:c r="Q1306" s="23" t="n">
        <x:v>4285</x:v>
      </x:c>
    </x:row>
    <x:row r="1307">
      <x:c r="A1307" s="30" t="n">
        <x:v>350500</x:v>
      </x:c>
      <x:c r="B1307" s="22" t="str">
        <x:v>泉州市</x:v>
      </x:c>
      <x:c r="C1307" s="31" t="n">
        <x:v>350524</x:v>
      </x:c>
      <x:c r="D1307" s="22" t="str">
        <x:v>安溪县</x:v>
      </x:c>
      <x:c r="E1307" s="22" t="str">
        <x:v>农用地</x:v>
      </x:c>
      <x:c r="F1307" s="22" t="str">
        <x:v>水域及水利设施</x:v>
      </x:c>
      <x:c r="G1307" s="32" t="str">
        <x:v>1103</x:v>
      </x:c>
      <x:c r="H1307" s="32" t="str">
        <x:v>1103</x:v>
      </x:c>
      <x:c r="I1307" s="22" t="str">
        <x:v>水库水面</x:v>
      </x:c>
      <x:c r="J1307" s="22" t="str">
        <x:v>农业生态</x:v>
      </x:c>
      <x:c r="K1307" s="32" t="str"/>
      <x:c r="L1307" s="22" t="str">
        <x:v>不适用/未标注</x:v>
      </x:c>
      <x:c r="M1307" s="33" t="n">
        <x:v>8708489.620000001</x:v>
      </x:c>
      <x:c r="N1307" s="33" t="n">
        <x:v>870.8489620000001</x:v>
      </x:c>
      <x:c r="O1307" s="22" t="str">
        <x:v>公顷</x:v>
      </x:c>
      <x:c r="P1307" s="22" t="str">
        <x:v>未提供（单期横截面）</x:v>
      </x:c>
      <x:c r="Q1307" s="23" t="n">
        <x:v>4286</x:v>
      </x:c>
    </x:row>
    <x:row r="1308">
      <x:c r="A1308" s="30" t="n">
        <x:v>350500</x:v>
      </x:c>
      <x:c r="B1308" s="22" t="str">
        <x:v>泉州市</x:v>
      </x:c>
      <x:c r="C1308" s="31" t="n">
        <x:v>350524</x:v>
      </x:c>
      <x:c r="D1308" s="22" t="str">
        <x:v>安溪县</x:v>
      </x:c>
      <x:c r="E1308" s="22" t="str">
        <x:v>农用地</x:v>
      </x:c>
      <x:c r="F1308" s="22" t="str">
        <x:v>水域及水利设施</x:v>
      </x:c>
      <x:c r="G1308" s="32" t="str">
        <x:v>1104</x:v>
      </x:c>
      <x:c r="H1308" s="32" t="str">
        <x:v>1104</x:v>
      </x:c>
      <x:c r="I1308" s="22" t="str">
        <x:v>坑塘水面</x:v>
      </x:c>
      <x:c r="J1308" s="22" t="str">
        <x:v>农业生态</x:v>
      </x:c>
      <x:c r="K1308" s="32" t="str"/>
      <x:c r="L1308" s="22" t="str">
        <x:v>不适用/未标注</x:v>
      </x:c>
      <x:c r="M1308" s="33" t="n">
        <x:v>1628035.239999999</x:v>
      </x:c>
      <x:c r="N1308" s="33" t="n">
        <x:v>162.8035239999999</x:v>
      </x:c>
      <x:c r="O1308" s="22" t="str">
        <x:v>公顷</x:v>
      </x:c>
      <x:c r="P1308" s="22" t="str">
        <x:v>未提供（单期横截面）</x:v>
      </x:c>
      <x:c r="Q1308" s="23" t="n">
        <x:v>4287</x:v>
      </x:c>
    </x:row>
    <x:row r="1309">
      <x:c r="A1309" s="30" t="n">
        <x:v>350500</x:v>
      </x:c>
      <x:c r="B1309" s="22" t="str">
        <x:v>泉州市</x:v>
      </x:c>
      <x:c r="C1309" s="31" t="n">
        <x:v>350524</x:v>
      </x:c>
      <x:c r="D1309" s="22" t="str">
        <x:v>安溪县</x:v>
      </x:c>
      <x:c r="E1309" s="22" t="str">
        <x:v>农用地</x:v>
      </x:c>
      <x:c r="F1309" s="22" t="str">
        <x:v>水域及水利设施</x:v>
      </x:c>
      <x:c r="G1309" s="32" t="str">
        <x:v>1104A</x:v>
      </x:c>
      <x:c r="H1309" s="32" t="str">
        <x:v>1104</x:v>
      </x:c>
      <x:c r="I1309" s="22" t="str">
        <x:v>养殖坑塘</x:v>
      </x:c>
      <x:c r="J1309" s="22" t="str">
        <x:v>农业生态</x:v>
      </x:c>
      <x:c r="K1309" s="32" t="str"/>
      <x:c r="L1309" s="22" t="str">
        <x:v>不适用/未标注</x:v>
      </x:c>
      <x:c r="M1309" s="33" t="n">
        <x:v>758437.2199999993</x:v>
      </x:c>
      <x:c r="N1309" s="33" t="n">
        <x:v>75.84372199999993</x:v>
      </x:c>
      <x:c r="O1309" s="22" t="str">
        <x:v>公顷</x:v>
      </x:c>
      <x:c r="P1309" s="22" t="str">
        <x:v>未提供（单期横截面）</x:v>
      </x:c>
      <x:c r="Q1309" s="23" t="n">
        <x:v>4288</x:v>
      </x:c>
    </x:row>
    <x:row r="1310">
      <x:c r="A1310" s="30" t="n">
        <x:v>350500</x:v>
      </x:c>
      <x:c r="B1310" s="22" t="str">
        <x:v>泉州市</x:v>
      </x:c>
      <x:c r="C1310" s="31" t="n">
        <x:v>350524</x:v>
      </x:c>
      <x:c r="D1310" s="22" t="str">
        <x:v>安溪县</x:v>
      </x:c>
      <x:c r="E1310" s="22" t="str">
        <x:v>农用地</x:v>
      </x:c>
      <x:c r="F1310" s="22" t="str">
        <x:v>水域及水利设施</x:v>
      </x:c>
      <x:c r="G1310" s="32" t="str">
        <x:v>1107</x:v>
      </x:c>
      <x:c r="H1310" s="32" t="str">
        <x:v>1107</x:v>
      </x:c>
      <x:c r="I1310" s="22" t="str">
        <x:v>沟渠</x:v>
      </x:c>
      <x:c r="J1310" s="22" t="str">
        <x:v>农业生态</x:v>
      </x:c>
      <x:c r="K1310" s="32" t="str"/>
      <x:c r="L1310" s="22" t="str">
        <x:v>不适用/未标注</x:v>
      </x:c>
      <x:c r="M1310" s="33" t="n">
        <x:v>1865415.320000001</x:v>
      </x:c>
      <x:c r="N1310" s="33" t="n">
        <x:v>186.5415320000001</x:v>
      </x:c>
      <x:c r="O1310" s="22" t="str">
        <x:v>公顷</x:v>
      </x:c>
      <x:c r="P1310" s="22" t="str">
        <x:v>未提供（单期横截面）</x:v>
      </x:c>
      <x:c r="Q1310" s="23" t="n">
        <x:v>4289</x:v>
      </x:c>
    </x:row>
    <x:row r="1311">
      <x:c r="A1311" s="30" t="n">
        <x:v>350500</x:v>
      </x:c>
      <x:c r="B1311" s="22" t="str">
        <x:v>泉州市</x:v>
      </x:c>
      <x:c r="C1311" s="31" t="n">
        <x:v>350524</x:v>
      </x:c>
      <x:c r="D1311" s="22" t="str">
        <x:v>安溪县</x:v>
      </x:c>
      <x:c r="E1311" s="22" t="str">
        <x:v>农用地</x:v>
      </x:c>
      <x:c r="F1311" s="22" t="str">
        <x:v>水域及水利设施</x:v>
      </x:c>
      <x:c r="G1311" s="32" t="str">
        <x:v>1107A</x:v>
      </x:c>
      <x:c r="H1311" s="32" t="str">
        <x:v>1107</x:v>
      </x:c>
      <x:c r="I1311" s="22" t="str">
        <x:v>干渠</x:v>
      </x:c>
      <x:c r="J1311" s="22" t="str">
        <x:v>农业生态</x:v>
      </x:c>
      <x:c r="K1311" s="32" t="str"/>
      <x:c r="L1311" s="22" t="str">
        <x:v>不适用/未标注</x:v>
      </x:c>
      <x:c r="M1311" s="33" t="n">
        <x:v>61082.41</x:v>
      </x:c>
      <x:c r="N1311" s="33" t="n">
        <x:v>6.1082410000000005</x:v>
      </x:c>
      <x:c r="O1311" s="22" t="str">
        <x:v>公顷</x:v>
      </x:c>
      <x:c r="P1311" s="22" t="str">
        <x:v>未提供（单期横截面）</x:v>
      </x:c>
      <x:c r="Q1311" s="23" t="n">
        <x:v>4290</x:v>
      </x:c>
    </x:row>
    <x:row r="1312">
      <x:c r="A1312" s="30" t="n">
        <x:v>350500</x:v>
      </x:c>
      <x:c r="B1312" s="22" t="str">
        <x:v>泉州市</x:v>
      </x:c>
      <x:c r="C1312" s="31" t="n">
        <x:v>350524</x:v>
      </x:c>
      <x:c r="D1312" s="22" t="str">
        <x:v>安溪县</x:v>
      </x:c>
      <x:c r="E1312" s="22" t="str">
        <x:v>农用地</x:v>
      </x:c>
      <x:c r="F1312" s="22" t="str">
        <x:v>其他农用地</x:v>
      </x:c>
      <x:c r="G1312" s="32" t="str">
        <x:v>1202</x:v>
      </x:c>
      <x:c r="H1312" s="32" t="str">
        <x:v>1202</x:v>
      </x:c>
      <x:c r="I1312" s="22" t="str">
        <x:v>设施农用地</x:v>
      </x:c>
      <x:c r="J1312" s="22" t="str">
        <x:v>农业生态</x:v>
      </x:c>
      <x:c r="K1312" s="32" t="str"/>
      <x:c r="L1312" s="22" t="str">
        <x:v>不适用/未标注</x:v>
      </x:c>
      <x:c r="M1312" s="33" t="n">
        <x:v>2160366.6000000047</x:v>
      </x:c>
      <x:c r="N1312" s="33" t="n">
        <x:v>216.03666000000047</x:v>
      </x:c>
      <x:c r="O1312" s="22" t="str">
        <x:v>公顷</x:v>
      </x:c>
      <x:c r="P1312" s="22" t="str">
        <x:v>未提供（单期横截面）</x:v>
      </x:c>
      <x:c r="Q1312" s="23" t="n">
        <x:v>4291</x:v>
      </x:c>
    </x:row>
    <x:row r="1313">
      <x:c r="A1313" s="30" t="n">
        <x:v>350500</x:v>
      </x:c>
      <x:c r="B1313" s="22" t="str">
        <x:v>泉州市</x:v>
      </x:c>
      <x:c r="C1313" s="31" t="n">
        <x:v>350524</x:v>
      </x:c>
      <x:c r="D1313" s="22" t="str">
        <x:v>安溪县</x:v>
      </x:c>
      <x:c r="E1313" s="22" t="str">
        <x:v>农用地</x:v>
      </x:c>
      <x:c r="F1313" s="22" t="str">
        <x:v>耕地</x:v>
      </x:c>
      <x:c r="G1313" s="32" t="str">
        <x:v>101</x:v>
      </x:c>
      <x:c r="H1313" s="32" t="str">
        <x:v>101</x:v>
      </x:c>
      <x:c r="I1313" s="22" t="str">
        <x:v>水田</x:v>
      </x:c>
      <x:c r="J1313" s="22" t="str">
        <x:v>农业生态</x:v>
      </x:c>
      <x:c r="K1313" s="32" t="str">
        <x:v>202</x:v>
      </x:c>
      <x:c r="L1313" s="22" t="str">
        <x:v>建制镇范围</x:v>
      </x:c>
      <x:c r="M1313" s="33" t="n">
        <x:v>399437.6000000001</x:v>
      </x:c>
      <x:c r="N1313" s="33" t="n">
        <x:v>39.94376000000001</x:v>
      </x:c>
      <x:c r="O1313" s="22" t="str">
        <x:v>公顷</x:v>
      </x:c>
      <x:c r="P1313" s="22" t="str">
        <x:v>未提供（单期横截面）</x:v>
      </x:c>
      <x:c r="Q1313" s="23" t="n">
        <x:v>4292</x:v>
      </x:c>
    </x:row>
    <x:row r="1314">
      <x:c r="A1314" s="30" t="n">
        <x:v>350500</x:v>
      </x:c>
      <x:c r="B1314" s="22" t="str">
        <x:v>泉州市</x:v>
      </x:c>
      <x:c r="C1314" s="31" t="n">
        <x:v>350524</x:v>
      </x:c>
      <x:c r="D1314" s="22" t="str">
        <x:v>安溪县</x:v>
      </x:c>
      <x:c r="E1314" s="22" t="str">
        <x:v>农用地</x:v>
      </x:c>
      <x:c r="F1314" s="22" t="str">
        <x:v>耕地</x:v>
      </x:c>
      <x:c r="G1314" s="32" t="str">
        <x:v>103</x:v>
      </x:c>
      <x:c r="H1314" s="32" t="str">
        <x:v>103</x:v>
      </x:c>
      <x:c r="I1314" s="22" t="str">
        <x:v>旱地</x:v>
      </x:c>
      <x:c r="J1314" s="22" t="str">
        <x:v>农业生态</x:v>
      </x:c>
      <x:c r="K1314" s="32" t="str">
        <x:v>202</x:v>
      </x:c>
      <x:c r="L1314" s="22" t="str">
        <x:v>建制镇范围</x:v>
      </x:c>
      <x:c r="M1314" s="33" t="n">
        <x:v>164476.06000000003</x:v>
      </x:c>
      <x:c r="N1314" s="33" t="n">
        <x:v>16.447606000000004</x:v>
      </x:c>
      <x:c r="O1314" s="22" t="str">
        <x:v>公顷</x:v>
      </x:c>
      <x:c r="P1314" s="22" t="str">
        <x:v>未提供（单期横截面）</x:v>
      </x:c>
      <x:c r="Q1314" s="23" t="n">
        <x:v>4293</x:v>
      </x:c>
    </x:row>
    <x:row r="1315">
      <x:c r="A1315" s="30" t="n">
        <x:v>350500</x:v>
      </x:c>
      <x:c r="B1315" s="22" t="str">
        <x:v>泉州市</x:v>
      </x:c>
      <x:c r="C1315" s="31" t="n">
        <x:v>350524</x:v>
      </x:c>
      <x:c r="D1315" s="22" t="str">
        <x:v>安溪县</x:v>
      </x:c>
      <x:c r="E1315" s="22" t="str">
        <x:v>农用地</x:v>
      </x:c>
      <x:c r="F1315" s="22" t="str">
        <x:v>园地</x:v>
      </x:c>
      <x:c r="G1315" s="32" t="str">
        <x:v>201</x:v>
      </x:c>
      <x:c r="H1315" s="32" t="str">
        <x:v>201</x:v>
      </x:c>
      <x:c r="I1315" s="22" t="str">
        <x:v>果园</x:v>
      </x:c>
      <x:c r="J1315" s="22" t="str">
        <x:v>农业生态</x:v>
      </x:c>
      <x:c r="K1315" s="32" t="str">
        <x:v>202</x:v>
      </x:c>
      <x:c r="L1315" s="22" t="str">
        <x:v>建制镇范围</x:v>
      </x:c>
      <x:c r="M1315" s="33" t="n">
        <x:v>90204.18999999999</x:v>
      </x:c>
      <x:c r="N1315" s="33" t="n">
        <x:v>9.020418999999999</x:v>
      </x:c>
      <x:c r="O1315" s="22" t="str">
        <x:v>公顷</x:v>
      </x:c>
      <x:c r="P1315" s="22" t="str">
        <x:v>未提供（单期横截面）</x:v>
      </x:c>
      <x:c r="Q1315" s="23" t="n">
        <x:v>4294</x:v>
      </x:c>
    </x:row>
    <x:row r="1316">
      <x:c r="A1316" s="30" t="n">
        <x:v>350500</x:v>
      </x:c>
      <x:c r="B1316" s="22" t="str">
        <x:v>泉州市</x:v>
      </x:c>
      <x:c r="C1316" s="31" t="n">
        <x:v>350524</x:v>
      </x:c>
      <x:c r="D1316" s="22" t="str">
        <x:v>安溪县</x:v>
      </x:c>
      <x:c r="E1316" s="22" t="str">
        <x:v>农用地</x:v>
      </x:c>
      <x:c r="F1316" s="22" t="str">
        <x:v>园地</x:v>
      </x:c>
      <x:c r="G1316" s="32" t="str">
        <x:v>202</x:v>
      </x:c>
      <x:c r="H1316" s="32" t="str">
        <x:v>202</x:v>
      </x:c>
      <x:c r="I1316" s="22" t="str">
        <x:v>茶园</x:v>
      </x:c>
      <x:c r="J1316" s="22" t="str">
        <x:v>农业生态</x:v>
      </x:c>
      <x:c r="K1316" s="32" t="str">
        <x:v>202</x:v>
      </x:c>
      <x:c r="L1316" s="22" t="str">
        <x:v>建制镇范围</x:v>
      </x:c>
      <x:c r="M1316" s="33" t="n">
        <x:v>1722.04</x:v>
      </x:c>
      <x:c r="N1316" s="33" t="n">
        <x:v>0.172204</x:v>
      </x:c>
      <x:c r="O1316" s="22" t="str">
        <x:v>公顷</x:v>
      </x:c>
      <x:c r="P1316" s="22" t="str">
        <x:v>未提供（单期横截面）</x:v>
      </x:c>
      <x:c r="Q1316" s="23" t="n">
        <x:v>4295</x:v>
      </x:c>
    </x:row>
    <x:row r="1317">
      <x:c r="A1317" s="30" t="n">
        <x:v>350500</x:v>
      </x:c>
      <x:c r="B1317" s="22" t="str">
        <x:v>泉州市</x:v>
      </x:c>
      <x:c r="C1317" s="31" t="n">
        <x:v>350524</x:v>
      </x:c>
      <x:c r="D1317" s="22" t="str">
        <x:v>安溪县</x:v>
      </x:c>
      <x:c r="E1317" s="22" t="str">
        <x:v>农用地</x:v>
      </x:c>
      <x:c r="F1317" s="22" t="str">
        <x:v>园地</x:v>
      </x:c>
      <x:c r="G1317" s="32" t="str">
        <x:v>204</x:v>
      </x:c>
      <x:c r="H1317" s="32" t="str">
        <x:v>204</x:v>
      </x:c>
      <x:c r="I1317" s="22" t="str">
        <x:v>其他园地</x:v>
      </x:c>
      <x:c r="J1317" s="22" t="str">
        <x:v>农业生态</x:v>
      </x:c>
      <x:c r="K1317" s="32" t="str">
        <x:v>202</x:v>
      </x:c>
      <x:c r="L1317" s="22" t="str">
        <x:v>建制镇范围</x:v>
      </x:c>
      <x:c r="M1317" s="33" t="n">
        <x:v>3874.4500000000003</x:v>
      </x:c>
      <x:c r="N1317" s="33" t="n">
        <x:v>0.38744500000000004</x:v>
      </x:c>
      <x:c r="O1317" s="22" t="str">
        <x:v>公顷</x:v>
      </x:c>
      <x:c r="P1317" s="22" t="str">
        <x:v>未提供（单期横截面）</x:v>
      </x:c>
      <x:c r="Q1317" s="23" t="n">
        <x:v>4296</x:v>
      </x:c>
    </x:row>
    <x:row r="1318">
      <x:c r="A1318" s="30" t="n">
        <x:v>350500</x:v>
      </x:c>
      <x:c r="B1318" s="22" t="str">
        <x:v>泉州市</x:v>
      </x:c>
      <x:c r="C1318" s="31" t="n">
        <x:v>350524</x:v>
      </x:c>
      <x:c r="D1318" s="22" t="str">
        <x:v>安溪县</x:v>
      </x:c>
      <x:c r="E1318" s="22" t="str">
        <x:v>农用地</x:v>
      </x:c>
      <x:c r="F1318" s="22" t="str">
        <x:v>林地</x:v>
      </x:c>
      <x:c r="G1318" s="32" t="str">
        <x:v>301</x:v>
      </x:c>
      <x:c r="H1318" s="32" t="str">
        <x:v>301</x:v>
      </x:c>
      <x:c r="I1318" s="22" t="str">
        <x:v>乔木林地</x:v>
      </x:c>
      <x:c r="J1318" s="22" t="str">
        <x:v>农业生态</x:v>
      </x:c>
      <x:c r="K1318" s="32" t="str">
        <x:v>202</x:v>
      </x:c>
      <x:c r="L1318" s="22" t="str">
        <x:v>建制镇范围</x:v>
      </x:c>
      <x:c r="M1318" s="33" t="n">
        <x:v>88862.37000000002</x:v>
      </x:c>
      <x:c r="N1318" s="33" t="n">
        <x:v>8.886237000000003</x:v>
      </x:c>
      <x:c r="O1318" s="22" t="str">
        <x:v>公顷</x:v>
      </x:c>
      <x:c r="P1318" s="22" t="str">
        <x:v>未提供（单期横截面）</x:v>
      </x:c>
      <x:c r="Q1318" s="23" t="n">
        <x:v>4297</x:v>
      </x:c>
    </x:row>
    <x:row r="1319">
      <x:c r="A1319" s="30" t="n">
        <x:v>350500</x:v>
      </x:c>
      <x:c r="B1319" s="22" t="str">
        <x:v>泉州市</x:v>
      </x:c>
      <x:c r="C1319" s="31" t="n">
        <x:v>350524</x:v>
      </x:c>
      <x:c r="D1319" s="22" t="str">
        <x:v>安溪县</x:v>
      </x:c>
      <x:c r="E1319" s="22" t="str">
        <x:v>农用地</x:v>
      </x:c>
      <x:c r="F1319" s="22" t="str">
        <x:v>林地</x:v>
      </x:c>
      <x:c r="G1319" s="32" t="str">
        <x:v>302</x:v>
      </x:c>
      <x:c r="H1319" s="32" t="str">
        <x:v>302</x:v>
      </x:c>
      <x:c r="I1319" s="22" t="str">
        <x:v>竹林地</x:v>
      </x:c>
      <x:c r="J1319" s="22" t="str">
        <x:v>农业生态</x:v>
      </x:c>
      <x:c r="K1319" s="32" t="str">
        <x:v>202</x:v>
      </x:c>
      <x:c r="L1319" s="22" t="str">
        <x:v>建制镇范围</x:v>
      </x:c>
      <x:c r="M1319" s="33" t="n">
        <x:v>22998.61</x:v>
      </x:c>
      <x:c r="N1319" s="33" t="n">
        <x:v>2.299861</x:v>
      </x:c>
      <x:c r="O1319" s="22" t="str">
        <x:v>公顷</x:v>
      </x:c>
      <x:c r="P1319" s="22" t="str">
        <x:v>未提供（单期横截面）</x:v>
      </x:c>
      <x:c r="Q1319" s="23" t="n">
        <x:v>4298</x:v>
      </x:c>
    </x:row>
    <x:row r="1320">
      <x:c r="A1320" s="30" t="n">
        <x:v>350500</x:v>
      </x:c>
      <x:c r="B1320" s="22" t="str">
        <x:v>泉州市</x:v>
      </x:c>
      <x:c r="C1320" s="31" t="n">
        <x:v>350524</x:v>
      </x:c>
      <x:c r="D1320" s="22" t="str">
        <x:v>安溪县</x:v>
      </x:c>
      <x:c r="E1320" s="22" t="str">
        <x:v>农用地</x:v>
      </x:c>
      <x:c r="F1320" s="22" t="str">
        <x:v>林地</x:v>
      </x:c>
      <x:c r="G1320" s="32" t="str">
        <x:v>305</x:v>
      </x:c>
      <x:c r="H1320" s="32" t="str">
        <x:v>305</x:v>
      </x:c>
      <x:c r="I1320" s="22" t="str">
        <x:v>灌木林地</x:v>
      </x:c>
      <x:c r="J1320" s="22" t="str">
        <x:v>农业生态</x:v>
      </x:c>
      <x:c r="K1320" s="32" t="str">
        <x:v>202</x:v>
      </x:c>
      <x:c r="L1320" s="22" t="str">
        <x:v>建制镇范围</x:v>
      </x:c>
      <x:c r="M1320" s="33" t="n">
        <x:v>991.9</x:v>
      </x:c>
      <x:c r="N1320" s="33" t="n">
        <x:v>0.09919</x:v>
      </x:c>
      <x:c r="O1320" s="22" t="str">
        <x:v>公顷</x:v>
      </x:c>
      <x:c r="P1320" s="22" t="str">
        <x:v>未提供（单期横截面）</x:v>
      </x:c>
      <x:c r="Q1320" s="23" t="n">
        <x:v>4299</x:v>
      </x:c>
    </x:row>
    <x:row r="1321">
      <x:c r="A1321" s="30" t="n">
        <x:v>350500</x:v>
      </x:c>
      <x:c r="B1321" s="22" t="str">
        <x:v>泉州市</x:v>
      </x:c>
      <x:c r="C1321" s="31" t="n">
        <x:v>350524</x:v>
      </x:c>
      <x:c r="D1321" s="22" t="str">
        <x:v>安溪县</x:v>
      </x:c>
      <x:c r="E1321" s="22" t="str">
        <x:v>农用地</x:v>
      </x:c>
      <x:c r="F1321" s="22" t="str">
        <x:v>林地</x:v>
      </x:c>
      <x:c r="G1321" s="32" t="str">
        <x:v>307</x:v>
      </x:c>
      <x:c r="H1321" s="32" t="str">
        <x:v>307</x:v>
      </x:c>
      <x:c r="I1321" s="22" t="str">
        <x:v>其他林地</x:v>
      </x:c>
      <x:c r="J1321" s="22" t="str">
        <x:v>农业生态</x:v>
      </x:c>
      <x:c r="K1321" s="32" t="str">
        <x:v>202</x:v>
      </x:c>
      <x:c r="L1321" s="22" t="str">
        <x:v>建制镇范围</x:v>
      </x:c>
      <x:c r="M1321" s="33" t="n">
        <x:v>95456.26999999999</x:v>
      </x:c>
      <x:c r="N1321" s="33" t="n">
        <x:v>9.545627</x:v>
      </x:c>
      <x:c r="O1321" s="22" t="str">
        <x:v>公顷</x:v>
      </x:c>
      <x:c r="P1321" s="22" t="str">
        <x:v>未提供（单期横截面）</x:v>
      </x:c>
      <x:c r="Q1321" s="23" t="n">
        <x:v>4300</x:v>
      </x:c>
    </x:row>
    <x:row r="1322">
      <x:c r="A1322" s="30" t="n">
        <x:v>350500</x:v>
      </x:c>
      <x:c r="B1322" s="22" t="str">
        <x:v>泉州市</x:v>
      </x:c>
      <x:c r="C1322" s="31" t="n">
        <x:v>350524</x:v>
      </x:c>
      <x:c r="D1322" s="22" t="str">
        <x:v>安溪县</x:v>
      </x:c>
      <x:c r="E1322" s="22" t="str">
        <x:v>农用地</x:v>
      </x:c>
      <x:c r="F1322" s="22" t="str">
        <x:v>水域及水利设施</x:v>
      </x:c>
      <x:c r="G1322" s="32" t="str">
        <x:v>1104</x:v>
      </x:c>
      <x:c r="H1322" s="32" t="str">
        <x:v>1104</x:v>
      </x:c>
      <x:c r="I1322" s="22" t="str">
        <x:v>坑塘水面</x:v>
      </x:c>
      <x:c r="J1322" s="22" t="str">
        <x:v>农业生态</x:v>
      </x:c>
      <x:c r="K1322" s="32" t="str">
        <x:v>202</x:v>
      </x:c>
      <x:c r="L1322" s="22" t="str">
        <x:v>建制镇范围</x:v>
      </x:c>
      <x:c r="M1322" s="33" t="n">
        <x:v>439.61</x:v>
      </x:c>
      <x:c r="N1322" s="33" t="n">
        <x:v>0.043961</x:v>
      </x:c>
      <x:c r="O1322" s="22" t="str">
        <x:v>公顷</x:v>
      </x:c>
      <x:c r="P1322" s="22" t="str">
        <x:v>未提供（单期横截面）</x:v>
      </x:c>
      <x:c r="Q1322" s="23" t="n">
        <x:v>4301</x:v>
      </x:c>
    </x:row>
    <x:row r="1323">
      <x:c r="A1323" s="30" t="n">
        <x:v>350500</x:v>
      </x:c>
      <x:c r="B1323" s="22" t="str">
        <x:v>泉州市</x:v>
      </x:c>
      <x:c r="C1323" s="31" t="n">
        <x:v>350524</x:v>
      </x:c>
      <x:c r="D1323" s="22" t="str">
        <x:v>安溪县</x:v>
      </x:c>
      <x:c r="E1323" s="22" t="str">
        <x:v>农用地</x:v>
      </x:c>
      <x:c r="F1323" s="22" t="str">
        <x:v>水域及水利设施</x:v>
      </x:c>
      <x:c r="G1323" s="32" t="str">
        <x:v>1104A</x:v>
      </x:c>
      <x:c r="H1323" s="32" t="str">
        <x:v>1104</x:v>
      </x:c>
      <x:c r="I1323" s="22" t="str">
        <x:v>养殖坑塘</x:v>
      </x:c>
      <x:c r="J1323" s="22" t="str">
        <x:v>农业生态</x:v>
      </x:c>
      <x:c r="K1323" s="32" t="str">
        <x:v>202</x:v>
      </x:c>
      <x:c r="L1323" s="22" t="str">
        <x:v>建制镇范围</x:v>
      </x:c>
      <x:c r="M1323" s="33" t="n">
        <x:v>5847.75</x:v>
      </x:c>
      <x:c r="N1323" s="33" t="n">
        <x:v>0.584775</x:v>
      </x:c>
      <x:c r="O1323" s="22" t="str">
        <x:v>公顷</x:v>
      </x:c>
      <x:c r="P1323" s="22" t="str">
        <x:v>未提供（单期横截面）</x:v>
      </x:c>
      <x:c r="Q1323" s="23" t="n">
        <x:v>4302</x:v>
      </x:c>
    </x:row>
    <x:row r="1324">
      <x:c r="A1324" s="30" t="n">
        <x:v>350500</x:v>
      </x:c>
      <x:c r="B1324" s="22" t="str">
        <x:v>泉州市</x:v>
      </x:c>
      <x:c r="C1324" s="31" t="n">
        <x:v>350524</x:v>
      </x:c>
      <x:c r="D1324" s="22" t="str">
        <x:v>安溪县</x:v>
      </x:c>
      <x:c r="E1324" s="22" t="str">
        <x:v>农用地</x:v>
      </x:c>
      <x:c r="F1324" s="22" t="str">
        <x:v>水域及水利设施</x:v>
      </x:c>
      <x:c r="G1324" s="32" t="str">
        <x:v>1107</x:v>
      </x:c>
      <x:c r="H1324" s="32" t="str">
        <x:v>1107</x:v>
      </x:c>
      <x:c r="I1324" s="22" t="str">
        <x:v>沟渠</x:v>
      </x:c>
      <x:c r="J1324" s="22" t="str">
        <x:v>农业生态</x:v>
      </x:c>
      <x:c r="K1324" s="32" t="str">
        <x:v>202</x:v>
      </x:c>
      <x:c r="L1324" s="22" t="str">
        <x:v>建制镇范围</x:v>
      </x:c>
      <x:c r="M1324" s="33" t="n">
        <x:v>3834.1400000000003</x:v>
      </x:c>
      <x:c r="N1324" s="33" t="n">
        <x:v>0.38341400000000003</x:v>
      </x:c>
      <x:c r="O1324" s="22" t="str">
        <x:v>公顷</x:v>
      </x:c>
      <x:c r="P1324" s="22" t="str">
        <x:v>未提供（单期横截面）</x:v>
      </x:c>
      <x:c r="Q1324" s="23" t="n">
        <x:v>4303</x:v>
      </x:c>
    </x:row>
    <x:row r="1325">
      <x:c r="A1325" s="30" t="n">
        <x:v>350500</x:v>
      </x:c>
      <x:c r="B1325" s="22" t="str">
        <x:v>泉州市</x:v>
      </x:c>
      <x:c r="C1325" s="31" t="n">
        <x:v>350524</x:v>
      </x:c>
      <x:c r="D1325" s="22" t="str">
        <x:v>安溪县</x:v>
      </x:c>
      <x:c r="E1325" s="22" t="str">
        <x:v>农用地</x:v>
      </x:c>
      <x:c r="F1325" s="22" t="str">
        <x:v>其他农用地</x:v>
      </x:c>
      <x:c r="G1325" s="32" t="str">
        <x:v>1202</x:v>
      </x:c>
      <x:c r="H1325" s="32" t="str">
        <x:v>1202</x:v>
      </x:c>
      <x:c r="I1325" s="22" t="str">
        <x:v>设施农用地</x:v>
      </x:c>
      <x:c r="J1325" s="22" t="str">
        <x:v>农业生态</x:v>
      </x:c>
      <x:c r="K1325" s="32" t="str">
        <x:v>202</x:v>
      </x:c>
      <x:c r="L1325" s="22" t="str">
        <x:v>建制镇范围</x:v>
      </x:c>
      <x:c r="M1325" s="33" t="n">
        <x:v>3762.47</x:v>
      </x:c>
      <x:c r="N1325" s="33" t="n">
        <x:v>0.376247</x:v>
      </x:c>
      <x:c r="O1325" s="22" t="str">
        <x:v>公顷</x:v>
      </x:c>
      <x:c r="P1325" s="22" t="str">
        <x:v>未提供（单期横截面）</x:v>
      </x:c>
      <x:c r="Q1325" s="23" t="n">
        <x:v>4304</x:v>
      </x:c>
    </x:row>
    <x:row r="1326">
      <x:c r="A1326" s="30" t="n">
        <x:v>350500</x:v>
      </x:c>
      <x:c r="B1326" s="22" t="str">
        <x:v>泉州市</x:v>
      </x:c>
      <x:c r="C1326" s="31" t="n">
        <x:v>350524</x:v>
      </x:c>
      <x:c r="D1326" s="22" t="str">
        <x:v>安溪县</x:v>
      </x:c>
      <x:c r="E1326" s="22" t="str">
        <x:v>农用地</x:v>
      </x:c>
      <x:c r="F1326" s="22" t="str">
        <x:v>耕地</x:v>
      </x:c>
      <x:c r="G1326" s="32" t="str">
        <x:v>101</x:v>
      </x:c>
      <x:c r="H1326" s="32" t="str">
        <x:v>101</x:v>
      </x:c>
      <x:c r="I1326" s="22" t="str">
        <x:v>水田</x:v>
      </x:c>
      <x:c r="J1326" s="22" t="str">
        <x:v>农业生态</x:v>
      </x:c>
      <x:c r="K1326" s="32" t="str">
        <x:v>203</x:v>
      </x:c>
      <x:c r="L1326" s="22" t="str">
        <x:v>村庄范围</x:v>
      </x:c>
      <x:c r="M1326" s="33" t="n">
        <x:v>1269620.6400000001</x:v>
      </x:c>
      <x:c r="N1326" s="33" t="n">
        <x:v>126.96206400000001</x:v>
      </x:c>
      <x:c r="O1326" s="22" t="str">
        <x:v>公顷</x:v>
      </x:c>
      <x:c r="P1326" s="22" t="str">
        <x:v>未提供（单期横截面）</x:v>
      </x:c>
      <x:c r="Q1326" s="23" t="n">
        <x:v>4305</x:v>
      </x:c>
    </x:row>
    <x:row r="1327">
      <x:c r="A1327" s="30" t="n">
        <x:v>350500</x:v>
      </x:c>
      <x:c r="B1327" s="22" t="str">
        <x:v>泉州市</x:v>
      </x:c>
      <x:c r="C1327" s="31" t="n">
        <x:v>350524</x:v>
      </x:c>
      <x:c r="D1327" s="22" t="str">
        <x:v>安溪县</x:v>
      </x:c>
      <x:c r="E1327" s="22" t="str">
        <x:v>农用地</x:v>
      </x:c>
      <x:c r="F1327" s="22" t="str">
        <x:v>耕地</x:v>
      </x:c>
      <x:c r="G1327" s="32" t="str">
        <x:v>102</x:v>
      </x:c>
      <x:c r="H1327" s="32" t="str">
        <x:v>102</x:v>
      </x:c>
      <x:c r="I1327" s="22" t="str">
        <x:v>水浇地</x:v>
      </x:c>
      <x:c r="J1327" s="22" t="str">
        <x:v>农业生态</x:v>
      </x:c>
      <x:c r="K1327" s="32" t="str">
        <x:v>203</x:v>
      </x:c>
      <x:c r="L1327" s="22" t="str">
        <x:v>村庄范围</x:v>
      </x:c>
      <x:c r="M1327" s="33" t="n">
        <x:v>4652.19</x:v>
      </x:c>
      <x:c r="N1327" s="33" t="n">
        <x:v>0.46521899999999994</x:v>
      </x:c>
      <x:c r="O1327" s="22" t="str">
        <x:v>公顷</x:v>
      </x:c>
      <x:c r="P1327" s="22" t="str">
        <x:v>未提供（单期横截面）</x:v>
      </x:c>
      <x:c r="Q1327" s="23" t="n">
        <x:v>4306</x:v>
      </x:c>
    </x:row>
    <x:row r="1328">
      <x:c r="A1328" s="30" t="n">
        <x:v>350500</x:v>
      </x:c>
      <x:c r="B1328" s="22" t="str">
        <x:v>泉州市</x:v>
      </x:c>
      <x:c r="C1328" s="31" t="n">
        <x:v>350524</x:v>
      </x:c>
      <x:c r="D1328" s="22" t="str">
        <x:v>安溪县</x:v>
      </x:c>
      <x:c r="E1328" s="22" t="str">
        <x:v>农用地</x:v>
      </x:c>
      <x:c r="F1328" s="22" t="str">
        <x:v>耕地</x:v>
      </x:c>
      <x:c r="G1328" s="32" t="str">
        <x:v>103</x:v>
      </x:c>
      <x:c r="H1328" s="32" t="str">
        <x:v>103</x:v>
      </x:c>
      <x:c r="I1328" s="22" t="str">
        <x:v>旱地</x:v>
      </x:c>
      <x:c r="J1328" s="22" t="str">
        <x:v>农业生态</x:v>
      </x:c>
      <x:c r="K1328" s="32" t="str">
        <x:v>203</x:v>
      </x:c>
      <x:c r="L1328" s="22" t="str">
        <x:v>村庄范围</x:v>
      </x:c>
      <x:c r="M1328" s="33" t="n">
        <x:v>573688.1599999996</x:v>
      </x:c>
      <x:c r="N1328" s="33" t="n">
        <x:v>57.36881599999996</x:v>
      </x:c>
      <x:c r="O1328" s="22" t="str">
        <x:v>公顷</x:v>
      </x:c>
      <x:c r="P1328" s="22" t="str">
        <x:v>未提供（单期横截面）</x:v>
      </x:c>
      <x:c r="Q1328" s="23" t="n">
        <x:v>4307</x:v>
      </x:c>
    </x:row>
    <x:row r="1329">
      <x:c r="A1329" s="30" t="n">
        <x:v>350500</x:v>
      </x:c>
      <x:c r="B1329" s="22" t="str">
        <x:v>泉州市</x:v>
      </x:c>
      <x:c r="C1329" s="31" t="n">
        <x:v>350524</x:v>
      </x:c>
      <x:c r="D1329" s="22" t="str">
        <x:v>安溪县</x:v>
      </x:c>
      <x:c r="E1329" s="22" t="str">
        <x:v>农用地</x:v>
      </x:c>
      <x:c r="F1329" s="22" t="str">
        <x:v>园地</x:v>
      </x:c>
      <x:c r="G1329" s="32" t="str">
        <x:v>201</x:v>
      </x:c>
      <x:c r="H1329" s="32" t="str">
        <x:v>201</x:v>
      </x:c>
      <x:c r="I1329" s="22" t="str">
        <x:v>果园</x:v>
      </x:c>
      <x:c r="J1329" s="22" t="str">
        <x:v>农业生态</x:v>
      </x:c>
      <x:c r="K1329" s="32" t="str">
        <x:v>203</x:v>
      </x:c>
      <x:c r="L1329" s="22" t="str">
        <x:v>村庄范围</x:v>
      </x:c>
      <x:c r="M1329" s="33" t="n">
        <x:v>134344.79000000004</x:v>
      </x:c>
      <x:c r="N1329" s="33" t="n">
        <x:v>13.434479000000003</x:v>
      </x:c>
      <x:c r="O1329" s="22" t="str">
        <x:v>公顷</x:v>
      </x:c>
      <x:c r="P1329" s="22" t="str">
        <x:v>未提供（单期横截面）</x:v>
      </x:c>
      <x:c r="Q1329" s="23" t="n">
        <x:v>4308</x:v>
      </x:c>
    </x:row>
    <x:row r="1330">
      <x:c r="A1330" s="30" t="n">
        <x:v>350500</x:v>
      </x:c>
      <x:c r="B1330" s="22" t="str">
        <x:v>泉州市</x:v>
      </x:c>
      <x:c r="C1330" s="31" t="n">
        <x:v>350524</x:v>
      </x:c>
      <x:c r="D1330" s="22" t="str">
        <x:v>安溪县</x:v>
      </x:c>
      <x:c r="E1330" s="22" t="str">
        <x:v>农用地</x:v>
      </x:c>
      <x:c r="F1330" s="22" t="str">
        <x:v>园地</x:v>
      </x:c>
      <x:c r="G1330" s="32" t="str">
        <x:v>202</x:v>
      </x:c>
      <x:c r="H1330" s="32" t="str">
        <x:v>202</x:v>
      </x:c>
      <x:c r="I1330" s="22" t="str">
        <x:v>茶园</x:v>
      </x:c>
      <x:c r="J1330" s="22" t="str">
        <x:v>农业生态</x:v>
      </x:c>
      <x:c r="K1330" s="32" t="str">
        <x:v>203</x:v>
      </x:c>
      <x:c r="L1330" s="22" t="str">
        <x:v>村庄范围</x:v>
      </x:c>
      <x:c r="M1330" s="33" t="n">
        <x:v>254280.09999999986</x:v>
      </x:c>
      <x:c r="N1330" s="33" t="n">
        <x:v>25.428009999999986</x:v>
      </x:c>
      <x:c r="O1330" s="22" t="str">
        <x:v>公顷</x:v>
      </x:c>
      <x:c r="P1330" s="22" t="str">
        <x:v>未提供（单期横截面）</x:v>
      </x:c>
      <x:c r="Q1330" s="23" t="n">
        <x:v>4309</x:v>
      </x:c>
    </x:row>
    <x:row r="1331">
      <x:c r="A1331" s="30" t="n">
        <x:v>350500</x:v>
      </x:c>
      <x:c r="B1331" s="22" t="str">
        <x:v>泉州市</x:v>
      </x:c>
      <x:c r="C1331" s="31" t="n">
        <x:v>350524</x:v>
      </x:c>
      <x:c r="D1331" s="22" t="str">
        <x:v>安溪县</x:v>
      </x:c>
      <x:c r="E1331" s="22" t="str">
        <x:v>农用地</x:v>
      </x:c>
      <x:c r="F1331" s="22" t="str">
        <x:v>园地</x:v>
      </x:c>
      <x:c r="G1331" s="32" t="str">
        <x:v>0202K</x:v>
      </x:c>
      <x:c r="H1331" s="32" t="str">
        <x:v>0202</x:v>
      </x:c>
      <x:c r="I1331" s="22" t="str">
        <x:v>可调整茶园</x:v>
      </x:c>
      <x:c r="J1331" s="22" t="str">
        <x:v>农业生态</x:v>
      </x:c>
      <x:c r="K1331" s="32" t="str">
        <x:v>203</x:v>
      </x:c>
      <x:c r="L1331" s="22" t="str">
        <x:v>村庄范围</x:v>
      </x:c>
      <x:c r="M1331" s="33" t="n">
        <x:v>697.91</x:v>
      </x:c>
      <x:c r="N1331" s="33" t="n">
        <x:v>0.06979099999999999</x:v>
      </x:c>
      <x:c r="O1331" s="22" t="str">
        <x:v>公顷</x:v>
      </x:c>
      <x:c r="P1331" s="22" t="str">
        <x:v>未提供（单期横截面）</x:v>
      </x:c>
      <x:c r="Q1331" s="23" t="n">
        <x:v>4310</x:v>
      </x:c>
    </x:row>
    <x:row r="1332">
      <x:c r="A1332" s="30" t="n">
        <x:v>350500</x:v>
      </x:c>
      <x:c r="B1332" s="22" t="str">
        <x:v>泉州市</x:v>
      </x:c>
      <x:c r="C1332" s="31" t="n">
        <x:v>350524</x:v>
      </x:c>
      <x:c r="D1332" s="22" t="str">
        <x:v>安溪县</x:v>
      </x:c>
      <x:c r="E1332" s="22" t="str">
        <x:v>农用地</x:v>
      </x:c>
      <x:c r="F1332" s="22" t="str">
        <x:v>园地</x:v>
      </x:c>
      <x:c r="G1332" s="32" t="str">
        <x:v>204</x:v>
      </x:c>
      <x:c r="H1332" s="32" t="str">
        <x:v>204</x:v>
      </x:c>
      <x:c r="I1332" s="22" t="str">
        <x:v>其他园地</x:v>
      </x:c>
      <x:c r="J1332" s="22" t="str">
        <x:v>农业生态</x:v>
      </x:c>
      <x:c r="K1332" s="32" t="str">
        <x:v>203</x:v>
      </x:c>
      <x:c r="L1332" s="22" t="str">
        <x:v>村庄范围</x:v>
      </x:c>
      <x:c r="M1332" s="33" t="n">
        <x:v>7738.76</x:v>
      </x:c>
      <x:c r="N1332" s="33" t="n">
        <x:v>0.773876</x:v>
      </x:c>
      <x:c r="O1332" s="22" t="str">
        <x:v>公顷</x:v>
      </x:c>
      <x:c r="P1332" s="22" t="str">
        <x:v>未提供（单期横截面）</x:v>
      </x:c>
      <x:c r="Q1332" s="23" t="n">
        <x:v>4311</x:v>
      </x:c>
    </x:row>
    <x:row r="1333">
      <x:c r="A1333" s="30" t="n">
        <x:v>350500</x:v>
      </x:c>
      <x:c r="B1333" s="22" t="str">
        <x:v>泉州市</x:v>
      </x:c>
      <x:c r="C1333" s="31" t="n">
        <x:v>350524</x:v>
      </x:c>
      <x:c r="D1333" s="22" t="str">
        <x:v>安溪县</x:v>
      </x:c>
      <x:c r="E1333" s="22" t="str">
        <x:v>农用地</x:v>
      </x:c>
      <x:c r="F1333" s="22" t="str">
        <x:v>林地</x:v>
      </x:c>
      <x:c r="G1333" s="32" t="str">
        <x:v>301</x:v>
      </x:c>
      <x:c r="H1333" s="32" t="str">
        <x:v>301</x:v>
      </x:c>
      <x:c r="I1333" s="22" t="str">
        <x:v>乔木林地</x:v>
      </x:c>
      <x:c r="J1333" s="22" t="str">
        <x:v>农业生态</x:v>
      </x:c>
      <x:c r="K1333" s="32" t="str">
        <x:v>203</x:v>
      </x:c>
      <x:c r="L1333" s="22" t="str">
        <x:v>村庄范围</x:v>
      </x:c>
      <x:c r="M1333" s="33" t="n">
        <x:v>163074.34000000003</x:v>
      </x:c>
      <x:c r="N1333" s="33" t="n">
        <x:v>16.307434000000004</x:v>
      </x:c>
      <x:c r="O1333" s="22" t="str">
        <x:v>公顷</x:v>
      </x:c>
      <x:c r="P1333" s="22" t="str">
        <x:v>未提供（单期横截面）</x:v>
      </x:c>
      <x:c r="Q1333" s="23" t="n">
        <x:v>4312</x:v>
      </x:c>
    </x:row>
    <x:row r="1334">
      <x:c r="A1334" s="30" t="n">
        <x:v>350500</x:v>
      </x:c>
      <x:c r="B1334" s="22" t="str">
        <x:v>泉州市</x:v>
      </x:c>
      <x:c r="C1334" s="31" t="n">
        <x:v>350524</x:v>
      </x:c>
      <x:c r="D1334" s="22" t="str">
        <x:v>安溪县</x:v>
      </x:c>
      <x:c r="E1334" s="22" t="str">
        <x:v>农用地</x:v>
      </x:c>
      <x:c r="F1334" s="22" t="str">
        <x:v>林地</x:v>
      </x:c>
      <x:c r="G1334" s="32" t="str">
        <x:v>302</x:v>
      </x:c>
      <x:c r="H1334" s="32" t="str">
        <x:v>302</x:v>
      </x:c>
      <x:c r="I1334" s="22" t="str">
        <x:v>竹林地</x:v>
      </x:c>
      <x:c r="J1334" s="22" t="str">
        <x:v>农业生态</x:v>
      </x:c>
      <x:c r="K1334" s="32" t="str">
        <x:v>203</x:v>
      </x:c>
      <x:c r="L1334" s="22" t="str">
        <x:v>村庄范围</x:v>
      </x:c>
      <x:c r="M1334" s="33" t="n">
        <x:v>55534.36999999999</x:v>
      </x:c>
      <x:c r="N1334" s="33" t="n">
        <x:v>5.553436999999999</x:v>
      </x:c>
      <x:c r="O1334" s="22" t="str">
        <x:v>公顷</x:v>
      </x:c>
      <x:c r="P1334" s="22" t="str">
        <x:v>未提供（单期横截面）</x:v>
      </x:c>
      <x:c r="Q1334" s="23" t="n">
        <x:v>4313</x:v>
      </x:c>
    </x:row>
    <x:row r="1335">
      <x:c r="A1335" s="30" t="n">
        <x:v>350500</x:v>
      </x:c>
      <x:c r="B1335" s="22" t="str">
        <x:v>泉州市</x:v>
      </x:c>
      <x:c r="C1335" s="31" t="n">
        <x:v>350524</x:v>
      </x:c>
      <x:c r="D1335" s="22" t="str">
        <x:v>安溪县</x:v>
      </x:c>
      <x:c r="E1335" s="22" t="str">
        <x:v>农用地</x:v>
      </x:c>
      <x:c r="F1335" s="22" t="str">
        <x:v>林地</x:v>
      </x:c>
      <x:c r="G1335" s="32" t="str">
        <x:v>305</x:v>
      </x:c>
      <x:c r="H1335" s="32" t="str">
        <x:v>305</x:v>
      </x:c>
      <x:c r="I1335" s="22" t="str">
        <x:v>灌木林地</x:v>
      </x:c>
      <x:c r="J1335" s="22" t="str">
        <x:v>农业生态</x:v>
      </x:c>
      <x:c r="K1335" s="32" t="str">
        <x:v>203</x:v>
      </x:c>
      <x:c r="L1335" s="22" t="str">
        <x:v>村庄范围</x:v>
      </x:c>
      <x:c r="M1335" s="33" t="n">
        <x:v>19259.070000000003</x:v>
      </x:c>
      <x:c r="N1335" s="33" t="n">
        <x:v>1.9259070000000003</x:v>
      </x:c>
      <x:c r="O1335" s="22" t="str">
        <x:v>公顷</x:v>
      </x:c>
      <x:c r="P1335" s="22" t="str">
        <x:v>未提供（单期横截面）</x:v>
      </x:c>
      <x:c r="Q1335" s="23" t="n">
        <x:v>4314</x:v>
      </x:c>
    </x:row>
    <x:row r="1336">
      <x:c r="A1336" s="30" t="n">
        <x:v>350500</x:v>
      </x:c>
      <x:c r="B1336" s="22" t="str">
        <x:v>泉州市</x:v>
      </x:c>
      <x:c r="C1336" s="31" t="n">
        <x:v>350524</x:v>
      </x:c>
      <x:c r="D1336" s="22" t="str">
        <x:v>安溪县</x:v>
      </x:c>
      <x:c r="E1336" s="22" t="str">
        <x:v>农用地</x:v>
      </x:c>
      <x:c r="F1336" s="22" t="str">
        <x:v>林地</x:v>
      </x:c>
      <x:c r="G1336" s="32" t="str">
        <x:v>307</x:v>
      </x:c>
      <x:c r="H1336" s="32" t="str">
        <x:v>307</x:v>
      </x:c>
      <x:c r="I1336" s="22" t="str">
        <x:v>其他林地</x:v>
      </x:c>
      <x:c r="J1336" s="22" t="str">
        <x:v>农业生态</x:v>
      </x:c>
      <x:c r="K1336" s="32" t="str">
        <x:v>203</x:v>
      </x:c>
      <x:c r="L1336" s="22" t="str">
        <x:v>村庄范围</x:v>
      </x:c>
      <x:c r="M1336" s="33" t="n">
        <x:v>119063.42000000003</x:v>
      </x:c>
      <x:c r="N1336" s="33" t="n">
        <x:v>11.906342000000002</x:v>
      </x:c>
      <x:c r="O1336" s="22" t="str">
        <x:v>公顷</x:v>
      </x:c>
      <x:c r="P1336" s="22" t="str">
        <x:v>未提供（单期横截面）</x:v>
      </x:c>
      <x:c r="Q1336" s="23" t="n">
        <x:v>4315</x:v>
      </x:c>
    </x:row>
    <x:row r="1337">
      <x:c r="A1337" s="30" t="n">
        <x:v>350500</x:v>
      </x:c>
      <x:c r="B1337" s="22" t="str">
        <x:v>泉州市</x:v>
      </x:c>
      <x:c r="C1337" s="31" t="n">
        <x:v>350524</x:v>
      </x:c>
      <x:c r="D1337" s="22" t="str">
        <x:v>安溪县</x:v>
      </x:c>
      <x:c r="E1337" s="22" t="str">
        <x:v>农用地</x:v>
      </x:c>
      <x:c r="F1337" s="22" t="str">
        <x:v>其他农用地</x:v>
      </x:c>
      <x:c r="G1337" s="32" t="str">
        <x:v>1006</x:v>
      </x:c>
      <x:c r="H1337" s="32" t="str">
        <x:v>1006</x:v>
      </x:c>
      <x:c r="I1337" s="22" t="str">
        <x:v>农村道路</x:v>
      </x:c>
      <x:c r="J1337" s="22" t="str">
        <x:v>农业生态</x:v>
      </x:c>
      <x:c r="K1337" s="32" t="str">
        <x:v>203</x:v>
      </x:c>
      <x:c r="L1337" s="22" t="str">
        <x:v>村庄范围</x:v>
      </x:c>
      <x:c r="M1337" s="33" t="n">
        <x:v>45.63</x:v>
      </x:c>
      <x:c r="N1337" s="33" t="n">
        <x:v>0.004563</x:v>
      </x:c>
      <x:c r="O1337" s="22" t="str">
        <x:v>公顷</x:v>
      </x:c>
      <x:c r="P1337" s="22" t="str">
        <x:v>未提供（单期横截面）</x:v>
      </x:c>
      <x:c r="Q1337" s="23" t="n">
        <x:v>4316</x:v>
      </x:c>
    </x:row>
    <x:row r="1338">
      <x:c r="A1338" s="30" t="n">
        <x:v>350500</x:v>
      </x:c>
      <x:c r="B1338" s="22" t="str">
        <x:v>泉州市</x:v>
      </x:c>
      <x:c r="C1338" s="31" t="n">
        <x:v>350524</x:v>
      </x:c>
      <x:c r="D1338" s="22" t="str">
        <x:v>安溪县</x:v>
      </x:c>
      <x:c r="E1338" s="22" t="str">
        <x:v>农用地</x:v>
      </x:c>
      <x:c r="F1338" s="22" t="str">
        <x:v>水域及水利设施</x:v>
      </x:c>
      <x:c r="G1338" s="32" t="str">
        <x:v>1104</x:v>
      </x:c>
      <x:c r="H1338" s="32" t="str">
        <x:v>1104</x:v>
      </x:c>
      <x:c r="I1338" s="22" t="str">
        <x:v>坑塘水面</x:v>
      </x:c>
      <x:c r="J1338" s="22" t="str">
        <x:v>农业生态</x:v>
      </x:c>
      <x:c r="K1338" s="32" t="str">
        <x:v>203</x:v>
      </x:c>
      <x:c r="L1338" s="22" t="str">
        <x:v>村庄范围</x:v>
      </x:c>
      <x:c r="M1338" s="33" t="n">
        <x:v>21035.11</x:v>
      </x:c>
      <x:c r="N1338" s="33" t="n">
        <x:v>2.103511</x:v>
      </x:c>
      <x:c r="O1338" s="22" t="str">
        <x:v>公顷</x:v>
      </x:c>
      <x:c r="P1338" s="22" t="str">
        <x:v>未提供（单期横截面）</x:v>
      </x:c>
      <x:c r="Q1338" s="23" t="n">
        <x:v>4317</x:v>
      </x:c>
    </x:row>
    <x:row r="1339">
      <x:c r="A1339" s="30" t="n">
        <x:v>350500</x:v>
      </x:c>
      <x:c r="B1339" s="22" t="str">
        <x:v>泉州市</x:v>
      </x:c>
      <x:c r="C1339" s="31" t="n">
        <x:v>350524</x:v>
      </x:c>
      <x:c r="D1339" s="22" t="str">
        <x:v>安溪县</x:v>
      </x:c>
      <x:c r="E1339" s="22" t="str">
        <x:v>农用地</x:v>
      </x:c>
      <x:c r="F1339" s="22" t="str">
        <x:v>水域及水利设施</x:v>
      </x:c>
      <x:c r="G1339" s="32" t="str">
        <x:v>1104A</x:v>
      </x:c>
      <x:c r="H1339" s="32" t="str">
        <x:v>1104</x:v>
      </x:c>
      <x:c r="I1339" s="22" t="str">
        <x:v>养殖坑塘</x:v>
      </x:c>
      <x:c r="J1339" s="22" t="str">
        <x:v>农业生态</x:v>
      </x:c>
      <x:c r="K1339" s="32" t="str">
        <x:v>203</x:v>
      </x:c>
      <x:c r="L1339" s="22" t="str">
        <x:v>村庄范围</x:v>
      </x:c>
      <x:c r="M1339" s="33" t="n">
        <x:v>2412.07</x:v>
      </x:c>
      <x:c r="N1339" s="33" t="n">
        <x:v>0.241207</x:v>
      </x:c>
      <x:c r="O1339" s="22" t="str">
        <x:v>公顷</x:v>
      </x:c>
      <x:c r="P1339" s="22" t="str">
        <x:v>未提供（单期横截面）</x:v>
      </x:c>
      <x:c r="Q1339" s="23" t="n">
        <x:v>4318</x:v>
      </x:c>
    </x:row>
    <x:row r="1340">
      <x:c r="A1340" s="30" t="n">
        <x:v>350500</x:v>
      </x:c>
      <x:c r="B1340" s="22" t="str">
        <x:v>泉州市</x:v>
      </x:c>
      <x:c r="C1340" s="31" t="n">
        <x:v>350524</x:v>
      </x:c>
      <x:c r="D1340" s="22" t="str">
        <x:v>安溪县</x:v>
      </x:c>
      <x:c r="E1340" s="22" t="str">
        <x:v>农用地</x:v>
      </x:c>
      <x:c r="F1340" s="22" t="str">
        <x:v>水域及水利设施</x:v>
      </x:c>
      <x:c r="G1340" s="32" t="str">
        <x:v>1107</x:v>
      </x:c>
      <x:c r="H1340" s="32" t="str">
        <x:v>1107</x:v>
      </x:c>
      <x:c r="I1340" s="22" t="str">
        <x:v>沟渠</x:v>
      </x:c>
      <x:c r="J1340" s="22" t="str">
        <x:v>农业生态</x:v>
      </x:c>
      <x:c r="K1340" s="32" t="str">
        <x:v>203</x:v>
      </x:c>
      <x:c r="L1340" s="22" t="str">
        <x:v>村庄范围</x:v>
      </x:c>
      <x:c r="M1340" s="33" t="n">
        <x:v>6846.83</x:v>
      </x:c>
      <x:c r="N1340" s="33" t="n">
        <x:v>0.684683</x:v>
      </x:c>
      <x:c r="O1340" s="22" t="str">
        <x:v>公顷</x:v>
      </x:c>
      <x:c r="P1340" s="22" t="str">
        <x:v>未提供（单期横截面）</x:v>
      </x:c>
      <x:c r="Q1340" s="23" t="n">
        <x:v>4319</x:v>
      </x:c>
    </x:row>
    <x:row r="1341">
      <x:c r="A1341" s="30" t="n">
        <x:v>350500</x:v>
      </x:c>
      <x:c r="B1341" s="22" t="str">
        <x:v>泉州市</x:v>
      </x:c>
      <x:c r="C1341" s="31" t="n">
        <x:v>350524</x:v>
      </x:c>
      <x:c r="D1341" s="22" t="str">
        <x:v>安溪县</x:v>
      </x:c>
      <x:c r="E1341" s="22" t="str">
        <x:v>农用地</x:v>
      </x:c>
      <x:c r="F1341" s="22" t="str">
        <x:v>其他农用地</x:v>
      </x:c>
      <x:c r="G1341" s="32" t="str">
        <x:v>1202</x:v>
      </x:c>
      <x:c r="H1341" s="32" t="str">
        <x:v>1202</x:v>
      </x:c>
      <x:c r="I1341" s="22" t="str">
        <x:v>设施农用地</x:v>
      </x:c>
      <x:c r="J1341" s="22" t="str">
        <x:v>农业生态</x:v>
      </x:c>
      <x:c r="K1341" s="32" t="str">
        <x:v>203</x:v>
      </x:c>
      <x:c r="L1341" s="22" t="str">
        <x:v>村庄范围</x:v>
      </x:c>
      <x:c r="M1341" s="33" t="n">
        <x:v>29495.410000000007</x:v>
      </x:c>
      <x:c r="N1341" s="33" t="n">
        <x:v>2.949541000000001</x:v>
      </x:c>
      <x:c r="O1341" s="22" t="str">
        <x:v>公顷</x:v>
      </x:c>
      <x:c r="P1341" s="22" t="str">
        <x:v>未提供（单期横截面）</x:v>
      </x:c>
      <x:c r="Q1341" s="23" t="n">
        <x:v>4320</x:v>
      </x:c>
    </x:row>
    <x:row r="1342">
      <x:c r="A1342" s="30" t="n">
        <x:v>350500</x:v>
      </x:c>
      <x:c r="B1342" s="22" t="str">
        <x:v>泉州市</x:v>
      </x:c>
      <x:c r="C1342" s="31" t="n">
        <x:v>350524</x:v>
      </x:c>
      <x:c r="D1342" s="22" t="str">
        <x:v>安溪县</x:v>
      </x:c>
      <x:c r="E1342" s="22" t="str">
        <x:v>农用地</x:v>
      </x:c>
      <x:c r="F1342" s="22" t="str">
        <x:v>耕地</x:v>
      </x:c>
      <x:c r="G1342" s="32" t="str">
        <x:v>101</x:v>
      </x:c>
      <x:c r="H1342" s="32" t="str">
        <x:v>101</x:v>
      </x:c>
      <x:c r="I1342" s="22" t="str">
        <x:v>水田</x:v>
      </x:c>
      <x:c r="J1342" s="22" t="str">
        <x:v>农业生态</x:v>
      </x:c>
      <x:c r="K1342" s="32" t="str">
        <x:v>205</x:v>
      </x:c>
      <x:c r="L1342" s="22" t="str">
        <x:v>特殊用地</x:v>
      </x:c>
      <x:c r="M1342" s="33" t="n">
        <x:v>50.83</x:v>
      </x:c>
      <x:c r="N1342" s="33" t="n">
        <x:v>0.005083</x:v>
      </x:c>
      <x:c r="O1342" s="22" t="str">
        <x:v>公顷</x:v>
      </x:c>
      <x:c r="P1342" s="22" t="str">
        <x:v>未提供（单期横截面）</x:v>
      </x:c>
      <x:c r="Q1342" s="23" t="n">
        <x:v>4321</x:v>
      </x:c>
    </x:row>
    <x:row r="1343">
      <x:c r="A1343" s="30" t="n">
        <x:v>350500</x:v>
      </x:c>
      <x:c r="B1343" s="22" t="str">
        <x:v>泉州市</x:v>
      </x:c>
      <x:c r="C1343" s="31" t="n">
        <x:v>350524</x:v>
      </x:c>
      <x:c r="D1343" s="22" t="str">
        <x:v>安溪县</x:v>
      </x:c>
      <x:c r="E1343" s="22" t="str">
        <x:v>农用地</x:v>
      </x:c>
      <x:c r="F1343" s="22" t="str">
        <x:v>耕地</x:v>
      </x:c>
      <x:c r="G1343" s="32" t="str">
        <x:v>103</x:v>
      </x:c>
      <x:c r="H1343" s="32" t="str">
        <x:v>103</x:v>
      </x:c>
      <x:c r="I1343" s="22" t="str">
        <x:v>旱地</x:v>
      </x:c>
      <x:c r="J1343" s="22" t="str">
        <x:v>农业生态</x:v>
      </x:c>
      <x:c r="K1343" s="32" t="str">
        <x:v>205</x:v>
      </x:c>
      <x:c r="L1343" s="22" t="str">
        <x:v>特殊用地</x:v>
      </x:c>
      <x:c r="M1343" s="33" t="n">
        <x:v>74.15</x:v>
      </x:c>
      <x:c r="N1343" s="33" t="n">
        <x:v>0.007415000000000001</x:v>
      </x:c>
      <x:c r="O1343" s="22" t="str">
        <x:v>公顷</x:v>
      </x:c>
      <x:c r="P1343" s="22" t="str">
        <x:v>未提供（单期横截面）</x:v>
      </x:c>
      <x:c r="Q1343" s="23" t="n">
        <x:v>4322</x:v>
      </x:c>
    </x:row>
    <x:row r="1344">
      <x:c r="A1344" s="30" t="n">
        <x:v>350500</x:v>
      </x:c>
      <x:c r="B1344" s="22" t="str">
        <x:v>泉州市</x:v>
      </x:c>
      <x:c r="C1344" s="31" t="n">
        <x:v>350524</x:v>
      </x:c>
      <x:c r="D1344" s="22" t="str">
        <x:v>安溪县</x:v>
      </x:c>
      <x:c r="E1344" s="22" t="str">
        <x:v>农用地</x:v>
      </x:c>
      <x:c r="F1344" s="22" t="str">
        <x:v>园地</x:v>
      </x:c>
      <x:c r="G1344" s="32" t="str">
        <x:v>202</x:v>
      </x:c>
      <x:c r="H1344" s="32" t="str">
        <x:v>202</x:v>
      </x:c>
      <x:c r="I1344" s="22" t="str">
        <x:v>茶园</x:v>
      </x:c>
      <x:c r="J1344" s="22" t="str">
        <x:v>农业生态</x:v>
      </x:c>
      <x:c r="K1344" s="32" t="str">
        <x:v>205</x:v>
      </x:c>
      <x:c r="L1344" s="22" t="str">
        <x:v>特殊用地</x:v>
      </x:c>
      <x:c r="M1344" s="33" t="n">
        <x:v>448.01</x:v>
      </x:c>
      <x:c r="N1344" s="33" t="n">
        <x:v>0.044801</x:v>
      </x:c>
      <x:c r="O1344" s="22" t="str">
        <x:v>公顷</x:v>
      </x:c>
      <x:c r="P1344" s="22" t="str">
        <x:v>未提供（单期横截面）</x:v>
      </x:c>
      <x:c r="Q1344" s="23" t="n">
        <x:v>4323</x:v>
      </x:c>
    </x:row>
    <x:row r="1345">
      <x:c r="A1345" s="30" t="n">
        <x:v>350500</x:v>
      </x:c>
      <x:c r="B1345" s="22" t="str">
        <x:v>泉州市</x:v>
      </x:c>
      <x:c r="C1345" s="31" t="n">
        <x:v>350524</x:v>
      </x:c>
      <x:c r="D1345" s="22" t="str">
        <x:v>安溪县</x:v>
      </x:c>
      <x:c r="E1345" s="22" t="str">
        <x:v>未利用地</x:v>
      </x:c>
      <x:c r="F1345" s="22" t="str">
        <x:v>草地</x:v>
      </x:c>
      <x:c r="G1345" s="32" t="str">
        <x:v>404</x:v>
      </x:c>
      <x:c r="H1345" s="32" t="str">
        <x:v>404</x:v>
      </x:c>
      <x:c r="I1345" s="22" t="str">
        <x:v>其他草地</x:v>
      </x:c>
      <x:c r="J1345" s="22" t="str">
        <x:v>农业生态</x:v>
      </x:c>
      <x:c r="K1345" s="32" t="str"/>
      <x:c r="L1345" s="22" t="str">
        <x:v>不适用/未标注</x:v>
      </x:c>
      <x:c r="M1345" s="33" t="n">
        <x:v>14198725.529999973</x:v>
      </x:c>
      <x:c r="N1345" s="33" t="n">
        <x:v>1419.8725529999974</x:v>
      </x:c>
      <x:c r="O1345" s="22" t="str">
        <x:v>公顷</x:v>
      </x:c>
      <x:c r="P1345" s="22" t="str">
        <x:v>未提供（单期横截面）</x:v>
      </x:c>
      <x:c r="Q1345" s="23" t="n">
        <x:v>4324</x:v>
      </x:c>
    </x:row>
    <x:row r="1346">
      <x:c r="A1346" s="30" t="n">
        <x:v>350500</x:v>
      </x:c>
      <x:c r="B1346" s="22" t="str">
        <x:v>泉州市</x:v>
      </x:c>
      <x:c r="C1346" s="31" t="n">
        <x:v>350524</x:v>
      </x:c>
      <x:c r="D1346" s="22" t="str">
        <x:v>安溪县</x:v>
      </x:c>
      <x:c r="E1346" s="22" t="str">
        <x:v>未利用地</x:v>
      </x:c>
      <x:c r="F1346" s="22" t="str">
        <x:v>水域及水利设施</x:v>
      </x:c>
      <x:c r="G1346" s="32" t="str">
        <x:v>1101</x:v>
      </x:c>
      <x:c r="H1346" s="32" t="str">
        <x:v>1101</x:v>
      </x:c>
      <x:c r="I1346" s="22" t="str">
        <x:v>河流水面</x:v>
      </x:c>
      <x:c r="J1346" s="22" t="str">
        <x:v>农业生态</x:v>
      </x:c>
      <x:c r="K1346" s="32" t="str"/>
      <x:c r="L1346" s="22" t="str">
        <x:v>不适用/未标注</x:v>
      </x:c>
      <x:c r="M1346" s="33" t="n">
        <x:v>32386770.13000006</x:v>
      </x:c>
      <x:c r="N1346" s="33" t="n">
        <x:v>3238.677013000006</x:v>
      </x:c>
      <x:c r="O1346" s="22" t="str">
        <x:v>公顷</x:v>
      </x:c>
      <x:c r="P1346" s="22" t="str">
        <x:v>未提供（单期横截面）</x:v>
      </x:c>
      <x:c r="Q1346" s="23" t="n">
        <x:v>4325</x:v>
      </x:c>
    </x:row>
    <x:row r="1347">
      <x:c r="A1347" s="30" t="n">
        <x:v>350500</x:v>
      </x:c>
      <x:c r="B1347" s="22" t="str">
        <x:v>泉州市</x:v>
      </x:c>
      <x:c r="C1347" s="31" t="n">
        <x:v>350524</x:v>
      </x:c>
      <x:c r="D1347" s="22" t="str">
        <x:v>安溪县</x:v>
      </x:c>
      <x:c r="E1347" s="22" t="str">
        <x:v>未利用地</x:v>
      </x:c>
      <x:c r="F1347" s="22" t="str">
        <x:v>水域及水利设施</x:v>
      </x:c>
      <x:c r="G1347" s="32" t="str">
        <x:v>1106</x:v>
      </x:c>
      <x:c r="H1347" s="32" t="str">
        <x:v>1106</x:v>
      </x:c>
      <x:c r="I1347" s="22" t="str">
        <x:v>内陆滩涂</x:v>
      </x:c>
      <x:c r="J1347" s="22" t="str">
        <x:v>农业生态</x:v>
      </x:c>
      <x:c r="K1347" s="32" t="str"/>
      <x:c r="L1347" s="22" t="str">
        <x:v>不适用/未标注</x:v>
      </x:c>
      <x:c r="M1347" s="33" t="n">
        <x:v>1105872.1100000008</x:v>
      </x:c>
      <x:c r="N1347" s="33" t="n">
        <x:v>110.58721100000008</x:v>
      </x:c>
      <x:c r="O1347" s="22" t="str">
        <x:v>公顷</x:v>
      </x:c>
      <x:c r="P1347" s="22" t="str">
        <x:v>未提供（单期横截面）</x:v>
      </x:c>
      <x:c r="Q1347" s="23" t="n">
        <x:v>4326</x:v>
      </x:c>
    </x:row>
    <x:row r="1348">
      <x:c r="A1348" s="30" t="n">
        <x:v>350500</x:v>
      </x:c>
      <x:c r="B1348" s="22" t="str">
        <x:v>泉州市</x:v>
      </x:c>
      <x:c r="C1348" s="31" t="n">
        <x:v>350524</x:v>
      </x:c>
      <x:c r="D1348" s="22" t="str">
        <x:v>安溪县</x:v>
      </x:c>
      <x:c r="E1348" s="22" t="str">
        <x:v>未利用地</x:v>
      </x:c>
      <x:c r="F1348" s="22" t="str">
        <x:v>未利用地</x:v>
      </x:c>
      <x:c r="G1348" s="32" t="str">
        <x:v>1206</x:v>
      </x:c>
      <x:c r="H1348" s="32" t="str">
        <x:v>1206</x:v>
      </x:c>
      <x:c r="I1348" s="22" t="str">
        <x:v>裸土地</x:v>
      </x:c>
      <x:c r="J1348" s="22" t="str">
        <x:v>未利用地</x:v>
      </x:c>
      <x:c r="K1348" s="32" t="str"/>
      <x:c r="L1348" s="22" t="str">
        <x:v>不适用/未标注</x:v>
      </x:c>
      <x:c r="M1348" s="33" t="n">
        <x:v>35307.86</x:v>
      </x:c>
      <x:c r="N1348" s="33" t="n">
        <x:v>3.530786</x:v>
      </x:c>
      <x:c r="O1348" s="22" t="str">
        <x:v>公顷</x:v>
      </x:c>
      <x:c r="P1348" s="22" t="str">
        <x:v>未提供（单期横截面）</x:v>
      </x:c>
      <x:c r="Q1348" s="23" t="n">
        <x:v>4327</x:v>
      </x:c>
    </x:row>
    <x:row r="1349">
      <x:c r="A1349" s="30" t="n">
        <x:v>350500</x:v>
      </x:c>
      <x:c r="B1349" s="22" t="str">
        <x:v>泉州市</x:v>
      </x:c>
      <x:c r="C1349" s="31" t="n">
        <x:v>350524</x:v>
      </x:c>
      <x:c r="D1349" s="22" t="str">
        <x:v>安溪县</x:v>
      </x:c>
      <x:c r="E1349" s="22" t="str">
        <x:v>未利用地</x:v>
      </x:c>
      <x:c r="F1349" s="22" t="str">
        <x:v>未利用地</x:v>
      </x:c>
      <x:c r="G1349" s="32" t="str">
        <x:v>1207</x:v>
      </x:c>
      <x:c r="H1349" s="32" t="str">
        <x:v>1207</x:v>
      </x:c>
      <x:c r="I1349" s="22" t="str">
        <x:v>裸岩石砾地</x:v>
      </x:c>
      <x:c r="J1349" s="22" t="str">
        <x:v>未利用地</x:v>
      </x:c>
      <x:c r="K1349" s="32" t="str"/>
      <x:c r="L1349" s="22" t="str">
        <x:v>不适用/未标注</x:v>
      </x:c>
      <x:c r="M1349" s="33" t="n">
        <x:v>966615.7099999998</x:v>
      </x:c>
      <x:c r="N1349" s="33" t="n">
        <x:v>96.66157099999998</x:v>
      </x:c>
      <x:c r="O1349" s="22" t="str">
        <x:v>公顷</x:v>
      </x:c>
      <x:c r="P1349" s="22" t="str">
        <x:v>未提供（单期横截面）</x:v>
      </x:c>
      <x:c r="Q1349" s="23" t="n">
        <x:v>4328</x:v>
      </x:c>
    </x:row>
    <x:row r="1350">
      <x:c r="A1350" s="30" t="n">
        <x:v>350500</x:v>
      </x:c>
      <x:c r="B1350" s="22" t="str">
        <x:v>泉州市</x:v>
      </x:c>
      <x:c r="C1350" s="31" t="n">
        <x:v>350524</x:v>
      </x:c>
      <x:c r="D1350" s="22" t="str">
        <x:v>安溪县</x:v>
      </x:c>
      <x:c r="E1350" s="22" t="str">
        <x:v>未利用地</x:v>
      </x:c>
      <x:c r="F1350" s="22" t="str">
        <x:v>草地</x:v>
      </x:c>
      <x:c r="G1350" s="32" t="str">
        <x:v>404</x:v>
      </x:c>
      <x:c r="H1350" s="32" t="str">
        <x:v>404</x:v>
      </x:c>
      <x:c r="I1350" s="22" t="str">
        <x:v>其他草地</x:v>
      </x:c>
      <x:c r="J1350" s="22" t="str">
        <x:v>农业生态</x:v>
      </x:c>
      <x:c r="K1350" s="32" t="str">
        <x:v>202</x:v>
      </x:c>
      <x:c r="L1350" s="22" t="str">
        <x:v>建制镇范围</x:v>
      </x:c>
      <x:c r="M1350" s="33" t="n">
        <x:v>36463.090000000004</x:v>
      </x:c>
      <x:c r="N1350" s="33" t="n">
        <x:v>3.6463090000000005</x:v>
      </x:c>
      <x:c r="O1350" s="22" t="str">
        <x:v>公顷</x:v>
      </x:c>
      <x:c r="P1350" s="22" t="str">
        <x:v>未提供（单期横截面）</x:v>
      </x:c>
      <x:c r="Q1350" s="23" t="n">
        <x:v>4329</x:v>
      </x:c>
    </x:row>
    <x:row r="1351">
      <x:c r="A1351" s="30" t="n">
        <x:v>350500</x:v>
      </x:c>
      <x:c r="B1351" s="22" t="str">
        <x:v>泉州市</x:v>
      </x:c>
      <x:c r="C1351" s="31" t="n">
        <x:v>350524</x:v>
      </x:c>
      <x:c r="D1351" s="22" t="str">
        <x:v>安溪县</x:v>
      </x:c>
      <x:c r="E1351" s="22" t="str">
        <x:v>未利用地</x:v>
      </x:c>
      <x:c r="F1351" s="22" t="str">
        <x:v>水域及水利设施</x:v>
      </x:c>
      <x:c r="G1351" s="32" t="str">
        <x:v>1101</x:v>
      </x:c>
      <x:c r="H1351" s="32" t="str">
        <x:v>1101</x:v>
      </x:c>
      <x:c r="I1351" s="22" t="str">
        <x:v>河流水面</x:v>
      </x:c>
      <x:c r="J1351" s="22" t="str">
        <x:v>农业生态</x:v>
      </x:c>
      <x:c r="K1351" s="32" t="str">
        <x:v>202</x:v>
      </x:c>
      <x:c r="L1351" s="22" t="str">
        <x:v>建制镇范围</x:v>
      </x:c>
      <x:c r="M1351" s="33" t="n">
        <x:v>6552.47</x:v>
      </x:c>
      <x:c r="N1351" s="33" t="n">
        <x:v>0.655247</x:v>
      </x:c>
      <x:c r="O1351" s="22" t="str">
        <x:v>公顷</x:v>
      </x:c>
      <x:c r="P1351" s="22" t="str">
        <x:v>未提供（单期横截面）</x:v>
      </x:c>
      <x:c r="Q1351" s="23" t="n">
        <x:v>4330</x:v>
      </x:c>
    </x:row>
    <x:row r="1352">
      <x:c r="A1352" s="30" t="n">
        <x:v>350500</x:v>
      </x:c>
      <x:c r="B1352" s="22" t="str">
        <x:v>泉州市</x:v>
      </x:c>
      <x:c r="C1352" s="31" t="n">
        <x:v>350524</x:v>
      </x:c>
      <x:c r="D1352" s="22" t="str">
        <x:v>安溪县</x:v>
      </x:c>
      <x:c r="E1352" s="22" t="str">
        <x:v>未利用地</x:v>
      </x:c>
      <x:c r="F1352" s="22" t="str">
        <x:v>草地</x:v>
      </x:c>
      <x:c r="G1352" s="32" t="str">
        <x:v>404</x:v>
      </x:c>
      <x:c r="H1352" s="32" t="str">
        <x:v>404</x:v>
      </x:c>
      <x:c r="I1352" s="22" t="str">
        <x:v>其他草地</x:v>
      </x:c>
      <x:c r="J1352" s="22" t="str">
        <x:v>农业生态</x:v>
      </x:c>
      <x:c r="K1352" s="32" t="str">
        <x:v>203</x:v>
      </x:c>
      <x:c r="L1352" s="22" t="str">
        <x:v>村庄范围</x:v>
      </x:c>
      <x:c r="M1352" s="33" t="n">
        <x:v>41315.13999999999</x:v>
      </x:c>
      <x:c r="N1352" s="33" t="n">
        <x:v>4.131513999999999</x:v>
      </x:c>
      <x:c r="O1352" s="22" t="str">
        <x:v>公顷</x:v>
      </x:c>
      <x:c r="P1352" s="22" t="str">
        <x:v>未提供（单期横截面）</x:v>
      </x:c>
      <x:c r="Q1352" s="23" t="n">
        <x:v>4331</x:v>
      </x:c>
    </x:row>
    <x:row r="1353">
      <x:c r="A1353" s="30" t="n">
        <x:v>350500</x:v>
      </x:c>
      <x:c r="B1353" s="22" t="str">
        <x:v>泉州市</x:v>
      </x:c>
      <x:c r="C1353" s="31" t="n">
        <x:v>350524</x:v>
      </x:c>
      <x:c r="D1353" s="22" t="str">
        <x:v>安溪县</x:v>
      </x:c>
      <x:c r="E1353" s="22" t="str">
        <x:v>未利用地</x:v>
      </x:c>
      <x:c r="F1353" s="22" t="str">
        <x:v>水域及水利设施</x:v>
      </x:c>
      <x:c r="G1353" s="32" t="str">
        <x:v>1101</x:v>
      </x:c>
      <x:c r="H1353" s="32" t="str">
        <x:v>1101</x:v>
      </x:c>
      <x:c r="I1353" s="22" t="str">
        <x:v>河流水面</x:v>
      </x:c>
      <x:c r="J1353" s="22" t="str">
        <x:v>农业生态</x:v>
      </x:c>
      <x:c r="K1353" s="32" t="str">
        <x:v>203</x:v>
      </x:c>
      <x:c r="L1353" s="22" t="str">
        <x:v>村庄范围</x:v>
      </x:c>
      <x:c r="M1353" s="33" t="n">
        <x:v>7843.660000000001</x:v>
      </x:c>
      <x:c r="N1353" s="33" t="n">
        <x:v>0.7843660000000001</x:v>
      </x:c>
      <x:c r="O1353" s="22" t="str">
        <x:v>公顷</x:v>
      </x:c>
      <x:c r="P1353" s="22" t="str">
        <x:v>未提供（单期横截面）</x:v>
      </x:c>
      <x:c r="Q1353" s="23" t="n">
        <x:v>4332</x:v>
      </x:c>
    </x:row>
    <x:row r="1354">
      <x:c r="A1354" s="30" t="n">
        <x:v>350500</x:v>
      </x:c>
      <x:c r="B1354" s="22" t="str">
        <x:v>泉州市</x:v>
      </x:c>
      <x:c r="C1354" s="31" t="n">
        <x:v>350525</x:v>
      </x:c>
      <x:c r="D1354" s="22" t="str">
        <x:v>永春县</x:v>
      </x:c>
      <x:c r="E1354" s="22" t="str">
        <x:v>建设用地</x:v>
      </x:c>
      <x:c r="F1354" s="22" t="str">
        <x:v>交通运输用地</x:v>
      </x:c>
      <x:c r="G1354" s="32" t="str">
        <x:v>1001</x:v>
      </x:c>
      <x:c r="H1354" s="32" t="str">
        <x:v>1001</x:v>
      </x:c>
      <x:c r="I1354" s="22" t="str">
        <x:v>铁路用地</x:v>
      </x:c>
      <x:c r="J1354" s="22" t="str">
        <x:v>交通门户</x:v>
      </x:c>
      <x:c r="K1354" s="32" t="str"/>
      <x:c r="L1354" s="22" t="str">
        <x:v>不适用/未标注</x:v>
      </x:c>
      <x:c r="M1354" s="33" t="n">
        <x:v>272280.49999999994</x:v>
      </x:c>
      <x:c r="N1354" s="33" t="n">
        <x:v>27.228049999999993</x:v>
      </x:c>
      <x:c r="O1354" s="22" t="str">
        <x:v>公顷</x:v>
      </x:c>
      <x:c r="P1354" s="22" t="str">
        <x:v>未提供（单期横截面）</x:v>
      </x:c>
      <x:c r="Q1354" s="23" t="n">
        <x:v>4333</x:v>
      </x:c>
    </x:row>
    <x:row r="1355">
      <x:c r="A1355" s="30" t="n">
        <x:v>350500</x:v>
      </x:c>
      <x:c r="B1355" s="22" t="str">
        <x:v>泉州市</x:v>
      </x:c>
      <x:c r="C1355" s="31" t="n">
        <x:v>350525</x:v>
      </x:c>
      <x:c r="D1355" s="22" t="str">
        <x:v>永春县</x:v>
      </x:c>
      <x:c r="E1355" s="22" t="str">
        <x:v>建设用地</x:v>
      </x:c>
      <x:c r="F1355" s="22" t="str">
        <x:v>交通运输用地</x:v>
      </x:c>
      <x:c r="G1355" s="32" t="str">
        <x:v>1003</x:v>
      </x:c>
      <x:c r="H1355" s="32" t="str">
        <x:v>1003</x:v>
      </x:c>
      <x:c r="I1355" s="22" t="str">
        <x:v>公路用地</x:v>
      </x:c>
      <x:c r="J1355" s="22" t="str">
        <x:v>交通门户</x:v>
      </x:c>
      <x:c r="K1355" s="32" t="str"/>
      <x:c r="L1355" s="22" t="str">
        <x:v>不适用/未标注</x:v>
      </x:c>
      <x:c r="M1355" s="33" t="n">
        <x:v>19271090.320000023</x:v>
      </x:c>
      <x:c r="N1355" s="33" t="n">
        <x:v>1927.1090320000023</x:v>
      </x:c>
      <x:c r="O1355" s="22" t="str">
        <x:v>公顷</x:v>
      </x:c>
      <x:c r="P1355" s="22" t="str">
        <x:v>未提供（单期横截面）</x:v>
      </x:c>
      <x:c r="Q1355" s="23" t="n">
        <x:v>4334</x:v>
      </x:c>
    </x:row>
    <x:row r="1356">
      <x:c r="A1356" s="30" t="n">
        <x:v>350500</x:v>
      </x:c>
      <x:c r="B1356" s="22" t="str">
        <x:v>泉州市</x:v>
      </x:c>
      <x:c r="C1356" s="31" t="n">
        <x:v>350525</x:v>
      </x:c>
      <x:c r="D1356" s="22" t="str">
        <x:v>永春县</x:v>
      </x:c>
      <x:c r="E1356" s="22" t="str">
        <x:v>建设用地</x:v>
      </x:c>
      <x:c r="F1356" s="22" t="str">
        <x:v>水域及水利设施</x:v>
      </x:c>
      <x:c r="G1356" s="32" t="str">
        <x:v>1109</x:v>
      </x:c>
      <x:c r="H1356" s="32" t="str">
        <x:v>1109</x:v>
      </x:c>
      <x:c r="I1356" s="22" t="str">
        <x:v>水工建筑用地</x:v>
      </x:c>
      <x:c r="J1356" s="22" t="str">
        <x:v>其他建设</x:v>
      </x:c>
      <x:c r="K1356" s="32" t="str"/>
      <x:c r="L1356" s="22" t="str">
        <x:v>不适用/未标注</x:v>
      </x:c>
      <x:c r="M1356" s="33" t="n">
        <x:v>546413.01</x:v>
      </x:c>
      <x:c r="N1356" s="33" t="n">
        <x:v>54.641301</x:v>
      </x:c>
      <x:c r="O1356" s="22" t="str">
        <x:v>公顷</x:v>
      </x:c>
      <x:c r="P1356" s="22" t="str">
        <x:v>未提供（单期横截面）</x:v>
      </x:c>
      <x:c r="Q1356" s="23" t="n">
        <x:v>4335</x:v>
      </x:c>
    </x:row>
    <x:row r="1357">
      <x:c r="A1357" s="30" t="n">
        <x:v>350500</x:v>
      </x:c>
      <x:c r="B1357" s="22" t="str">
        <x:v>泉州市</x:v>
      </x:c>
      <x:c r="C1357" s="31" t="n">
        <x:v>350525</x:v>
      </x:c>
      <x:c r="D1357" s="22" t="str">
        <x:v>永春县</x:v>
      </x:c>
      <x:c r="E1357" s="22" t="str">
        <x:v>建设用地</x:v>
      </x:c>
      <x:c r="F1357" s="22" t="str">
        <x:v>工矿仓储用地</x:v>
      </x:c>
      <x:c r="G1357" s="32" t="str">
        <x:v>508</x:v>
      </x:c>
      <x:c r="H1357" s="32" t="str">
        <x:v>508</x:v>
      </x:c>
      <x:c r="I1357" s="22" t="str">
        <x:v>物流仓储用地</x:v>
      </x:c>
      <x:c r="J1357" s="22" t="str">
        <x:v>产业功能</x:v>
      </x:c>
      <x:c r="K1357" s="32" t="str">
        <x:v>202</x:v>
      </x:c>
      <x:c r="L1357" s="22" t="str">
        <x:v>建制镇范围</x:v>
      </x:c>
      <x:c r="M1357" s="33" t="n">
        <x:v>135232.95999999996</x:v>
      </x:c>
      <x:c r="N1357" s="33" t="n">
        <x:v>13.523295999999997</x:v>
      </x:c>
      <x:c r="O1357" s="22" t="str">
        <x:v>公顷</x:v>
      </x:c>
      <x:c r="P1357" s="22" t="str">
        <x:v>未提供（单期横截面）</x:v>
      </x:c>
      <x:c r="Q1357" s="23" t="n">
        <x:v>4336</x:v>
      </x:c>
    </x:row>
    <x:row r="1358">
      <x:c r="A1358" s="30" t="n">
        <x:v>350500</x:v>
      </x:c>
      <x:c r="B1358" s="22" t="str">
        <x:v>泉州市</x:v>
      </x:c>
      <x:c r="C1358" s="31" t="n">
        <x:v>350525</x:v>
      </x:c>
      <x:c r="D1358" s="22" t="str">
        <x:v>永春县</x:v>
      </x:c>
      <x:c r="E1358" s="22" t="str">
        <x:v>建设用地</x:v>
      </x:c>
      <x:c r="F1358" s="22" t="str">
        <x:v>商业服务业用地</x:v>
      </x:c>
      <x:c r="G1358" s="32" t="str">
        <x:v>05H1</x:v>
      </x:c>
      <x:c r="H1358" s="32" t="str">
        <x:v>05H1</x:v>
      </x:c>
      <x:c r="I1358" s="22" t="str">
        <x:v>商业服务业设施用地</x:v>
      </x:c>
      <x:c r="J1358" s="22" t="str">
        <x:v>商业服务</x:v>
      </x:c>
      <x:c r="K1358" s="32" t="str">
        <x:v>202</x:v>
      </x:c>
      <x:c r="L1358" s="22" t="str">
        <x:v>建制镇范围</x:v>
      </x:c>
      <x:c r="M1358" s="33" t="n">
        <x:v>371166.96000000014</x:v>
      </x:c>
      <x:c r="N1358" s="33" t="n">
        <x:v>37.11669600000001</x:v>
      </x:c>
      <x:c r="O1358" s="22" t="str">
        <x:v>公顷</x:v>
      </x:c>
      <x:c r="P1358" s="22" t="str">
        <x:v>未提供（单期横截面）</x:v>
      </x:c>
      <x:c r="Q1358" s="23" t="n">
        <x:v>4337</x:v>
      </x:c>
    </x:row>
    <x:row r="1359">
      <x:c r="A1359" s="30" t="n">
        <x:v>350500</x:v>
      </x:c>
      <x:c r="B1359" s="22" t="str">
        <x:v>泉州市</x:v>
      </x:c>
      <x:c r="C1359" s="31" t="n">
        <x:v>350525</x:v>
      </x:c>
      <x:c r="D1359" s="22" t="str">
        <x:v>永春县</x:v>
      </x:c>
      <x:c r="E1359" s="22" t="str">
        <x:v>建设用地</x:v>
      </x:c>
      <x:c r="F1359" s="22" t="str">
        <x:v>工矿仓储用地</x:v>
      </x:c>
      <x:c r="G1359" s="32" t="str">
        <x:v>601</x:v>
      </x:c>
      <x:c r="H1359" s="32" t="str">
        <x:v>601</x:v>
      </x:c>
      <x:c r="I1359" s="22" t="str">
        <x:v>工业用地</x:v>
      </x:c>
      <x:c r="J1359" s="22" t="str">
        <x:v>产业功能</x:v>
      </x:c>
      <x:c r="K1359" s="32" t="str">
        <x:v>202</x:v>
      </x:c>
      <x:c r="L1359" s="22" t="str">
        <x:v>建制镇范围</x:v>
      </x:c>
      <x:c r="M1359" s="33" t="n">
        <x:v>5454847.100000002</x:v>
      </x:c>
      <x:c r="N1359" s="33" t="n">
        <x:v>545.4847100000003</x:v>
      </x:c>
      <x:c r="O1359" s="22" t="str">
        <x:v>公顷</x:v>
      </x:c>
      <x:c r="P1359" s="22" t="str">
        <x:v>未提供（单期横截面）</x:v>
      </x:c>
      <x:c r="Q1359" s="23" t="n">
        <x:v>4338</x:v>
      </x:c>
    </x:row>
    <x:row r="1360">
      <x:c r="A1360" s="30" t="n">
        <x:v>350500</x:v>
      </x:c>
      <x:c r="B1360" s="22" t="str">
        <x:v>泉州市</x:v>
      </x:c>
      <x:c r="C1360" s="31" t="n">
        <x:v>350525</x:v>
      </x:c>
      <x:c r="D1360" s="22" t="str">
        <x:v>永春县</x:v>
      </x:c>
      <x:c r="E1360" s="22" t="str">
        <x:v>建设用地</x:v>
      </x:c>
      <x:c r="F1360" s="22" t="str">
        <x:v>居住用地</x:v>
      </x:c>
      <x:c r="G1360" s="32" t="str">
        <x:v>701</x:v>
      </x:c>
      <x:c r="H1360" s="32" t="str">
        <x:v>701</x:v>
      </x:c>
      <x:c r="I1360" s="22" t="str">
        <x:v>城镇住宅用地</x:v>
      </x:c>
      <x:c r="J1360" s="22" t="str">
        <x:v>居住功能</x:v>
      </x:c>
      <x:c r="K1360" s="32" t="str">
        <x:v>202</x:v>
      </x:c>
      <x:c r="L1360" s="22" t="str">
        <x:v>建制镇范围</x:v>
      </x:c>
      <x:c r="M1360" s="33" t="n">
        <x:v>14760958.469999976</x:v>
      </x:c>
      <x:c r="N1360" s="33" t="n">
        <x:v>1476.0958469999975</x:v>
      </x:c>
      <x:c r="O1360" s="22" t="str">
        <x:v>公顷</x:v>
      </x:c>
      <x:c r="P1360" s="22" t="str">
        <x:v>未提供（单期横截面）</x:v>
      </x:c>
      <x:c r="Q1360" s="23" t="n">
        <x:v>4339</x:v>
      </x:c>
    </x:row>
    <x:row r="1361">
      <x:c r="A1361" s="30" t="n">
        <x:v>350500</x:v>
      </x:c>
      <x:c r="B1361" s="22" t="str">
        <x:v>泉州市</x:v>
      </x:c>
      <x:c r="C1361" s="31" t="n">
        <x:v>350525</x:v>
      </x:c>
      <x:c r="D1361" s="22" t="str">
        <x:v>永春县</x:v>
      </x:c>
      <x:c r="E1361" s="22" t="str">
        <x:v>建设用地</x:v>
      </x:c>
      <x:c r="F1361" s="22" t="str">
        <x:v>公用设施用地</x:v>
      </x:c>
      <x:c r="G1361" s="32" t="str">
        <x:v>809</x:v>
      </x:c>
      <x:c r="H1361" s="32" t="str">
        <x:v>809</x:v>
      </x:c>
      <x:c r="I1361" s="22" t="str">
        <x:v>公用设施用地</x:v>
      </x:c>
      <x:c r="J1361" s="22" t="str">
        <x:v>其他建设</x:v>
      </x:c>
      <x:c r="K1361" s="32" t="str">
        <x:v>202</x:v>
      </x:c>
      <x:c r="L1361" s="22" t="str">
        <x:v>建制镇范围</x:v>
      </x:c>
      <x:c r="M1361" s="33" t="n">
        <x:v>273674.52</x:v>
      </x:c>
      <x:c r="N1361" s="33" t="n">
        <x:v>27.367452</x:v>
      </x:c>
      <x:c r="O1361" s="22" t="str">
        <x:v>公顷</x:v>
      </x:c>
      <x:c r="P1361" s="22" t="str">
        <x:v>未提供（单期横截面）</x:v>
      </x:c>
      <x:c r="Q1361" s="23" t="n">
        <x:v>4340</x:v>
      </x:c>
    </x:row>
    <x:row r="1362">
      <x:c r="A1362" s="30" t="n">
        <x:v>350500</x:v>
      </x:c>
      <x:c r="B1362" s="22" t="str">
        <x:v>泉州市</x:v>
      </x:c>
      <x:c r="C1362" s="31" t="n">
        <x:v>350525</x:v>
      </x:c>
      <x:c r="D1362" s="22" t="str">
        <x:v>永春县</x:v>
      </x:c>
      <x:c r="E1362" s="22" t="str">
        <x:v>建设用地</x:v>
      </x:c>
      <x:c r="F1362" s="22" t="str">
        <x:v>绿地与广场用地</x:v>
      </x:c>
      <x:c r="G1362" s="32" t="str">
        <x:v>810</x:v>
      </x:c>
      <x:c r="H1362" s="32" t="str">
        <x:v>810</x:v>
      </x:c>
      <x:c r="I1362" s="22" t="str">
        <x:v>公园与绿地</x:v>
      </x:c>
      <x:c r="J1362" s="22" t="str">
        <x:v>公共空间</x:v>
      </x:c>
      <x:c r="K1362" s="32" t="str">
        <x:v>202</x:v>
      </x:c>
      <x:c r="L1362" s="22" t="str">
        <x:v>建制镇范围</x:v>
      </x:c>
      <x:c r="M1362" s="33" t="n">
        <x:v>889070.5099999999</x:v>
      </x:c>
      <x:c r="N1362" s="33" t="n">
        <x:v>88.907051</x:v>
      </x:c>
      <x:c r="O1362" s="22" t="str">
        <x:v>公顷</x:v>
      </x:c>
      <x:c r="P1362" s="22" t="str">
        <x:v>未提供（单期横截面）</x:v>
      </x:c>
      <x:c r="Q1362" s="23" t="n">
        <x:v>4341</x:v>
      </x:c>
    </x:row>
    <x:row r="1363">
      <x:c r="A1363" s="30" t="n">
        <x:v>350500</x:v>
      </x:c>
      <x:c r="B1363" s="22" t="str">
        <x:v>泉州市</x:v>
      </x:c>
      <x:c r="C1363" s="31" t="n">
        <x:v>350525</x:v>
      </x:c>
      <x:c r="D1363" s="22" t="str">
        <x:v>永春县</x:v>
      </x:c>
      <x:c r="E1363" s="22" t="str">
        <x:v>建设用地</x:v>
      </x:c>
      <x:c r="F1363" s="22" t="str">
        <x:v>绿地与广场用地</x:v>
      </x:c>
      <x:c r="G1363" s="32" t="str">
        <x:v>0810A</x:v>
      </x:c>
      <x:c r="H1363" s="32" t="str">
        <x:v>0810</x:v>
      </x:c>
      <x:c r="I1363" s="22" t="str">
        <x:v>广场用地</x:v>
      </x:c>
      <x:c r="J1363" s="22" t="str">
        <x:v>公共空间</x:v>
      </x:c>
      <x:c r="K1363" s="32" t="str">
        <x:v>202</x:v>
      </x:c>
      <x:c r="L1363" s="22" t="str">
        <x:v>建制镇范围</x:v>
      </x:c>
      <x:c r="M1363" s="33" t="n">
        <x:v>11167.46</x:v>
      </x:c>
      <x:c r="N1363" s="33" t="n">
        <x:v>1.116746</x:v>
      </x:c>
      <x:c r="O1363" s="22" t="str">
        <x:v>公顷</x:v>
      </x:c>
      <x:c r="P1363" s="22" t="str">
        <x:v>未提供（单期横截面）</x:v>
      </x:c>
      <x:c r="Q1363" s="23" t="n">
        <x:v>4342</x:v>
      </x:c>
    </x:row>
    <x:row r="1364">
      <x:c r="A1364" s="30" t="n">
        <x:v>350500</x:v>
      </x:c>
      <x:c r="B1364" s="22" t="str">
        <x:v>泉州市</x:v>
      </x:c>
      <x:c r="C1364" s="31" t="n">
        <x:v>350525</x:v>
      </x:c>
      <x:c r="D1364" s="22" t="str">
        <x:v>永春县</x:v>
      </x:c>
      <x:c r="E1364" s="22" t="str">
        <x:v>建设用地</x:v>
      </x:c>
      <x:c r="F1364" s="22" t="str">
        <x:v>公共管理与公共服务用地</x:v>
      </x:c>
      <x:c r="G1364" s="32" t="str">
        <x:v>08H1</x:v>
      </x:c>
      <x:c r="H1364" s="32" t="str">
        <x:v>08H1</x:v>
      </x:c>
      <x:c r="I1364" s="22" t="str">
        <x:v>机关团体新闻出版用地</x:v>
      </x:c>
      <x:c r="J1364" s="22" t="str">
        <x:v>公共服务</x:v>
      </x:c>
      <x:c r="K1364" s="32" t="str">
        <x:v>202</x:v>
      </x:c>
      <x:c r="L1364" s="22" t="str">
        <x:v>建制镇范围</x:v>
      </x:c>
      <x:c r="M1364" s="33" t="n">
        <x:v>446730.9799999999</x:v>
      </x:c>
      <x:c r="N1364" s="33" t="n">
        <x:v>44.67309799999999</x:v>
      </x:c>
      <x:c r="O1364" s="22" t="str">
        <x:v>公顷</x:v>
      </x:c>
      <x:c r="P1364" s="22" t="str">
        <x:v>未提供（单期横截面）</x:v>
      </x:c>
      <x:c r="Q1364" s="23" t="n">
        <x:v>4343</x:v>
      </x:c>
    </x:row>
    <x:row r="1365">
      <x:c r="A1365" s="30" t="n">
        <x:v>350500</x:v>
      </x:c>
      <x:c r="B1365" s="22" t="str">
        <x:v>泉州市</x:v>
      </x:c>
      <x:c r="C1365" s="31" t="n">
        <x:v>350525</x:v>
      </x:c>
      <x:c r="D1365" s="22" t="str">
        <x:v>永春县</x:v>
      </x:c>
      <x:c r="E1365" s="22" t="str">
        <x:v>建设用地</x:v>
      </x:c>
      <x:c r="F1365" s="22" t="str">
        <x:v>公共管理与公共服务用地</x:v>
      </x:c>
      <x:c r="G1365" s="32" t="str">
        <x:v>08H2</x:v>
      </x:c>
      <x:c r="H1365" s="32" t="str">
        <x:v>08H2</x:v>
      </x:c>
      <x:c r="I1365" s="22" t="str">
        <x:v>科教文卫用地</x:v>
      </x:c>
      <x:c r="J1365" s="22" t="str">
        <x:v>公共服务</x:v>
      </x:c>
      <x:c r="K1365" s="32" t="str">
        <x:v>202</x:v>
      </x:c>
      <x:c r="L1365" s="22" t="str">
        <x:v>建制镇范围</x:v>
      </x:c>
      <x:c r="M1365" s="33" t="n">
        <x:v>1637921.8200000003</x:v>
      </x:c>
      <x:c r="N1365" s="33" t="n">
        <x:v>163.79218200000003</x:v>
      </x:c>
      <x:c r="O1365" s="22" t="str">
        <x:v>公顷</x:v>
      </x:c>
      <x:c r="P1365" s="22" t="str">
        <x:v>未提供（单期横截面）</x:v>
      </x:c>
      <x:c r="Q1365" s="23" t="n">
        <x:v>4344</x:v>
      </x:c>
    </x:row>
    <x:row r="1366">
      <x:c r="A1366" s="30" t="n">
        <x:v>350500</x:v>
      </x:c>
      <x:c r="B1366" s="22" t="str">
        <x:v>泉州市</x:v>
      </x:c>
      <x:c r="C1366" s="31" t="n">
        <x:v>350525</x:v>
      </x:c>
      <x:c r="D1366" s="22" t="str">
        <x:v>永春县</x:v>
      </x:c>
      <x:c r="E1366" s="22" t="str">
        <x:v>建设用地</x:v>
      </x:c>
      <x:c r="F1366" s="22" t="str">
        <x:v>公共管理与公共服务用地</x:v>
      </x:c>
      <x:c r="G1366" s="32" t="str">
        <x:v>08H2A</x:v>
      </x:c>
      <x:c r="H1366" s="32" t="str">
        <x:v>08H2</x:v>
      </x:c>
      <x:c r="I1366" s="22" t="str">
        <x:v>高教用地</x:v>
      </x:c>
      <x:c r="J1366" s="22" t="str">
        <x:v>公共服务</x:v>
      </x:c>
      <x:c r="K1366" s="32" t="str">
        <x:v>202</x:v>
      </x:c>
      <x:c r="L1366" s="22" t="str">
        <x:v>建制镇范围</x:v>
      </x:c>
      <x:c r="M1366" s="33" t="n">
        <x:v>18983.58</x:v>
      </x:c>
      <x:c r="N1366" s="33" t="n">
        <x:v>1.8983580000000002</x:v>
      </x:c>
      <x:c r="O1366" s="22" t="str">
        <x:v>公顷</x:v>
      </x:c>
      <x:c r="P1366" s="22" t="str">
        <x:v>未提供（单期横截面）</x:v>
      </x:c>
      <x:c r="Q1366" s="23" t="n">
        <x:v>4345</x:v>
      </x:c>
    </x:row>
    <x:row r="1367">
      <x:c r="A1367" s="30" t="n">
        <x:v>350500</x:v>
      </x:c>
      <x:c r="B1367" s="22" t="str">
        <x:v>泉州市</x:v>
      </x:c>
      <x:c r="C1367" s="31" t="n">
        <x:v>350525</x:v>
      </x:c>
      <x:c r="D1367" s="22" t="str">
        <x:v>永春县</x:v>
      </x:c>
      <x:c r="E1367" s="22" t="str">
        <x:v>建设用地</x:v>
      </x:c>
      <x:c r="F1367" s="22" t="str">
        <x:v>特殊用地</x:v>
      </x:c>
      <x:c r="G1367" s="32" t="str">
        <x:v>9</x:v>
      </x:c>
      <x:c r="H1367" s="32" t="str">
        <x:v>9</x:v>
      </x:c>
      <x:c r="I1367" s="22" t="str">
        <x:v>特殊用地</x:v>
      </x:c>
      <x:c r="J1367" s="22" t="str">
        <x:v>其他建设</x:v>
      </x:c>
      <x:c r="K1367" s="32" t="str">
        <x:v>202</x:v>
      </x:c>
      <x:c r="L1367" s="22" t="str">
        <x:v>建制镇范围</x:v>
      </x:c>
      <x:c r="M1367" s="33" t="n">
        <x:v>48705.21</x:v>
      </x:c>
      <x:c r="N1367" s="33" t="n">
        <x:v>4.870521</x:v>
      </x:c>
      <x:c r="O1367" s="22" t="str">
        <x:v>公顷</x:v>
      </x:c>
      <x:c r="P1367" s="22" t="str">
        <x:v>未提供（单期横截面）</x:v>
      </x:c>
      <x:c r="Q1367" s="23" t="n">
        <x:v>4346</x:v>
      </x:c>
    </x:row>
    <x:row r="1368">
      <x:c r="A1368" s="30" t="n">
        <x:v>350500</x:v>
      </x:c>
      <x:c r="B1368" s="22" t="str">
        <x:v>泉州市</x:v>
      </x:c>
      <x:c r="C1368" s="31" t="n">
        <x:v>350525</x:v>
      </x:c>
      <x:c r="D1368" s="22" t="str">
        <x:v>永春县</x:v>
      </x:c>
      <x:c r="E1368" s="22" t="str">
        <x:v>建设用地</x:v>
      </x:c>
      <x:c r="F1368" s="22" t="str">
        <x:v>交通运输用地</x:v>
      </x:c>
      <x:c r="G1368" s="32" t="str">
        <x:v>1004</x:v>
      </x:c>
      <x:c r="H1368" s="32" t="str">
        <x:v>1004</x:v>
      </x:c>
      <x:c r="I1368" s="22" t="str">
        <x:v>城镇村道路用地</x:v>
      </x:c>
      <x:c r="J1368" s="22" t="str">
        <x:v>交通门户</x:v>
      </x:c>
      <x:c r="K1368" s="32" t="str">
        <x:v>202</x:v>
      </x:c>
      <x:c r="L1368" s="22" t="str">
        <x:v>建制镇范围</x:v>
      </x:c>
      <x:c r="M1368" s="33" t="n">
        <x:v>481732.58000000037</x:v>
      </x:c>
      <x:c r="N1368" s="33" t="n">
        <x:v>48.17325800000004</x:v>
      </x:c>
      <x:c r="O1368" s="22" t="str">
        <x:v>公顷</x:v>
      </x:c>
      <x:c r="P1368" s="22" t="str">
        <x:v>未提供（单期横截面）</x:v>
      </x:c>
      <x:c r="Q1368" s="23" t="n">
        <x:v>4347</x:v>
      </x:c>
    </x:row>
    <x:row r="1369">
      <x:c r="A1369" s="30" t="n">
        <x:v>350500</x:v>
      </x:c>
      <x:c r="B1369" s="22" t="str">
        <x:v>泉州市</x:v>
      </x:c>
      <x:c r="C1369" s="31" t="n">
        <x:v>350525</x:v>
      </x:c>
      <x:c r="D1369" s="22" t="str">
        <x:v>永春县</x:v>
      </x:c>
      <x:c r="E1369" s="22" t="str">
        <x:v>建设用地</x:v>
      </x:c>
      <x:c r="F1369" s="22" t="str">
        <x:v>交通运输用地</x:v>
      </x:c>
      <x:c r="G1369" s="32" t="str">
        <x:v>1005</x:v>
      </x:c>
      <x:c r="H1369" s="32" t="str">
        <x:v>1005</x:v>
      </x:c>
      <x:c r="I1369" s="22" t="str">
        <x:v>交通服务场站用地</x:v>
      </x:c>
      <x:c r="J1369" s="22" t="str">
        <x:v>交通门户</x:v>
      </x:c>
      <x:c r="K1369" s="32" t="str">
        <x:v>202</x:v>
      </x:c>
      <x:c r="L1369" s="22" t="str">
        <x:v>建制镇范围</x:v>
      </x:c>
      <x:c r="M1369" s="33" t="n">
        <x:v>147448.58999999997</x:v>
      </x:c>
      <x:c r="N1369" s="33" t="n">
        <x:v>14.744858999999996</x:v>
      </x:c>
      <x:c r="O1369" s="22" t="str">
        <x:v>公顷</x:v>
      </x:c>
      <x:c r="P1369" s="22" t="str">
        <x:v>未提供（单期横截面）</x:v>
      </x:c>
      <x:c r="Q1369" s="23" t="n">
        <x:v>4348</x:v>
      </x:c>
    </x:row>
    <x:row r="1370">
      <x:c r="A1370" s="30" t="n">
        <x:v>350500</x:v>
      </x:c>
      <x:c r="B1370" s="22" t="str">
        <x:v>泉州市</x:v>
      </x:c>
      <x:c r="C1370" s="31" t="n">
        <x:v>350525</x:v>
      </x:c>
      <x:c r="D1370" s="22" t="str">
        <x:v>永春县</x:v>
      </x:c>
      <x:c r="E1370" s="22" t="str">
        <x:v>建设用地</x:v>
      </x:c>
      <x:c r="F1370" s="22" t="str">
        <x:v>工矿仓储用地</x:v>
      </x:c>
      <x:c r="G1370" s="32" t="str">
        <x:v>508</x:v>
      </x:c>
      <x:c r="H1370" s="32" t="str">
        <x:v>508</x:v>
      </x:c>
      <x:c r="I1370" s="22" t="str">
        <x:v>物流仓储用地</x:v>
      </x:c>
      <x:c r="J1370" s="22" t="str">
        <x:v>产业功能</x:v>
      </x:c>
      <x:c r="K1370" s="32" t="str">
        <x:v>203</x:v>
      </x:c>
      <x:c r="L1370" s="22" t="str">
        <x:v>村庄范围</x:v>
      </x:c>
      <x:c r="M1370" s="33" t="n">
        <x:v>131546.86</x:v>
      </x:c>
      <x:c r="N1370" s="33" t="n">
        <x:v>13.154685999999998</x:v>
      </x:c>
      <x:c r="O1370" s="22" t="str">
        <x:v>公顷</x:v>
      </x:c>
      <x:c r="P1370" s="22" t="str">
        <x:v>未提供（单期横截面）</x:v>
      </x:c>
      <x:c r="Q1370" s="23" t="n">
        <x:v>4349</x:v>
      </x:c>
    </x:row>
    <x:row r="1371">
      <x:c r="A1371" s="30" t="n">
        <x:v>350500</x:v>
      </x:c>
      <x:c r="B1371" s="22" t="str">
        <x:v>泉州市</x:v>
      </x:c>
      <x:c r="C1371" s="31" t="n">
        <x:v>350525</x:v>
      </x:c>
      <x:c r="D1371" s="22" t="str">
        <x:v>永春县</x:v>
      </x:c>
      <x:c r="E1371" s="22" t="str">
        <x:v>建设用地</x:v>
      </x:c>
      <x:c r="F1371" s="22" t="str">
        <x:v>商业服务业用地</x:v>
      </x:c>
      <x:c r="G1371" s="32" t="str">
        <x:v>05H1</x:v>
      </x:c>
      <x:c r="H1371" s="32" t="str">
        <x:v>05H1</x:v>
      </x:c>
      <x:c r="I1371" s="22" t="str">
        <x:v>商业服务业设施用地</x:v>
      </x:c>
      <x:c r="J1371" s="22" t="str">
        <x:v>商业服务</x:v>
      </x:c>
      <x:c r="K1371" s="32" t="str">
        <x:v>203</x:v>
      </x:c>
      <x:c r="L1371" s="22" t="str">
        <x:v>村庄范围</x:v>
      </x:c>
      <x:c r="M1371" s="33" t="n">
        <x:v>361127.3600000001</x:v>
      </x:c>
      <x:c r="N1371" s="33" t="n">
        <x:v>36.11273600000001</x:v>
      </x:c>
      <x:c r="O1371" s="22" t="str">
        <x:v>公顷</x:v>
      </x:c>
      <x:c r="P1371" s="22" t="str">
        <x:v>未提供（单期横截面）</x:v>
      </x:c>
      <x:c r="Q1371" s="23" t="n">
        <x:v>4350</x:v>
      </x:c>
    </x:row>
    <x:row r="1372">
      <x:c r="A1372" s="30" t="n">
        <x:v>350500</x:v>
      </x:c>
      <x:c r="B1372" s="22" t="str">
        <x:v>泉州市</x:v>
      </x:c>
      <x:c r="C1372" s="31" t="n">
        <x:v>350525</x:v>
      </x:c>
      <x:c r="D1372" s="22" t="str">
        <x:v>永春县</x:v>
      </x:c>
      <x:c r="E1372" s="22" t="str">
        <x:v>建设用地</x:v>
      </x:c>
      <x:c r="F1372" s="22" t="str">
        <x:v>工矿仓储用地</x:v>
      </x:c>
      <x:c r="G1372" s="32" t="str">
        <x:v>601</x:v>
      </x:c>
      <x:c r="H1372" s="32" t="str">
        <x:v>601</x:v>
      </x:c>
      <x:c r="I1372" s="22" t="str">
        <x:v>工业用地</x:v>
      </x:c>
      <x:c r="J1372" s="22" t="str">
        <x:v>产业功能</x:v>
      </x:c>
      <x:c r="K1372" s="32" t="str">
        <x:v>203</x:v>
      </x:c>
      <x:c r="L1372" s="22" t="str">
        <x:v>村庄范围</x:v>
      </x:c>
      <x:c r="M1372" s="33" t="n">
        <x:v>2751774.800000002</x:v>
      </x:c>
      <x:c r="N1372" s="33" t="n">
        <x:v>275.17748000000023</x:v>
      </x:c>
      <x:c r="O1372" s="22" t="str">
        <x:v>公顷</x:v>
      </x:c>
      <x:c r="P1372" s="22" t="str">
        <x:v>未提供（单期横截面）</x:v>
      </x:c>
      <x:c r="Q1372" s="23" t="n">
        <x:v>4351</x:v>
      </x:c>
    </x:row>
    <x:row r="1373">
      <x:c r="A1373" s="30" t="n">
        <x:v>350500</x:v>
      </x:c>
      <x:c r="B1373" s="22" t="str">
        <x:v>泉州市</x:v>
      </x:c>
      <x:c r="C1373" s="31" t="n">
        <x:v>350525</x:v>
      </x:c>
      <x:c r="D1373" s="22" t="str">
        <x:v>永春县</x:v>
      </x:c>
      <x:c r="E1373" s="22" t="str">
        <x:v>建设用地</x:v>
      </x:c>
      <x:c r="F1373" s="22" t="str">
        <x:v>工矿仓储用地</x:v>
      </x:c>
      <x:c r="G1373" s="32" t="str">
        <x:v>602</x:v>
      </x:c>
      <x:c r="H1373" s="32" t="str">
        <x:v>602</x:v>
      </x:c>
      <x:c r="I1373" s="22" t="str">
        <x:v>采矿用地</x:v>
      </x:c>
      <x:c r="J1373" s="22" t="str">
        <x:v>产业功能</x:v>
      </x:c>
      <x:c r="K1373" s="32" t="str">
        <x:v>203</x:v>
      </x:c>
      <x:c r="L1373" s="22" t="str">
        <x:v>村庄范围</x:v>
      </x:c>
      <x:c r="M1373" s="33" t="n">
        <x:v>7412.08</x:v>
      </x:c>
      <x:c r="N1373" s="33" t="n">
        <x:v>0.741208</x:v>
      </x:c>
      <x:c r="O1373" s="22" t="str">
        <x:v>公顷</x:v>
      </x:c>
      <x:c r="P1373" s="22" t="str">
        <x:v>未提供（单期横截面）</x:v>
      </x:c>
      <x:c r="Q1373" s="23" t="n">
        <x:v>4352</x:v>
      </x:c>
    </x:row>
    <x:row r="1374">
      <x:c r="A1374" s="30" t="n">
        <x:v>350500</x:v>
      </x:c>
      <x:c r="B1374" s="22" t="str">
        <x:v>泉州市</x:v>
      </x:c>
      <x:c r="C1374" s="31" t="n">
        <x:v>350525</x:v>
      </x:c>
      <x:c r="D1374" s="22" t="str">
        <x:v>永春县</x:v>
      </x:c>
      <x:c r="E1374" s="22" t="str">
        <x:v>建设用地</x:v>
      </x:c>
      <x:c r="F1374" s="22" t="str">
        <x:v>居住用地</x:v>
      </x:c>
      <x:c r="G1374" s="32" t="str">
        <x:v>702</x:v>
      </x:c>
      <x:c r="H1374" s="32" t="str">
        <x:v>702</x:v>
      </x:c>
      <x:c r="I1374" s="22" t="str">
        <x:v>农村宅基地</x:v>
      </x:c>
      <x:c r="J1374" s="22" t="str">
        <x:v>居住功能</x:v>
      </x:c>
      <x:c r="K1374" s="32" t="str">
        <x:v>203</x:v>
      </x:c>
      <x:c r="L1374" s="22" t="str">
        <x:v>村庄范围</x:v>
      </x:c>
      <x:c r="M1374" s="33" t="n">
        <x:v>41614180.89000009</x:v>
      </x:c>
      <x:c r="N1374" s="33" t="n">
        <x:v>4161.418089000009</x:v>
      </x:c>
      <x:c r="O1374" s="22" t="str">
        <x:v>公顷</x:v>
      </x:c>
      <x:c r="P1374" s="22" t="str">
        <x:v>未提供（单期横截面）</x:v>
      </x:c>
      <x:c r="Q1374" s="23" t="n">
        <x:v>4353</x:v>
      </x:c>
    </x:row>
    <x:row r="1375">
      <x:c r="A1375" s="30" t="n">
        <x:v>350500</x:v>
      </x:c>
      <x:c r="B1375" s="22" t="str">
        <x:v>泉州市</x:v>
      </x:c>
      <x:c r="C1375" s="31" t="n">
        <x:v>350525</x:v>
      </x:c>
      <x:c r="D1375" s="22" t="str">
        <x:v>永春县</x:v>
      </x:c>
      <x:c r="E1375" s="22" t="str">
        <x:v>建设用地</x:v>
      </x:c>
      <x:c r="F1375" s="22" t="str">
        <x:v>公用设施用地</x:v>
      </x:c>
      <x:c r="G1375" s="32" t="str">
        <x:v>809</x:v>
      </x:c>
      <x:c r="H1375" s="32" t="str">
        <x:v>809</x:v>
      </x:c>
      <x:c r="I1375" s="22" t="str">
        <x:v>公用设施用地</x:v>
      </x:c>
      <x:c r="J1375" s="22" t="str">
        <x:v>其他建设</x:v>
      </x:c>
      <x:c r="K1375" s="32" t="str">
        <x:v>203</x:v>
      </x:c>
      <x:c r="L1375" s="22" t="str">
        <x:v>村庄范围</x:v>
      </x:c>
      <x:c r="M1375" s="33" t="n">
        <x:v>316692.1200000001</x:v>
      </x:c>
      <x:c r="N1375" s="33" t="n">
        <x:v>31.669212000000012</x:v>
      </x:c>
      <x:c r="O1375" s="22" t="str">
        <x:v>公顷</x:v>
      </x:c>
      <x:c r="P1375" s="22" t="str">
        <x:v>未提供（单期横截面）</x:v>
      </x:c>
      <x:c r="Q1375" s="23" t="n">
        <x:v>4354</x:v>
      </x:c>
    </x:row>
    <x:row r="1376">
      <x:c r="A1376" s="30" t="n">
        <x:v>350500</x:v>
      </x:c>
      <x:c r="B1376" s="22" t="str">
        <x:v>泉州市</x:v>
      </x:c>
      <x:c r="C1376" s="31" t="n">
        <x:v>350525</x:v>
      </x:c>
      <x:c r="D1376" s="22" t="str">
        <x:v>永春县</x:v>
      </x:c>
      <x:c r="E1376" s="22" t="str">
        <x:v>建设用地</x:v>
      </x:c>
      <x:c r="F1376" s="22" t="str">
        <x:v>绿地与广场用地</x:v>
      </x:c>
      <x:c r="G1376" s="32" t="str">
        <x:v>810</x:v>
      </x:c>
      <x:c r="H1376" s="32" t="str">
        <x:v>810</x:v>
      </x:c>
      <x:c r="I1376" s="22" t="str">
        <x:v>公园与绿地</x:v>
      </x:c>
      <x:c r="J1376" s="22" t="str">
        <x:v>公共空间</x:v>
      </x:c>
      <x:c r="K1376" s="32" t="str">
        <x:v>203</x:v>
      </x:c>
      <x:c r="L1376" s="22" t="str">
        <x:v>村庄范围</x:v>
      </x:c>
      <x:c r="M1376" s="33" t="n">
        <x:v>296940.63999999996</x:v>
      </x:c>
      <x:c r="N1376" s="33" t="n">
        <x:v>29.694063999999997</x:v>
      </x:c>
      <x:c r="O1376" s="22" t="str">
        <x:v>公顷</x:v>
      </x:c>
      <x:c r="P1376" s="22" t="str">
        <x:v>未提供（单期横截面）</x:v>
      </x:c>
      <x:c r="Q1376" s="23" t="n">
        <x:v>4355</x:v>
      </x:c>
    </x:row>
    <x:row r="1377">
      <x:c r="A1377" s="30" t="n">
        <x:v>350500</x:v>
      </x:c>
      <x:c r="B1377" s="22" t="str">
        <x:v>泉州市</x:v>
      </x:c>
      <x:c r="C1377" s="31" t="n">
        <x:v>350525</x:v>
      </x:c>
      <x:c r="D1377" s="22" t="str">
        <x:v>永春县</x:v>
      </x:c>
      <x:c r="E1377" s="22" t="str">
        <x:v>建设用地</x:v>
      </x:c>
      <x:c r="F1377" s="22" t="str">
        <x:v>绿地与广场用地</x:v>
      </x:c>
      <x:c r="G1377" s="32" t="str">
        <x:v>0810A</x:v>
      </x:c>
      <x:c r="H1377" s="32" t="str">
        <x:v>0810</x:v>
      </x:c>
      <x:c r="I1377" s="22" t="str">
        <x:v>广场用地</x:v>
      </x:c>
      <x:c r="J1377" s="22" t="str">
        <x:v>公共空间</x:v>
      </x:c>
      <x:c r="K1377" s="32" t="str">
        <x:v>203</x:v>
      </x:c>
      <x:c r="L1377" s="22" t="str">
        <x:v>村庄范围</x:v>
      </x:c>
      <x:c r="M1377" s="33" t="n">
        <x:v>28799.809999999998</x:v>
      </x:c>
      <x:c r="N1377" s="33" t="n">
        <x:v>2.879981</x:v>
      </x:c>
      <x:c r="O1377" s="22" t="str">
        <x:v>公顷</x:v>
      </x:c>
      <x:c r="P1377" s="22" t="str">
        <x:v>未提供（单期横截面）</x:v>
      </x:c>
      <x:c r="Q1377" s="23" t="n">
        <x:v>4356</x:v>
      </x:c>
    </x:row>
    <x:row r="1378">
      <x:c r="A1378" s="30" t="n">
        <x:v>350500</x:v>
      </x:c>
      <x:c r="B1378" s="22" t="str">
        <x:v>泉州市</x:v>
      </x:c>
      <x:c r="C1378" s="31" t="n">
        <x:v>350525</x:v>
      </x:c>
      <x:c r="D1378" s="22" t="str">
        <x:v>永春县</x:v>
      </x:c>
      <x:c r="E1378" s="22" t="str">
        <x:v>建设用地</x:v>
      </x:c>
      <x:c r="F1378" s="22" t="str">
        <x:v>公共管理与公共服务用地</x:v>
      </x:c>
      <x:c r="G1378" s="32" t="str">
        <x:v>08H1</x:v>
      </x:c>
      <x:c r="H1378" s="32" t="str">
        <x:v>08H1</x:v>
      </x:c>
      <x:c r="I1378" s="22" t="str">
        <x:v>机关团体新闻出版用地</x:v>
      </x:c>
      <x:c r="J1378" s="22" t="str">
        <x:v>公共服务</x:v>
      </x:c>
      <x:c r="K1378" s="32" t="str">
        <x:v>203</x:v>
      </x:c>
      <x:c r="L1378" s="22" t="str">
        <x:v>村庄范围</x:v>
      </x:c>
      <x:c r="M1378" s="33" t="n">
        <x:v>357924.7000000001</x:v>
      </x:c>
      <x:c r="N1378" s="33" t="n">
        <x:v>35.792470000000016</x:v>
      </x:c>
      <x:c r="O1378" s="22" t="str">
        <x:v>公顷</x:v>
      </x:c>
      <x:c r="P1378" s="22" t="str">
        <x:v>未提供（单期横截面）</x:v>
      </x:c>
      <x:c r="Q1378" s="23" t="n">
        <x:v>4357</x:v>
      </x:c>
    </x:row>
    <x:row r="1379">
      <x:c r="A1379" s="30" t="n">
        <x:v>350500</x:v>
      </x:c>
      <x:c r="B1379" s="22" t="str">
        <x:v>泉州市</x:v>
      </x:c>
      <x:c r="C1379" s="31" t="n">
        <x:v>350525</x:v>
      </x:c>
      <x:c r="D1379" s="22" t="str">
        <x:v>永春县</x:v>
      </x:c>
      <x:c r="E1379" s="22" t="str">
        <x:v>建设用地</x:v>
      </x:c>
      <x:c r="F1379" s="22" t="str">
        <x:v>公共管理与公共服务用地</x:v>
      </x:c>
      <x:c r="G1379" s="32" t="str">
        <x:v>08H2</x:v>
      </x:c>
      <x:c r="H1379" s="32" t="str">
        <x:v>08H2</x:v>
      </x:c>
      <x:c r="I1379" s="22" t="str">
        <x:v>科教文卫用地</x:v>
      </x:c>
      <x:c r="J1379" s="22" t="str">
        <x:v>公共服务</x:v>
      </x:c>
      <x:c r="K1379" s="32" t="str">
        <x:v>203</x:v>
      </x:c>
      <x:c r="L1379" s="22" t="str">
        <x:v>村庄范围</x:v>
      </x:c>
      <x:c r="M1379" s="33" t="n">
        <x:v>990068.5899999997</x:v>
      </x:c>
      <x:c r="N1379" s="33" t="n">
        <x:v>99.00685899999998</x:v>
      </x:c>
      <x:c r="O1379" s="22" t="str">
        <x:v>公顷</x:v>
      </x:c>
      <x:c r="P1379" s="22" t="str">
        <x:v>未提供（单期横截面）</x:v>
      </x:c>
      <x:c r="Q1379" s="23" t="n">
        <x:v>4358</x:v>
      </x:c>
    </x:row>
    <x:row r="1380">
      <x:c r="A1380" s="30" t="n">
        <x:v>350500</x:v>
      </x:c>
      <x:c r="B1380" s="22" t="str">
        <x:v>泉州市</x:v>
      </x:c>
      <x:c r="C1380" s="31" t="n">
        <x:v>350525</x:v>
      </x:c>
      <x:c r="D1380" s="22" t="str">
        <x:v>永春县</x:v>
      </x:c>
      <x:c r="E1380" s="22" t="str">
        <x:v>建设用地</x:v>
      </x:c>
      <x:c r="F1380" s="22" t="str">
        <x:v>特殊用地</x:v>
      </x:c>
      <x:c r="G1380" s="32" t="str">
        <x:v>9</x:v>
      </x:c>
      <x:c r="H1380" s="32" t="str">
        <x:v>9</x:v>
      </x:c>
      <x:c r="I1380" s="22" t="str">
        <x:v>特殊用地</x:v>
      </x:c>
      <x:c r="J1380" s="22" t="str">
        <x:v>其他建设</x:v>
      </x:c>
      <x:c r="K1380" s="32" t="str">
        <x:v>203</x:v>
      </x:c>
      <x:c r="L1380" s="22" t="str">
        <x:v>村庄范围</x:v>
      </x:c>
      <x:c r="M1380" s="33" t="n">
        <x:v>186264.67999999996</x:v>
      </x:c>
      <x:c r="N1380" s="33" t="n">
        <x:v>18.626467999999996</x:v>
      </x:c>
      <x:c r="O1380" s="22" t="str">
        <x:v>公顷</x:v>
      </x:c>
      <x:c r="P1380" s="22" t="str">
        <x:v>未提供（单期横截面）</x:v>
      </x:c>
      <x:c r="Q1380" s="23" t="n">
        <x:v>4359</x:v>
      </x:c>
    </x:row>
    <x:row r="1381">
      <x:c r="A1381" s="30" t="n">
        <x:v>350500</x:v>
      </x:c>
      <x:c r="B1381" s="22" t="str">
        <x:v>泉州市</x:v>
      </x:c>
      <x:c r="C1381" s="31" t="n">
        <x:v>350525</x:v>
      </x:c>
      <x:c r="D1381" s="22" t="str">
        <x:v>永春县</x:v>
      </x:c>
      <x:c r="E1381" s="22" t="str">
        <x:v>建设用地</x:v>
      </x:c>
      <x:c r="F1381" s="22" t="str">
        <x:v>交通运输用地</x:v>
      </x:c>
      <x:c r="G1381" s="32" t="str">
        <x:v>1004</x:v>
      </x:c>
      <x:c r="H1381" s="32" t="str">
        <x:v>1004</x:v>
      </x:c>
      <x:c r="I1381" s="22" t="str">
        <x:v>城镇村道路用地</x:v>
      </x:c>
      <x:c r="J1381" s="22" t="str">
        <x:v>交通门户</x:v>
      </x:c>
      <x:c r="K1381" s="32" t="str">
        <x:v>203</x:v>
      </x:c>
      <x:c r="L1381" s="22" t="str">
        <x:v>村庄范围</x:v>
      </x:c>
      <x:c r="M1381" s="33" t="n">
        <x:v>464181.8899999998</x:v>
      </x:c>
      <x:c r="N1381" s="33" t="n">
        <x:v>46.41818899999998</x:v>
      </x:c>
      <x:c r="O1381" s="22" t="str">
        <x:v>公顷</x:v>
      </x:c>
      <x:c r="P1381" s="22" t="str">
        <x:v>未提供（单期横截面）</x:v>
      </x:c>
      <x:c r="Q1381" s="23" t="n">
        <x:v>4360</x:v>
      </x:c>
    </x:row>
    <x:row r="1382">
      <x:c r="A1382" s="30" t="n">
        <x:v>350500</x:v>
      </x:c>
      <x:c r="B1382" s="22" t="str">
        <x:v>泉州市</x:v>
      </x:c>
      <x:c r="C1382" s="31" t="n">
        <x:v>350525</x:v>
      </x:c>
      <x:c r="D1382" s="22" t="str">
        <x:v>永春县</x:v>
      </x:c>
      <x:c r="E1382" s="22" t="str">
        <x:v>建设用地</x:v>
      </x:c>
      <x:c r="F1382" s="22" t="str">
        <x:v>交通运输用地</x:v>
      </x:c>
      <x:c r="G1382" s="32" t="str">
        <x:v>1005</x:v>
      </x:c>
      <x:c r="H1382" s="32" t="str">
        <x:v>1005</x:v>
      </x:c>
      <x:c r="I1382" s="22" t="str">
        <x:v>交通服务场站用地</x:v>
      </x:c>
      <x:c r="J1382" s="22" t="str">
        <x:v>交通门户</x:v>
      </x:c>
      <x:c r="K1382" s="32" t="str">
        <x:v>203</x:v>
      </x:c>
      <x:c r="L1382" s="22" t="str">
        <x:v>村庄范围</x:v>
      </x:c>
      <x:c r="M1382" s="33" t="n">
        <x:v>244452.26999999987</x:v>
      </x:c>
      <x:c r="N1382" s="33" t="n">
        <x:v>24.44522699999999</x:v>
      </x:c>
      <x:c r="O1382" s="22" t="str">
        <x:v>公顷</x:v>
      </x:c>
      <x:c r="P1382" s="22" t="str">
        <x:v>未提供（单期横截面）</x:v>
      </x:c>
      <x:c r="Q1382" s="23" t="n">
        <x:v>4361</x:v>
      </x:c>
    </x:row>
    <x:row r="1383">
      <x:c r="A1383" s="30" t="n">
        <x:v>350500</x:v>
      </x:c>
      <x:c r="B1383" s="22" t="str">
        <x:v>泉州市</x:v>
      </x:c>
      <x:c r="C1383" s="31" t="n">
        <x:v>350525</x:v>
      </x:c>
      <x:c r="D1383" s="22" t="str">
        <x:v>永春县</x:v>
      </x:c>
      <x:c r="E1383" s="22" t="str">
        <x:v>建设用地</x:v>
      </x:c>
      <x:c r="F1383" s="22" t="str">
        <x:v>水域及水利设施</x:v>
      </x:c>
      <x:c r="G1383" s="32" t="str">
        <x:v>1109</x:v>
      </x:c>
      <x:c r="H1383" s="32" t="str">
        <x:v>1109</x:v>
      </x:c>
      <x:c r="I1383" s="22" t="str">
        <x:v>水工建筑用地</x:v>
      </x:c>
      <x:c r="J1383" s="22" t="str">
        <x:v>其他建设</x:v>
      </x:c>
      <x:c r="K1383" s="32" t="str">
        <x:v>203</x:v>
      </x:c>
      <x:c r="L1383" s="22" t="str">
        <x:v>村庄范围</x:v>
      </x:c>
      <x:c r="M1383" s="33" t="n">
        <x:v>15224.14</x:v>
      </x:c>
      <x:c r="N1383" s="33" t="n">
        <x:v>1.522414</x:v>
      </x:c>
      <x:c r="O1383" s="22" t="str">
        <x:v>公顷</x:v>
      </x:c>
      <x:c r="P1383" s="22" t="str">
        <x:v>未提供（单期横截面）</x:v>
      </x:c>
      <x:c r="Q1383" s="23" t="n">
        <x:v>4362</x:v>
      </x:c>
    </x:row>
    <x:row r="1384">
      <x:c r="A1384" s="30" t="n">
        <x:v>350500</x:v>
      </x:c>
      <x:c r="B1384" s="22" t="str">
        <x:v>泉州市</x:v>
      </x:c>
      <x:c r="C1384" s="31" t="n">
        <x:v>350525</x:v>
      </x:c>
      <x:c r="D1384" s="22" t="str">
        <x:v>永春县</x:v>
      </x:c>
      <x:c r="E1384" s="22" t="str">
        <x:v>建设用地</x:v>
      </x:c>
      <x:c r="F1384" s="22" t="str">
        <x:v>工矿仓储用地</x:v>
      </x:c>
      <x:c r="G1384" s="32" t="str">
        <x:v>602</x:v>
      </x:c>
      <x:c r="H1384" s="32" t="str">
        <x:v>602</x:v>
      </x:c>
      <x:c r="I1384" s="22" t="str">
        <x:v>采矿用地</x:v>
      </x:c>
      <x:c r="J1384" s="22" t="str">
        <x:v>产业功能</x:v>
      </x:c>
      <x:c r="K1384" s="32" t="str">
        <x:v>204</x:v>
      </x:c>
      <x:c r="L1384" s="22" t="str">
        <x:v>盐田及采矿用地</x:v>
      </x:c>
      <x:c r="M1384" s="33" t="n">
        <x:v>5971925.680000006</x:v>
      </x:c>
      <x:c r="N1384" s="33" t="n">
        <x:v>597.1925680000006</x:v>
      </x:c>
      <x:c r="O1384" s="22" t="str">
        <x:v>公顷</x:v>
      </x:c>
      <x:c r="P1384" s="22" t="str">
        <x:v>未提供（单期横截面）</x:v>
      </x:c>
      <x:c r="Q1384" s="23" t="n">
        <x:v>4363</x:v>
      </x:c>
    </x:row>
    <x:row r="1385">
      <x:c r="A1385" s="30" t="n">
        <x:v>350500</x:v>
      </x:c>
      <x:c r="B1385" s="22" t="str">
        <x:v>泉州市</x:v>
      </x:c>
      <x:c r="C1385" s="31" t="n">
        <x:v>350525</x:v>
      </x:c>
      <x:c r="D1385" s="22" t="str">
        <x:v>永春县</x:v>
      </x:c>
      <x:c r="E1385" s="22" t="str">
        <x:v>建设用地</x:v>
      </x:c>
      <x:c r="F1385" s="22" t="str">
        <x:v>特殊用地</x:v>
      </x:c>
      <x:c r="G1385" s="32" t="str">
        <x:v>9</x:v>
      </x:c>
      <x:c r="H1385" s="32" t="str">
        <x:v>9</x:v>
      </x:c>
      <x:c r="I1385" s="22" t="str">
        <x:v>特殊用地</x:v>
      </x:c>
      <x:c r="J1385" s="22" t="str">
        <x:v>其他建设</x:v>
      </x:c>
      <x:c r="K1385" s="32" t="str">
        <x:v>205</x:v>
      </x:c>
      <x:c r="L1385" s="22" t="str">
        <x:v>特殊用地</x:v>
      </x:c>
      <x:c r="M1385" s="33" t="n">
        <x:v>1398017.5799999996</x:v>
      </x:c>
      <x:c r="N1385" s="33" t="n">
        <x:v>139.80175799999995</x:v>
      </x:c>
      <x:c r="O1385" s="22" t="str">
        <x:v>公顷</x:v>
      </x:c>
      <x:c r="P1385" s="22" t="str">
        <x:v>未提供（单期横截面）</x:v>
      </x:c>
      <x:c r="Q1385" s="23" t="n">
        <x:v>4364</x:v>
      </x:c>
    </x:row>
    <x:row r="1386">
      <x:c r="A1386" s="30" t="n">
        <x:v>350500</x:v>
      </x:c>
      <x:c r="B1386" s="22" t="str">
        <x:v>泉州市</x:v>
      </x:c>
      <x:c r="C1386" s="31" t="n">
        <x:v>350525</x:v>
      </x:c>
      <x:c r="D1386" s="22" t="str">
        <x:v>永春县</x:v>
      </x:c>
      <x:c r="E1386" s="22" t="str">
        <x:v>农用地</x:v>
      </x:c>
      <x:c r="F1386" s="22" t="str">
        <x:v>耕地</x:v>
      </x:c>
      <x:c r="G1386" s="32" t="str">
        <x:v>101</x:v>
      </x:c>
      <x:c r="H1386" s="32" t="str">
        <x:v>101</x:v>
      </x:c>
      <x:c r="I1386" s="22" t="str">
        <x:v>水田</x:v>
      </x:c>
      <x:c r="J1386" s="22" t="str">
        <x:v>农业生态</x:v>
      </x:c>
      <x:c r="K1386" s="32" t="str"/>
      <x:c r="L1386" s="22" t="str">
        <x:v>不适用/未标注</x:v>
      </x:c>
      <x:c r="M1386" s="33" t="n">
        <x:v>141651384.75999957</x:v>
      </x:c>
      <x:c r="N1386" s="33" t="n">
        <x:v>14165.138475999956</x:v>
      </x:c>
      <x:c r="O1386" s="22" t="str">
        <x:v>公顷</x:v>
      </x:c>
      <x:c r="P1386" s="22" t="str">
        <x:v>未提供（单期横截面）</x:v>
      </x:c>
      <x:c r="Q1386" s="23" t="n">
        <x:v>4365</x:v>
      </x:c>
    </x:row>
    <x:row r="1387">
      <x:c r="A1387" s="30" t="n">
        <x:v>350500</x:v>
      </x:c>
      <x:c r="B1387" s="22" t="str">
        <x:v>泉州市</x:v>
      </x:c>
      <x:c r="C1387" s="31" t="n">
        <x:v>350525</x:v>
      </x:c>
      <x:c r="D1387" s="22" t="str">
        <x:v>永春县</x:v>
      </x:c>
      <x:c r="E1387" s="22" t="str">
        <x:v>农用地</x:v>
      </x:c>
      <x:c r="F1387" s="22" t="str">
        <x:v>耕地</x:v>
      </x:c>
      <x:c r="G1387" s="32" t="str">
        <x:v>102</x:v>
      </x:c>
      <x:c r="H1387" s="32" t="str">
        <x:v>102</x:v>
      </x:c>
      <x:c r="I1387" s="22" t="str">
        <x:v>水浇地</x:v>
      </x:c>
      <x:c r="J1387" s="22" t="str">
        <x:v>农业生态</x:v>
      </x:c>
      <x:c r="K1387" s="32" t="str"/>
      <x:c r="L1387" s="22" t="str">
        <x:v>不适用/未标注</x:v>
      </x:c>
      <x:c r="M1387" s="33" t="n">
        <x:v>3115631.260000002</x:v>
      </x:c>
      <x:c r="N1387" s="33" t="n">
        <x:v>311.56312600000024</x:v>
      </x:c>
      <x:c r="O1387" s="22" t="str">
        <x:v>公顷</x:v>
      </x:c>
      <x:c r="P1387" s="22" t="str">
        <x:v>未提供（单期横截面）</x:v>
      </x:c>
      <x:c r="Q1387" s="23" t="n">
        <x:v>4366</x:v>
      </x:c>
    </x:row>
    <x:row r="1388">
      <x:c r="A1388" s="30" t="n">
        <x:v>350500</x:v>
      </x:c>
      <x:c r="B1388" s="22" t="str">
        <x:v>泉州市</x:v>
      </x:c>
      <x:c r="C1388" s="31" t="n">
        <x:v>350525</x:v>
      </x:c>
      <x:c r="D1388" s="22" t="str">
        <x:v>永春县</x:v>
      </x:c>
      <x:c r="E1388" s="22" t="str">
        <x:v>农用地</x:v>
      </x:c>
      <x:c r="F1388" s="22" t="str">
        <x:v>耕地</x:v>
      </x:c>
      <x:c r="G1388" s="32" t="str">
        <x:v>103</x:v>
      </x:c>
      <x:c r="H1388" s="32" t="str">
        <x:v>103</x:v>
      </x:c>
      <x:c r="I1388" s="22" t="str">
        <x:v>旱地</x:v>
      </x:c>
      <x:c r="J1388" s="22" t="str">
        <x:v>农业生态</x:v>
      </x:c>
      <x:c r="K1388" s="32" t="str"/>
      <x:c r="L1388" s="22" t="str">
        <x:v>不适用/未标注</x:v>
      </x:c>
      <x:c r="M1388" s="33" t="n">
        <x:v>21326361.540000077</x:v>
      </x:c>
      <x:c r="N1388" s="33" t="n">
        <x:v>2132.6361540000075</x:v>
      </x:c>
      <x:c r="O1388" s="22" t="str">
        <x:v>公顷</x:v>
      </x:c>
      <x:c r="P1388" s="22" t="str">
        <x:v>未提供（单期横截面）</x:v>
      </x:c>
      <x:c r="Q1388" s="23" t="n">
        <x:v>4367</x:v>
      </x:c>
    </x:row>
    <x:row r="1389">
      <x:c r="A1389" s="30" t="n">
        <x:v>350500</x:v>
      </x:c>
      <x:c r="B1389" s="22" t="str">
        <x:v>泉州市</x:v>
      </x:c>
      <x:c r="C1389" s="31" t="n">
        <x:v>350525</x:v>
      </x:c>
      <x:c r="D1389" s="22" t="str">
        <x:v>永春县</x:v>
      </x:c>
      <x:c r="E1389" s="22" t="str">
        <x:v>农用地</x:v>
      </x:c>
      <x:c r="F1389" s="22" t="str">
        <x:v>园地</x:v>
      </x:c>
      <x:c r="G1389" s="32" t="str">
        <x:v>201</x:v>
      </x:c>
      <x:c r="H1389" s="32" t="str">
        <x:v>201</x:v>
      </x:c>
      <x:c r="I1389" s="22" t="str">
        <x:v>果园</x:v>
      </x:c>
      <x:c r="J1389" s="22" t="str">
        <x:v>农业生态</x:v>
      </x:c>
      <x:c r="K1389" s="32" t="str"/>
      <x:c r="L1389" s="22" t="str">
        <x:v>不适用/未标注</x:v>
      </x:c>
      <x:c r="M1389" s="33" t="n">
        <x:v>115241960.10999995</x:v>
      </x:c>
      <x:c r="N1389" s="33" t="n">
        <x:v>11524.196010999996</x:v>
      </x:c>
      <x:c r="O1389" s="22" t="str">
        <x:v>公顷</x:v>
      </x:c>
      <x:c r="P1389" s="22" t="str">
        <x:v>未提供（单期横截面）</x:v>
      </x:c>
      <x:c r="Q1389" s="23" t="n">
        <x:v>4368</x:v>
      </x:c>
    </x:row>
    <x:row r="1390">
      <x:c r="A1390" s="30" t="n">
        <x:v>350500</x:v>
      </x:c>
      <x:c r="B1390" s="22" t="str">
        <x:v>泉州市</x:v>
      </x:c>
      <x:c r="C1390" s="31" t="n">
        <x:v>350525</x:v>
      </x:c>
      <x:c r="D1390" s="22" t="str">
        <x:v>永春县</x:v>
      </x:c>
      <x:c r="E1390" s="22" t="str">
        <x:v>农用地</x:v>
      </x:c>
      <x:c r="F1390" s="22" t="str">
        <x:v>园地</x:v>
      </x:c>
      <x:c r="G1390" s="32" t="str">
        <x:v>0201K</x:v>
      </x:c>
      <x:c r="H1390" s="32" t="str">
        <x:v>201</x:v>
      </x:c>
      <x:c r="I1390" s="22" t="str">
        <x:v>可调整果园</x:v>
      </x:c>
      <x:c r="J1390" s="22" t="str">
        <x:v>农业生态</x:v>
      </x:c>
      <x:c r="K1390" s="32" t="str"/>
      <x:c r="L1390" s="22" t="str">
        <x:v>不适用/未标注</x:v>
      </x:c>
      <x:c r="M1390" s="33" t="n">
        <x:v>5496021.800000002</x:v>
      </x:c>
      <x:c r="N1390" s="33" t="n">
        <x:v>549.6021800000002</x:v>
      </x:c>
      <x:c r="O1390" s="22" t="str">
        <x:v>公顷</x:v>
      </x:c>
      <x:c r="P1390" s="22" t="str">
        <x:v>未提供（单期横截面）</x:v>
      </x:c>
      <x:c r="Q1390" s="23" t="n">
        <x:v>4369</x:v>
      </x:c>
    </x:row>
    <x:row r="1391">
      <x:c r="A1391" s="30" t="n">
        <x:v>350500</x:v>
      </x:c>
      <x:c r="B1391" s="22" t="str">
        <x:v>泉州市</x:v>
      </x:c>
      <x:c r="C1391" s="31" t="n">
        <x:v>350525</x:v>
      </x:c>
      <x:c r="D1391" s="22" t="str">
        <x:v>永春县</x:v>
      </x:c>
      <x:c r="E1391" s="22" t="str">
        <x:v>农用地</x:v>
      </x:c>
      <x:c r="F1391" s="22" t="str">
        <x:v>园地</x:v>
      </x:c>
      <x:c r="G1391" s="32" t="str">
        <x:v>202</x:v>
      </x:c>
      <x:c r="H1391" s="32" t="str">
        <x:v>202</x:v>
      </x:c>
      <x:c r="I1391" s="22" t="str">
        <x:v>茶园</x:v>
      </x:c>
      <x:c r="J1391" s="22" t="str">
        <x:v>农业生态</x:v>
      </x:c>
      <x:c r="K1391" s="32" t="str"/>
      <x:c r="L1391" s="22" t="str">
        <x:v>不适用/未标注</x:v>
      </x:c>
      <x:c r="M1391" s="33" t="n">
        <x:v>64719944.58999994</x:v>
      </x:c>
      <x:c r="N1391" s="33" t="n">
        <x:v>6471.994458999994</x:v>
      </x:c>
      <x:c r="O1391" s="22" t="str">
        <x:v>公顷</x:v>
      </x:c>
      <x:c r="P1391" s="22" t="str">
        <x:v>未提供（单期横截面）</x:v>
      </x:c>
      <x:c r="Q1391" s="23" t="n">
        <x:v>4370</x:v>
      </x:c>
    </x:row>
    <x:row r="1392">
      <x:c r="A1392" s="30" t="n">
        <x:v>350500</x:v>
      </x:c>
      <x:c r="B1392" s="22" t="str">
        <x:v>泉州市</x:v>
      </x:c>
      <x:c r="C1392" s="31" t="n">
        <x:v>350525</x:v>
      </x:c>
      <x:c r="D1392" s="22" t="str">
        <x:v>永春县</x:v>
      </x:c>
      <x:c r="E1392" s="22" t="str">
        <x:v>农用地</x:v>
      </x:c>
      <x:c r="F1392" s="22" t="str">
        <x:v>园地</x:v>
      </x:c>
      <x:c r="G1392" s="32" t="str">
        <x:v>0202K</x:v>
      </x:c>
      <x:c r="H1392" s="32" t="str">
        <x:v>0202</x:v>
      </x:c>
      <x:c r="I1392" s="22" t="str">
        <x:v>可调整茶园</x:v>
      </x:c>
      <x:c r="J1392" s="22" t="str">
        <x:v>农业生态</x:v>
      </x:c>
      <x:c r="K1392" s="32" t="str"/>
      <x:c r="L1392" s="22" t="str">
        <x:v>不适用/未标注</x:v>
      </x:c>
      <x:c r="M1392" s="33" t="n">
        <x:v>2225808.229999999</x:v>
      </x:c>
      <x:c r="N1392" s="33" t="n">
        <x:v>222.5808229999999</x:v>
      </x:c>
      <x:c r="O1392" s="22" t="str">
        <x:v>公顷</x:v>
      </x:c>
      <x:c r="P1392" s="22" t="str">
        <x:v>未提供（单期横截面）</x:v>
      </x:c>
      <x:c r="Q1392" s="23" t="n">
        <x:v>4371</x:v>
      </x:c>
    </x:row>
    <x:row r="1393">
      <x:c r="A1393" s="30" t="n">
        <x:v>350500</x:v>
      </x:c>
      <x:c r="B1393" s="22" t="str">
        <x:v>泉州市</x:v>
      </x:c>
      <x:c r="C1393" s="31" t="n">
        <x:v>350525</x:v>
      </x:c>
      <x:c r="D1393" s="22" t="str">
        <x:v>永春县</x:v>
      </x:c>
      <x:c r="E1393" s="22" t="str">
        <x:v>农用地</x:v>
      </x:c>
      <x:c r="F1393" s="22" t="str">
        <x:v>园地</x:v>
      </x:c>
      <x:c r="G1393" s="32" t="str">
        <x:v>204</x:v>
      </x:c>
      <x:c r="H1393" s="32" t="str">
        <x:v>204</x:v>
      </x:c>
      <x:c r="I1393" s="22" t="str">
        <x:v>其他园地</x:v>
      </x:c>
      <x:c r="J1393" s="22" t="str">
        <x:v>农业生态</x:v>
      </x:c>
      <x:c r="K1393" s="32" t="str"/>
      <x:c r="L1393" s="22" t="str">
        <x:v>不适用/未标注</x:v>
      </x:c>
      <x:c r="M1393" s="33" t="n">
        <x:v>11289697.32999999</x:v>
      </x:c>
      <x:c r="N1393" s="33" t="n">
        <x:v>1128.969732999999</x:v>
      </x:c>
      <x:c r="O1393" s="22" t="str">
        <x:v>公顷</x:v>
      </x:c>
      <x:c r="P1393" s="22" t="str">
        <x:v>未提供（单期横截面）</x:v>
      </x:c>
      <x:c r="Q1393" s="23" t="n">
        <x:v>4372</x:v>
      </x:c>
    </x:row>
    <x:row r="1394">
      <x:c r="A1394" s="30" t="n">
        <x:v>350500</x:v>
      </x:c>
      <x:c r="B1394" s="22" t="str">
        <x:v>泉州市</x:v>
      </x:c>
      <x:c r="C1394" s="31" t="n">
        <x:v>350525</x:v>
      </x:c>
      <x:c r="D1394" s="22" t="str">
        <x:v>永春县</x:v>
      </x:c>
      <x:c r="E1394" s="22" t="str">
        <x:v>农用地</x:v>
      </x:c>
      <x:c r="F1394" s="22" t="str">
        <x:v>园地</x:v>
      </x:c>
      <x:c r="G1394" s="32" t="str">
        <x:v>0204K</x:v>
      </x:c>
      <x:c r="H1394" s="32" t="str">
        <x:v>0204</x:v>
      </x:c>
      <x:c r="I1394" s="22" t="str">
        <x:v>可调整其他园地</x:v>
      </x:c>
      <x:c r="J1394" s="22" t="str">
        <x:v>农业生态</x:v>
      </x:c>
      <x:c r="K1394" s="32" t="str"/>
      <x:c r="L1394" s="22" t="str">
        <x:v>不适用/未标注</x:v>
      </x:c>
      <x:c r="M1394" s="33" t="n">
        <x:v>9859.94</x:v>
      </x:c>
      <x:c r="N1394" s="33" t="n">
        <x:v>0.985994</x:v>
      </x:c>
      <x:c r="O1394" s="22" t="str">
        <x:v>公顷</x:v>
      </x:c>
      <x:c r="P1394" s="22" t="str">
        <x:v>未提供（单期横截面）</x:v>
      </x:c>
      <x:c r="Q1394" s="23" t="n">
        <x:v>4373</x:v>
      </x:c>
    </x:row>
    <x:row r="1395">
      <x:c r="A1395" s="30" t="n">
        <x:v>350500</x:v>
      </x:c>
      <x:c r="B1395" s="22" t="str">
        <x:v>泉州市</x:v>
      </x:c>
      <x:c r="C1395" s="31" t="n">
        <x:v>350525</x:v>
      </x:c>
      <x:c r="D1395" s="22" t="str">
        <x:v>永春县</x:v>
      </x:c>
      <x:c r="E1395" s="22" t="str">
        <x:v>农用地</x:v>
      </x:c>
      <x:c r="F1395" s="22" t="str">
        <x:v>林地</x:v>
      </x:c>
      <x:c r="G1395" s="32" t="str">
        <x:v>301</x:v>
      </x:c>
      <x:c r="H1395" s="32" t="str">
        <x:v>301</x:v>
      </x:c>
      <x:c r="I1395" s="22" t="str">
        <x:v>乔木林地</x:v>
      </x:c>
      <x:c r="J1395" s="22" t="str">
        <x:v>农业生态</x:v>
      </x:c>
      <x:c r="K1395" s="32" t="str"/>
      <x:c r="L1395" s="22" t="str">
        <x:v>不适用/未标注</x:v>
      </x:c>
      <x:c r="M1395" s="33" t="n">
        <x:v>720639288.7699991</x:v>
      </x:c>
      <x:c r="N1395" s="33" t="n">
        <x:v>72063.92887699991</x:v>
      </x:c>
      <x:c r="O1395" s="22" t="str">
        <x:v>公顷</x:v>
      </x:c>
      <x:c r="P1395" s="22" t="str">
        <x:v>未提供（单期横截面）</x:v>
      </x:c>
      <x:c r="Q1395" s="23" t="n">
        <x:v>4374</x:v>
      </x:c>
    </x:row>
    <x:row r="1396">
      <x:c r="A1396" s="30" t="n">
        <x:v>350500</x:v>
      </x:c>
      <x:c r="B1396" s="22" t="str">
        <x:v>泉州市</x:v>
      </x:c>
      <x:c r="C1396" s="31" t="n">
        <x:v>350525</x:v>
      </x:c>
      <x:c r="D1396" s="22" t="str">
        <x:v>永春县</x:v>
      </x:c>
      <x:c r="E1396" s="22" t="str">
        <x:v>农用地</x:v>
      </x:c>
      <x:c r="F1396" s="22" t="str">
        <x:v>林地</x:v>
      </x:c>
      <x:c r="G1396" s="32" t="str">
        <x:v>0301K</x:v>
      </x:c>
      <x:c r="H1396" s="32" t="str">
        <x:v>0301</x:v>
      </x:c>
      <x:c r="I1396" s="22" t="str">
        <x:v>可调整乔木林地</x:v>
      </x:c>
      <x:c r="J1396" s="22" t="str">
        <x:v>农业生态</x:v>
      </x:c>
      <x:c r="K1396" s="32" t="str"/>
      <x:c r="L1396" s="22" t="str">
        <x:v>不适用/未标注</x:v>
      </x:c>
      <x:c r="M1396" s="33" t="n">
        <x:v>53456.84999999999</x:v>
      </x:c>
      <x:c r="N1396" s="33" t="n">
        <x:v>5.345684999999999</x:v>
      </x:c>
      <x:c r="O1396" s="22" t="str">
        <x:v>公顷</x:v>
      </x:c>
      <x:c r="P1396" s="22" t="str">
        <x:v>未提供（单期横截面）</x:v>
      </x:c>
      <x:c r="Q1396" s="23" t="n">
        <x:v>4375</x:v>
      </x:c>
    </x:row>
    <x:row r="1397">
      <x:c r="A1397" s="30" t="n">
        <x:v>350500</x:v>
      </x:c>
      <x:c r="B1397" s="22" t="str">
        <x:v>泉州市</x:v>
      </x:c>
      <x:c r="C1397" s="31" t="n">
        <x:v>350525</x:v>
      </x:c>
      <x:c r="D1397" s="22" t="str">
        <x:v>永春县</x:v>
      </x:c>
      <x:c r="E1397" s="22" t="str">
        <x:v>农用地</x:v>
      </x:c>
      <x:c r="F1397" s="22" t="str">
        <x:v>林地</x:v>
      </x:c>
      <x:c r="G1397" s="32" t="str">
        <x:v>302</x:v>
      </x:c>
      <x:c r="H1397" s="32" t="str">
        <x:v>302</x:v>
      </x:c>
      <x:c r="I1397" s="22" t="str">
        <x:v>竹林地</x:v>
      </x:c>
      <x:c r="J1397" s="22" t="str">
        <x:v>农业生态</x:v>
      </x:c>
      <x:c r="K1397" s="32" t="str"/>
      <x:c r="L1397" s="22" t="str">
        <x:v>不适用/未标注</x:v>
      </x:c>
      <x:c r="M1397" s="33" t="n">
        <x:v>107847807.7299997</x:v>
      </x:c>
      <x:c r="N1397" s="33" t="n">
        <x:v>10784.780772999971</x:v>
      </x:c>
      <x:c r="O1397" s="22" t="str">
        <x:v>公顷</x:v>
      </x:c>
      <x:c r="P1397" s="22" t="str">
        <x:v>未提供（单期横截面）</x:v>
      </x:c>
      <x:c r="Q1397" s="23" t="n">
        <x:v>4376</x:v>
      </x:c>
    </x:row>
    <x:row r="1398">
      <x:c r="A1398" s="30" t="n">
        <x:v>350500</x:v>
      </x:c>
      <x:c r="B1398" s="22" t="str">
        <x:v>泉州市</x:v>
      </x:c>
      <x:c r="C1398" s="31" t="n">
        <x:v>350525</x:v>
      </x:c>
      <x:c r="D1398" s="22" t="str">
        <x:v>永春县</x:v>
      </x:c>
      <x:c r="E1398" s="22" t="str">
        <x:v>农用地</x:v>
      </x:c>
      <x:c r="F1398" s="22" t="str">
        <x:v>林地</x:v>
      </x:c>
      <x:c r="G1398" s="32" t="str">
        <x:v>305</x:v>
      </x:c>
      <x:c r="H1398" s="32" t="str">
        <x:v>305</x:v>
      </x:c>
      <x:c r="I1398" s="22" t="str">
        <x:v>灌木林地</x:v>
      </x:c>
      <x:c r="J1398" s="22" t="str">
        <x:v>农业生态</x:v>
      </x:c>
      <x:c r="K1398" s="32" t="str"/>
      <x:c r="L1398" s="22" t="str">
        <x:v>不适用/未标注</x:v>
      </x:c>
      <x:c r="M1398" s="33" t="n">
        <x:v>14115225.13999997</x:v>
      </x:c>
      <x:c r="N1398" s="33" t="n">
        <x:v>1411.522513999997</x:v>
      </x:c>
      <x:c r="O1398" s="22" t="str">
        <x:v>公顷</x:v>
      </x:c>
      <x:c r="P1398" s="22" t="str">
        <x:v>未提供（单期横截面）</x:v>
      </x:c>
      <x:c r="Q1398" s="23" t="n">
        <x:v>4377</x:v>
      </x:c>
    </x:row>
    <x:row r="1399">
      <x:c r="A1399" s="30" t="n">
        <x:v>350500</x:v>
      </x:c>
      <x:c r="B1399" s="22" t="str">
        <x:v>泉州市</x:v>
      </x:c>
      <x:c r="C1399" s="31" t="n">
        <x:v>350525</x:v>
      </x:c>
      <x:c r="D1399" s="22" t="str">
        <x:v>永春县</x:v>
      </x:c>
      <x:c r="E1399" s="22" t="str">
        <x:v>农用地</x:v>
      </x:c>
      <x:c r="F1399" s="22" t="str">
        <x:v>林地</x:v>
      </x:c>
      <x:c r="G1399" s="32" t="str">
        <x:v>307</x:v>
      </x:c>
      <x:c r="H1399" s="32" t="str">
        <x:v>307</x:v>
      </x:c>
      <x:c r="I1399" s="22" t="str">
        <x:v>其他林地</x:v>
      </x:c>
      <x:c r="J1399" s="22" t="str">
        <x:v>农业生态</x:v>
      </x:c>
      <x:c r="K1399" s="32" t="str"/>
      <x:c r="L1399" s="22" t="str">
        <x:v>不适用/未标注</x:v>
      </x:c>
      <x:c r="M1399" s="33" t="n">
        <x:v>94878524.96999986</x:v>
      </x:c>
      <x:c r="N1399" s="33" t="n">
        <x:v>9487.852496999987</x:v>
      </x:c>
      <x:c r="O1399" s="22" t="str">
        <x:v>公顷</x:v>
      </x:c>
      <x:c r="P1399" s="22" t="str">
        <x:v>未提供（单期横截面）</x:v>
      </x:c>
      <x:c r="Q1399" s="23" t="n">
        <x:v>4378</x:v>
      </x:c>
    </x:row>
    <x:row r="1400">
      <x:c r="A1400" s="30" t="n">
        <x:v>350500</x:v>
      </x:c>
      <x:c r="B1400" s="22" t="str">
        <x:v>泉州市</x:v>
      </x:c>
      <x:c r="C1400" s="31" t="n">
        <x:v>350525</x:v>
      </x:c>
      <x:c r="D1400" s="22" t="str">
        <x:v>永春县</x:v>
      </x:c>
      <x:c r="E1400" s="22" t="str">
        <x:v>农用地</x:v>
      </x:c>
      <x:c r="F1400" s="22" t="str">
        <x:v>林地</x:v>
      </x:c>
      <x:c r="G1400" s="32" t="str">
        <x:v>0307K</x:v>
      </x:c>
      <x:c r="H1400" s="32" t="str">
        <x:v>0307</x:v>
      </x:c>
      <x:c r="I1400" s="22" t="str">
        <x:v>可调整其他林地</x:v>
      </x:c>
      <x:c r="J1400" s="22" t="str">
        <x:v>农业生态</x:v>
      </x:c>
      <x:c r="K1400" s="32" t="str"/>
      <x:c r="L1400" s="22" t="str">
        <x:v>不适用/未标注</x:v>
      </x:c>
      <x:c r="M1400" s="33" t="n">
        <x:v>12073.04</x:v>
      </x:c>
      <x:c r="N1400" s="33" t="n">
        <x:v>1.2073040000000002</x:v>
      </x:c>
      <x:c r="O1400" s="22" t="str">
        <x:v>公顷</x:v>
      </x:c>
      <x:c r="P1400" s="22" t="str">
        <x:v>未提供（单期横截面）</x:v>
      </x:c>
      <x:c r="Q1400" s="23" t="n">
        <x:v>4379</x:v>
      </x:c>
    </x:row>
    <x:row r="1401">
      <x:c r="A1401" s="30" t="n">
        <x:v>350500</x:v>
      </x:c>
      <x:c r="B1401" s="22" t="str">
        <x:v>泉州市</x:v>
      </x:c>
      <x:c r="C1401" s="31" t="n">
        <x:v>350525</x:v>
      </x:c>
      <x:c r="D1401" s="22" t="str">
        <x:v>永春县</x:v>
      </x:c>
      <x:c r="E1401" s="22" t="str">
        <x:v>农用地</x:v>
      </x:c>
      <x:c r="F1401" s="22" t="str">
        <x:v>其他农用地</x:v>
      </x:c>
      <x:c r="G1401" s="32" t="str">
        <x:v>1006</x:v>
      </x:c>
      <x:c r="H1401" s="32" t="str">
        <x:v>1006</x:v>
      </x:c>
      <x:c r="I1401" s="22" t="str">
        <x:v>农村道路</x:v>
      </x:c>
      <x:c r="J1401" s="22" t="str">
        <x:v>农业生态</x:v>
      </x:c>
      <x:c r="K1401" s="32" t="str"/>
      <x:c r="L1401" s="22" t="str">
        <x:v>不适用/未标注</x:v>
      </x:c>
      <x:c r="M1401" s="33" t="n">
        <x:v>11859562.430000002</x:v>
      </x:c>
      <x:c r="N1401" s="33" t="n">
        <x:v>1185.956243</x:v>
      </x:c>
      <x:c r="O1401" s="22" t="str">
        <x:v>公顷</x:v>
      </x:c>
      <x:c r="P1401" s="22" t="str">
        <x:v>未提供（单期横截面）</x:v>
      </x:c>
      <x:c r="Q1401" s="23" t="n">
        <x:v>4380</x:v>
      </x:c>
    </x:row>
    <x:row r="1402">
      <x:c r="A1402" s="30" t="n">
        <x:v>350500</x:v>
      </x:c>
      <x:c r="B1402" s="22" t="str">
        <x:v>泉州市</x:v>
      </x:c>
      <x:c r="C1402" s="31" t="n">
        <x:v>350525</x:v>
      </x:c>
      <x:c r="D1402" s="22" t="str">
        <x:v>永春县</x:v>
      </x:c>
      <x:c r="E1402" s="22" t="str">
        <x:v>农用地</x:v>
      </x:c>
      <x:c r="F1402" s="22" t="str">
        <x:v>水域及水利设施</x:v>
      </x:c>
      <x:c r="G1402" s="32" t="str">
        <x:v>1103</x:v>
      </x:c>
      <x:c r="H1402" s="32" t="str">
        <x:v>1103</x:v>
      </x:c>
      <x:c r="I1402" s="22" t="str">
        <x:v>水库水面</x:v>
      </x:c>
      <x:c r="J1402" s="22" t="str">
        <x:v>农业生态</x:v>
      </x:c>
      <x:c r="K1402" s="32" t="str"/>
      <x:c r="L1402" s="22" t="str">
        <x:v>不适用/未标注</x:v>
      </x:c>
      <x:c r="M1402" s="33" t="n">
        <x:v>1522038.9500000002</x:v>
      </x:c>
      <x:c r="N1402" s="33" t="n">
        <x:v>152.20389500000002</x:v>
      </x:c>
      <x:c r="O1402" s="22" t="str">
        <x:v>公顷</x:v>
      </x:c>
      <x:c r="P1402" s="22" t="str">
        <x:v>未提供（单期横截面）</x:v>
      </x:c>
      <x:c r="Q1402" s="23" t="n">
        <x:v>4381</x:v>
      </x:c>
    </x:row>
    <x:row r="1403">
      <x:c r="A1403" s="30" t="n">
        <x:v>350500</x:v>
      </x:c>
      <x:c r="B1403" s="22" t="str">
        <x:v>泉州市</x:v>
      </x:c>
      <x:c r="C1403" s="31" t="n">
        <x:v>350525</x:v>
      </x:c>
      <x:c r="D1403" s="22" t="str">
        <x:v>永春县</x:v>
      </x:c>
      <x:c r="E1403" s="22" t="str">
        <x:v>农用地</x:v>
      </x:c>
      <x:c r="F1403" s="22" t="str">
        <x:v>水域及水利设施</x:v>
      </x:c>
      <x:c r="G1403" s="32" t="str">
        <x:v>1104</x:v>
      </x:c>
      <x:c r="H1403" s="32" t="str">
        <x:v>1104</x:v>
      </x:c>
      <x:c r="I1403" s="22" t="str">
        <x:v>坑塘水面</x:v>
      </x:c>
      <x:c r="J1403" s="22" t="str">
        <x:v>农业生态</x:v>
      </x:c>
      <x:c r="K1403" s="32" t="str"/>
      <x:c r="L1403" s="22" t="str">
        <x:v>不适用/未标注</x:v>
      </x:c>
      <x:c r="M1403" s="33" t="n">
        <x:v>1381699.5700000017</x:v>
      </x:c>
      <x:c r="N1403" s="33" t="n">
        <x:v>138.16995700000018</x:v>
      </x:c>
      <x:c r="O1403" s="22" t="str">
        <x:v>公顷</x:v>
      </x:c>
      <x:c r="P1403" s="22" t="str">
        <x:v>未提供（单期横截面）</x:v>
      </x:c>
      <x:c r="Q1403" s="23" t="n">
        <x:v>4382</x:v>
      </x:c>
    </x:row>
    <x:row r="1404">
      <x:c r="A1404" s="30" t="n">
        <x:v>350500</x:v>
      </x:c>
      <x:c r="B1404" s="22" t="str">
        <x:v>泉州市</x:v>
      </x:c>
      <x:c r="C1404" s="31" t="n">
        <x:v>350525</x:v>
      </x:c>
      <x:c r="D1404" s="22" t="str">
        <x:v>永春县</x:v>
      </x:c>
      <x:c r="E1404" s="22" t="str">
        <x:v>农用地</x:v>
      </x:c>
      <x:c r="F1404" s="22" t="str">
        <x:v>水域及水利设施</x:v>
      </x:c>
      <x:c r="G1404" s="32" t="str">
        <x:v>1104A</x:v>
      </x:c>
      <x:c r="H1404" s="32" t="str">
        <x:v>1104</x:v>
      </x:c>
      <x:c r="I1404" s="22" t="str">
        <x:v>养殖坑塘</x:v>
      </x:c>
      <x:c r="J1404" s="22" t="str">
        <x:v>农业生态</x:v>
      </x:c>
      <x:c r="K1404" s="32" t="str"/>
      <x:c r="L1404" s="22" t="str">
        <x:v>不适用/未标注</x:v>
      </x:c>
      <x:c r="M1404" s="33" t="n">
        <x:v>65578.51</x:v>
      </x:c>
      <x:c r="N1404" s="33" t="n">
        <x:v>6.557850999999999</x:v>
      </x:c>
      <x:c r="O1404" s="22" t="str">
        <x:v>公顷</x:v>
      </x:c>
      <x:c r="P1404" s="22" t="str">
        <x:v>未提供（单期横截面）</x:v>
      </x:c>
      <x:c r="Q1404" s="23" t="n">
        <x:v>4383</x:v>
      </x:c>
    </x:row>
    <x:row r="1405">
      <x:c r="A1405" s="30" t="n">
        <x:v>350500</x:v>
      </x:c>
      <x:c r="B1405" s="22" t="str">
        <x:v>泉州市</x:v>
      </x:c>
      <x:c r="C1405" s="31" t="n">
        <x:v>350525</x:v>
      </x:c>
      <x:c r="D1405" s="22" t="str">
        <x:v>永春县</x:v>
      </x:c>
      <x:c r="E1405" s="22" t="str">
        <x:v>农用地</x:v>
      </x:c>
      <x:c r="F1405" s="22" t="str">
        <x:v>水域及水利设施</x:v>
      </x:c>
      <x:c r="G1405" s="32" t="str">
        <x:v>1104K</x:v>
      </x:c>
      <x:c r="H1405" s="32" t="str">
        <x:v>1104</x:v>
      </x:c>
      <x:c r="I1405" s="22" t="str">
        <x:v>可调整养殖坑塘</x:v>
      </x:c>
      <x:c r="J1405" s="22" t="str">
        <x:v>农业生态</x:v>
      </x:c>
      <x:c r="K1405" s="32" t="str"/>
      <x:c r="L1405" s="22" t="str">
        <x:v>不适用/未标注</x:v>
      </x:c>
      <x:c r="M1405" s="33" t="n">
        <x:v>21005.21</x:v>
      </x:c>
      <x:c r="N1405" s="33" t="n">
        <x:v>2.100521</x:v>
      </x:c>
      <x:c r="O1405" s="22" t="str">
        <x:v>公顷</x:v>
      </x:c>
      <x:c r="P1405" s="22" t="str">
        <x:v>未提供（单期横截面）</x:v>
      </x:c>
      <x:c r="Q1405" s="23" t="n">
        <x:v>4384</x:v>
      </x:c>
    </x:row>
    <x:row r="1406">
      <x:c r="A1406" s="30" t="n">
        <x:v>350500</x:v>
      </x:c>
      <x:c r="B1406" s="22" t="str">
        <x:v>泉州市</x:v>
      </x:c>
      <x:c r="C1406" s="31" t="n">
        <x:v>350525</x:v>
      </x:c>
      <x:c r="D1406" s="22" t="str">
        <x:v>永春县</x:v>
      </x:c>
      <x:c r="E1406" s="22" t="str">
        <x:v>农用地</x:v>
      </x:c>
      <x:c r="F1406" s="22" t="str">
        <x:v>水域及水利设施</x:v>
      </x:c>
      <x:c r="G1406" s="32" t="str">
        <x:v>1107</x:v>
      </x:c>
      <x:c r="H1406" s="32" t="str">
        <x:v>1107</x:v>
      </x:c>
      <x:c r="I1406" s="22" t="str">
        <x:v>沟渠</x:v>
      </x:c>
      <x:c r="J1406" s="22" t="str">
        <x:v>农业生态</x:v>
      </x:c>
      <x:c r="K1406" s="32" t="str"/>
      <x:c r="L1406" s="22" t="str">
        <x:v>不适用/未标注</x:v>
      </x:c>
      <x:c r="M1406" s="33" t="n">
        <x:v>1250770.6099999996</x:v>
      </x:c>
      <x:c r="N1406" s="33" t="n">
        <x:v>125.07706099999996</x:v>
      </x:c>
      <x:c r="O1406" s="22" t="str">
        <x:v>公顷</x:v>
      </x:c>
      <x:c r="P1406" s="22" t="str">
        <x:v>未提供（单期横截面）</x:v>
      </x:c>
      <x:c r="Q1406" s="23" t="n">
        <x:v>4385</x:v>
      </x:c>
    </x:row>
    <x:row r="1407">
      <x:c r="A1407" s="30" t="n">
        <x:v>350500</x:v>
      </x:c>
      <x:c r="B1407" s="22" t="str">
        <x:v>泉州市</x:v>
      </x:c>
      <x:c r="C1407" s="31" t="n">
        <x:v>350525</x:v>
      </x:c>
      <x:c r="D1407" s="22" t="str">
        <x:v>永春县</x:v>
      </x:c>
      <x:c r="E1407" s="22" t="str">
        <x:v>农用地</x:v>
      </x:c>
      <x:c r="F1407" s="22" t="str">
        <x:v>水域及水利设施</x:v>
      </x:c>
      <x:c r="G1407" s="32" t="str">
        <x:v>1107A</x:v>
      </x:c>
      <x:c r="H1407" s="32" t="str">
        <x:v>1107</x:v>
      </x:c>
      <x:c r="I1407" s="22" t="str">
        <x:v>干渠</x:v>
      </x:c>
      <x:c r="J1407" s="22" t="str">
        <x:v>农业生态</x:v>
      </x:c>
      <x:c r="K1407" s="32" t="str"/>
      <x:c r="L1407" s="22" t="str">
        <x:v>不适用/未标注</x:v>
      </x:c>
      <x:c r="M1407" s="33" t="n">
        <x:v>21814.29</x:v>
      </x:c>
      <x:c r="N1407" s="33" t="n">
        <x:v>2.181429</x:v>
      </x:c>
      <x:c r="O1407" s="22" t="str">
        <x:v>公顷</x:v>
      </x:c>
      <x:c r="P1407" s="22" t="str">
        <x:v>未提供（单期横截面）</x:v>
      </x:c>
      <x:c r="Q1407" s="23" t="n">
        <x:v>4386</x:v>
      </x:c>
    </x:row>
    <x:row r="1408">
      <x:c r="A1408" s="30" t="n">
        <x:v>350500</x:v>
      </x:c>
      <x:c r="B1408" s="22" t="str">
        <x:v>泉州市</x:v>
      </x:c>
      <x:c r="C1408" s="31" t="n">
        <x:v>350525</x:v>
      </x:c>
      <x:c r="D1408" s="22" t="str">
        <x:v>永春县</x:v>
      </x:c>
      <x:c r="E1408" s="22" t="str">
        <x:v>农用地</x:v>
      </x:c>
      <x:c r="F1408" s="22" t="str">
        <x:v>其他农用地</x:v>
      </x:c>
      <x:c r="G1408" s="32" t="str">
        <x:v>1202</x:v>
      </x:c>
      <x:c r="H1408" s="32" t="str">
        <x:v>1202</x:v>
      </x:c>
      <x:c r="I1408" s="22" t="str">
        <x:v>设施农用地</x:v>
      </x:c>
      <x:c r="J1408" s="22" t="str">
        <x:v>农业生态</x:v>
      </x:c>
      <x:c r="K1408" s="32" t="str"/>
      <x:c r="L1408" s="22" t="str">
        <x:v>不适用/未标注</x:v>
      </x:c>
      <x:c r="M1408" s="33" t="n">
        <x:v>2196208.8699999964</x:v>
      </x:c>
      <x:c r="N1408" s="33" t="n">
        <x:v>219.62088699999964</x:v>
      </x:c>
      <x:c r="O1408" s="22" t="str">
        <x:v>公顷</x:v>
      </x:c>
      <x:c r="P1408" s="22" t="str">
        <x:v>未提供（单期横截面）</x:v>
      </x:c>
      <x:c r="Q1408" s="23" t="n">
        <x:v>4387</x:v>
      </x:c>
    </x:row>
    <x:row r="1409">
      <x:c r="A1409" s="30" t="n">
        <x:v>350500</x:v>
      </x:c>
      <x:c r="B1409" s="22" t="str">
        <x:v>泉州市</x:v>
      </x:c>
      <x:c r="C1409" s="31" t="n">
        <x:v>350525</x:v>
      </x:c>
      <x:c r="D1409" s="22" t="str">
        <x:v>永春县</x:v>
      </x:c>
      <x:c r="E1409" s="22" t="str">
        <x:v>农用地</x:v>
      </x:c>
      <x:c r="F1409" s="22" t="str">
        <x:v>耕地</x:v>
      </x:c>
      <x:c r="G1409" s="32" t="str">
        <x:v>101</x:v>
      </x:c>
      <x:c r="H1409" s="32" t="str">
        <x:v>101</x:v>
      </x:c>
      <x:c r="I1409" s="22" t="str">
        <x:v>水田</x:v>
      </x:c>
      <x:c r="J1409" s="22" t="str">
        <x:v>农业生态</x:v>
      </x:c>
      <x:c r="K1409" s="32" t="str">
        <x:v>202</x:v>
      </x:c>
      <x:c r="L1409" s="22" t="str">
        <x:v>建制镇范围</x:v>
      </x:c>
      <x:c r="M1409" s="33" t="n">
        <x:v>157335.46</x:v>
      </x:c>
      <x:c r="N1409" s="33" t="n">
        <x:v>15.733545999999999</x:v>
      </x:c>
      <x:c r="O1409" s="22" t="str">
        <x:v>公顷</x:v>
      </x:c>
      <x:c r="P1409" s="22" t="str">
        <x:v>未提供（单期横截面）</x:v>
      </x:c>
      <x:c r="Q1409" s="23" t="n">
        <x:v>4388</x:v>
      </x:c>
    </x:row>
    <x:row r="1410">
      <x:c r="A1410" s="30" t="n">
        <x:v>350500</x:v>
      </x:c>
      <x:c r="B1410" s="22" t="str">
        <x:v>泉州市</x:v>
      </x:c>
      <x:c r="C1410" s="31" t="n">
        <x:v>350525</x:v>
      </x:c>
      <x:c r="D1410" s="22" t="str">
        <x:v>永春县</x:v>
      </x:c>
      <x:c r="E1410" s="22" t="str">
        <x:v>农用地</x:v>
      </x:c>
      <x:c r="F1410" s="22" t="str">
        <x:v>耕地</x:v>
      </x:c>
      <x:c r="G1410" s="32" t="str">
        <x:v>102</x:v>
      </x:c>
      <x:c r="H1410" s="32" t="str">
        <x:v>102</x:v>
      </x:c>
      <x:c r="I1410" s="22" t="str">
        <x:v>水浇地</x:v>
      </x:c>
      <x:c r="J1410" s="22" t="str">
        <x:v>农业生态</x:v>
      </x:c>
      <x:c r="K1410" s="32" t="str">
        <x:v>202</x:v>
      </x:c>
      <x:c r="L1410" s="22" t="str">
        <x:v>建制镇范围</x:v>
      </x:c>
      <x:c r="M1410" s="33" t="n">
        <x:v>97656.61</x:v>
      </x:c>
      <x:c r="N1410" s="33" t="n">
        <x:v>9.765661</x:v>
      </x:c>
      <x:c r="O1410" s="22" t="str">
        <x:v>公顷</x:v>
      </x:c>
      <x:c r="P1410" s="22" t="str">
        <x:v>未提供（单期横截面）</x:v>
      </x:c>
      <x:c r="Q1410" s="23" t="n">
        <x:v>4389</x:v>
      </x:c>
    </x:row>
    <x:row r="1411">
      <x:c r="A1411" s="30" t="n">
        <x:v>350500</x:v>
      </x:c>
      <x:c r="B1411" s="22" t="str">
        <x:v>泉州市</x:v>
      </x:c>
      <x:c r="C1411" s="31" t="n">
        <x:v>350525</x:v>
      </x:c>
      <x:c r="D1411" s="22" t="str">
        <x:v>永春县</x:v>
      </x:c>
      <x:c r="E1411" s="22" t="str">
        <x:v>农用地</x:v>
      </x:c>
      <x:c r="F1411" s="22" t="str">
        <x:v>耕地</x:v>
      </x:c>
      <x:c r="G1411" s="32" t="str">
        <x:v>103</x:v>
      </x:c>
      <x:c r="H1411" s="32" t="str">
        <x:v>103</x:v>
      </x:c>
      <x:c r="I1411" s="22" t="str">
        <x:v>旱地</x:v>
      </x:c>
      <x:c r="J1411" s="22" t="str">
        <x:v>农业生态</x:v>
      </x:c>
      <x:c r="K1411" s="32" t="str">
        <x:v>202</x:v>
      </x:c>
      <x:c r="L1411" s="22" t="str">
        <x:v>建制镇范围</x:v>
      </x:c>
      <x:c r="M1411" s="33" t="n">
        <x:v>152227.13999999998</x:v>
      </x:c>
      <x:c r="N1411" s="33" t="n">
        <x:v>15.222713999999998</x:v>
      </x:c>
      <x:c r="O1411" s="22" t="str">
        <x:v>公顷</x:v>
      </x:c>
      <x:c r="P1411" s="22" t="str">
        <x:v>未提供（单期横截面）</x:v>
      </x:c>
      <x:c r="Q1411" s="23" t="n">
        <x:v>4390</x:v>
      </x:c>
    </x:row>
    <x:row r="1412">
      <x:c r="A1412" s="30" t="n">
        <x:v>350500</x:v>
      </x:c>
      <x:c r="B1412" s="22" t="str">
        <x:v>泉州市</x:v>
      </x:c>
      <x:c r="C1412" s="31" t="n">
        <x:v>350525</x:v>
      </x:c>
      <x:c r="D1412" s="22" t="str">
        <x:v>永春县</x:v>
      </x:c>
      <x:c r="E1412" s="22" t="str">
        <x:v>农用地</x:v>
      </x:c>
      <x:c r="F1412" s="22" t="str">
        <x:v>园地</x:v>
      </x:c>
      <x:c r="G1412" s="32" t="str">
        <x:v>201</x:v>
      </x:c>
      <x:c r="H1412" s="32" t="str">
        <x:v>201</x:v>
      </x:c>
      <x:c r="I1412" s="22" t="str">
        <x:v>果园</x:v>
      </x:c>
      <x:c r="J1412" s="22" t="str">
        <x:v>农业生态</x:v>
      </x:c>
      <x:c r="K1412" s="32" t="str">
        <x:v>202</x:v>
      </x:c>
      <x:c r="L1412" s="22" t="str">
        <x:v>建制镇范围</x:v>
      </x:c>
      <x:c r="M1412" s="33" t="n">
        <x:v>50286.359999999986</x:v>
      </x:c>
      <x:c r="N1412" s="33" t="n">
        <x:v>5.028635999999999</x:v>
      </x:c>
      <x:c r="O1412" s="22" t="str">
        <x:v>公顷</x:v>
      </x:c>
      <x:c r="P1412" s="22" t="str">
        <x:v>未提供（单期横截面）</x:v>
      </x:c>
      <x:c r="Q1412" s="23" t="n">
        <x:v>4391</x:v>
      </x:c>
    </x:row>
    <x:row r="1413">
      <x:c r="A1413" s="30" t="n">
        <x:v>350500</x:v>
      </x:c>
      <x:c r="B1413" s="22" t="str">
        <x:v>泉州市</x:v>
      </x:c>
      <x:c r="C1413" s="31" t="n">
        <x:v>350525</x:v>
      </x:c>
      <x:c r="D1413" s="22" t="str">
        <x:v>永春县</x:v>
      </x:c>
      <x:c r="E1413" s="22" t="str">
        <x:v>农用地</x:v>
      </x:c>
      <x:c r="F1413" s="22" t="str">
        <x:v>园地</x:v>
      </x:c>
      <x:c r="G1413" s="32" t="str">
        <x:v>202</x:v>
      </x:c>
      <x:c r="H1413" s="32" t="str">
        <x:v>202</x:v>
      </x:c>
      <x:c r="I1413" s="22" t="str">
        <x:v>茶园</x:v>
      </x:c>
      <x:c r="J1413" s="22" t="str">
        <x:v>农业生态</x:v>
      </x:c>
      <x:c r="K1413" s="32" t="str">
        <x:v>202</x:v>
      </x:c>
      <x:c r="L1413" s="22" t="str">
        <x:v>建制镇范围</x:v>
      </x:c>
      <x:c r="M1413" s="33" t="n">
        <x:v>488.36</x:v>
      </x:c>
      <x:c r="N1413" s="33" t="n">
        <x:v>0.048836000000000004</x:v>
      </x:c>
      <x:c r="O1413" s="22" t="str">
        <x:v>公顷</x:v>
      </x:c>
      <x:c r="P1413" s="22" t="str">
        <x:v>未提供（单期横截面）</x:v>
      </x:c>
      <x:c r="Q1413" s="23" t="n">
        <x:v>4392</x:v>
      </x:c>
    </x:row>
    <x:row r="1414">
      <x:c r="A1414" s="30" t="n">
        <x:v>350500</x:v>
      </x:c>
      <x:c r="B1414" s="22" t="str">
        <x:v>泉州市</x:v>
      </x:c>
      <x:c r="C1414" s="31" t="n">
        <x:v>350525</x:v>
      </x:c>
      <x:c r="D1414" s="22" t="str">
        <x:v>永春县</x:v>
      </x:c>
      <x:c r="E1414" s="22" t="str">
        <x:v>农用地</x:v>
      </x:c>
      <x:c r="F1414" s="22" t="str">
        <x:v>园地</x:v>
      </x:c>
      <x:c r="G1414" s="32" t="str">
        <x:v>204</x:v>
      </x:c>
      <x:c r="H1414" s="32" t="str">
        <x:v>204</x:v>
      </x:c>
      <x:c r="I1414" s="22" t="str">
        <x:v>其他园地</x:v>
      </x:c>
      <x:c r="J1414" s="22" t="str">
        <x:v>农业生态</x:v>
      </x:c>
      <x:c r="K1414" s="32" t="str">
        <x:v>202</x:v>
      </x:c>
      <x:c r="L1414" s="22" t="str">
        <x:v>建制镇范围</x:v>
      </x:c>
      <x:c r="M1414" s="33" t="n">
        <x:v>9938.849999999999</x:v>
      </x:c>
      <x:c r="N1414" s="33" t="n">
        <x:v>0.9938849999999999</x:v>
      </x:c>
      <x:c r="O1414" s="22" t="str">
        <x:v>公顷</x:v>
      </x:c>
      <x:c r="P1414" s="22" t="str">
        <x:v>未提供（单期横截面）</x:v>
      </x:c>
      <x:c r="Q1414" s="23" t="n">
        <x:v>4393</x:v>
      </x:c>
    </x:row>
    <x:row r="1415">
      <x:c r="A1415" s="30" t="n">
        <x:v>350500</x:v>
      </x:c>
      <x:c r="B1415" s="22" t="str">
        <x:v>泉州市</x:v>
      </x:c>
      <x:c r="C1415" s="31" t="n">
        <x:v>350525</x:v>
      </x:c>
      <x:c r="D1415" s="22" t="str">
        <x:v>永春县</x:v>
      </x:c>
      <x:c r="E1415" s="22" t="str">
        <x:v>农用地</x:v>
      </x:c>
      <x:c r="F1415" s="22" t="str">
        <x:v>林地</x:v>
      </x:c>
      <x:c r="G1415" s="32" t="str">
        <x:v>301</x:v>
      </x:c>
      <x:c r="H1415" s="32" t="str">
        <x:v>301</x:v>
      </x:c>
      <x:c r="I1415" s="22" t="str">
        <x:v>乔木林地</x:v>
      </x:c>
      <x:c r="J1415" s="22" t="str">
        <x:v>农业生态</x:v>
      </x:c>
      <x:c r="K1415" s="32" t="str">
        <x:v>202</x:v>
      </x:c>
      <x:c r="L1415" s="22" t="str">
        <x:v>建制镇范围</x:v>
      </x:c>
      <x:c r="M1415" s="33" t="n">
        <x:v>33863.92</x:v>
      </x:c>
      <x:c r="N1415" s="33" t="n">
        <x:v>3.386392</x:v>
      </x:c>
      <x:c r="O1415" s="22" t="str">
        <x:v>公顷</x:v>
      </x:c>
      <x:c r="P1415" s="22" t="str">
        <x:v>未提供（单期横截面）</x:v>
      </x:c>
      <x:c r="Q1415" s="23" t="n">
        <x:v>4394</x:v>
      </x:c>
    </x:row>
    <x:row r="1416">
      <x:c r="A1416" s="30" t="n">
        <x:v>350500</x:v>
      </x:c>
      <x:c r="B1416" s="22" t="str">
        <x:v>泉州市</x:v>
      </x:c>
      <x:c r="C1416" s="31" t="n">
        <x:v>350525</x:v>
      </x:c>
      <x:c r="D1416" s="22" t="str">
        <x:v>永春县</x:v>
      </x:c>
      <x:c r="E1416" s="22" t="str">
        <x:v>农用地</x:v>
      </x:c>
      <x:c r="F1416" s="22" t="str">
        <x:v>林地</x:v>
      </x:c>
      <x:c r="G1416" s="32" t="str">
        <x:v>302</x:v>
      </x:c>
      <x:c r="H1416" s="32" t="str">
        <x:v>302</x:v>
      </x:c>
      <x:c r="I1416" s="22" t="str">
        <x:v>竹林地</x:v>
      </x:c>
      <x:c r="J1416" s="22" t="str">
        <x:v>农业生态</x:v>
      </x:c>
      <x:c r="K1416" s="32" t="str">
        <x:v>202</x:v>
      </x:c>
      <x:c r="L1416" s="22" t="str">
        <x:v>建制镇范围</x:v>
      </x:c>
      <x:c r="M1416" s="33" t="n">
        <x:v>22985.45</x:v>
      </x:c>
      <x:c r="N1416" s="33" t="n">
        <x:v>2.2985450000000003</x:v>
      </x:c>
      <x:c r="O1416" s="22" t="str">
        <x:v>公顷</x:v>
      </x:c>
      <x:c r="P1416" s="22" t="str">
        <x:v>未提供（单期横截面）</x:v>
      </x:c>
      <x:c r="Q1416" s="23" t="n">
        <x:v>4395</x:v>
      </x:c>
    </x:row>
    <x:row r="1417">
      <x:c r="A1417" s="30" t="n">
        <x:v>350500</x:v>
      </x:c>
      <x:c r="B1417" s="22" t="str">
        <x:v>泉州市</x:v>
      </x:c>
      <x:c r="C1417" s="31" t="n">
        <x:v>350525</x:v>
      </x:c>
      <x:c r="D1417" s="22" t="str">
        <x:v>永春县</x:v>
      </x:c>
      <x:c r="E1417" s="22" t="str">
        <x:v>农用地</x:v>
      </x:c>
      <x:c r="F1417" s="22" t="str">
        <x:v>林地</x:v>
      </x:c>
      <x:c r="G1417" s="32" t="str">
        <x:v>307</x:v>
      </x:c>
      <x:c r="H1417" s="32" t="str">
        <x:v>307</x:v>
      </x:c>
      <x:c r="I1417" s="22" t="str">
        <x:v>其他林地</x:v>
      </x:c>
      <x:c r="J1417" s="22" t="str">
        <x:v>农业生态</x:v>
      </x:c>
      <x:c r="K1417" s="32" t="str">
        <x:v>202</x:v>
      </x:c>
      <x:c r="L1417" s="22" t="str">
        <x:v>建制镇范围</x:v>
      </x:c>
      <x:c r="M1417" s="33" t="n">
        <x:v>564.16</x:v>
      </x:c>
      <x:c r="N1417" s="33" t="n">
        <x:v>0.056415999999999994</x:v>
      </x:c>
      <x:c r="O1417" s="22" t="str">
        <x:v>公顷</x:v>
      </x:c>
      <x:c r="P1417" s="22" t="str">
        <x:v>未提供（单期横截面）</x:v>
      </x:c>
      <x:c r="Q1417" s="23" t="n">
        <x:v>4396</x:v>
      </x:c>
    </x:row>
    <x:row r="1418">
      <x:c r="A1418" s="30" t="n">
        <x:v>350500</x:v>
      </x:c>
      <x:c r="B1418" s="22" t="str">
        <x:v>泉州市</x:v>
      </x:c>
      <x:c r="C1418" s="31" t="n">
        <x:v>350525</x:v>
      </x:c>
      <x:c r="D1418" s="22" t="str">
        <x:v>永春县</x:v>
      </x:c>
      <x:c r="E1418" s="22" t="str">
        <x:v>农用地</x:v>
      </x:c>
      <x:c r="F1418" s="22" t="str">
        <x:v>水域及水利设施</x:v>
      </x:c>
      <x:c r="G1418" s="32" t="str">
        <x:v>1104</x:v>
      </x:c>
      <x:c r="H1418" s="32" t="str">
        <x:v>1104</x:v>
      </x:c>
      <x:c r="I1418" s="22" t="str">
        <x:v>坑塘水面</x:v>
      </x:c>
      <x:c r="J1418" s="22" t="str">
        <x:v>农业生态</x:v>
      </x:c>
      <x:c r="K1418" s="32" t="str">
        <x:v>202</x:v>
      </x:c>
      <x:c r="L1418" s="22" t="str">
        <x:v>建制镇范围</x:v>
      </x:c>
      <x:c r="M1418" s="33" t="n">
        <x:v>2594.72</x:v>
      </x:c>
      <x:c r="N1418" s="33" t="n">
        <x:v>0.259472</x:v>
      </x:c>
      <x:c r="O1418" s="22" t="str">
        <x:v>公顷</x:v>
      </x:c>
      <x:c r="P1418" s="22" t="str">
        <x:v>未提供（单期横截面）</x:v>
      </x:c>
      <x:c r="Q1418" s="23" t="n">
        <x:v>4397</x:v>
      </x:c>
    </x:row>
    <x:row r="1419">
      <x:c r="A1419" s="30" t="n">
        <x:v>350500</x:v>
      </x:c>
      <x:c r="B1419" s="22" t="str">
        <x:v>泉州市</x:v>
      </x:c>
      <x:c r="C1419" s="31" t="n">
        <x:v>350525</x:v>
      </x:c>
      <x:c r="D1419" s="22" t="str">
        <x:v>永春县</x:v>
      </x:c>
      <x:c r="E1419" s="22" t="str">
        <x:v>农用地</x:v>
      </x:c>
      <x:c r="F1419" s="22" t="str">
        <x:v>水域及水利设施</x:v>
      </x:c>
      <x:c r="G1419" s="32" t="str">
        <x:v>1107</x:v>
      </x:c>
      <x:c r="H1419" s="32" t="str">
        <x:v>1107</x:v>
      </x:c>
      <x:c r="I1419" s="22" t="str">
        <x:v>沟渠</x:v>
      </x:c>
      <x:c r="J1419" s="22" t="str">
        <x:v>农业生态</x:v>
      </x:c>
      <x:c r="K1419" s="32" t="str">
        <x:v>202</x:v>
      </x:c>
      <x:c r="L1419" s="22" t="str">
        <x:v>建制镇范围</x:v>
      </x:c>
      <x:c r="M1419" s="33" t="n">
        <x:v>7511.87</x:v>
      </x:c>
      <x:c r="N1419" s="33" t="n">
        <x:v>0.7511869999999999</x:v>
      </x:c>
      <x:c r="O1419" s="22" t="str">
        <x:v>公顷</x:v>
      </x:c>
      <x:c r="P1419" s="22" t="str">
        <x:v>未提供（单期横截面）</x:v>
      </x:c>
      <x:c r="Q1419" s="23" t="n">
        <x:v>4398</x:v>
      </x:c>
    </x:row>
    <x:row r="1420">
      <x:c r="A1420" s="30" t="n">
        <x:v>350500</x:v>
      </x:c>
      <x:c r="B1420" s="22" t="str">
        <x:v>泉州市</x:v>
      </x:c>
      <x:c r="C1420" s="31" t="n">
        <x:v>350525</x:v>
      </x:c>
      <x:c r="D1420" s="22" t="str">
        <x:v>永春县</x:v>
      </x:c>
      <x:c r="E1420" s="22" t="str">
        <x:v>农用地</x:v>
      </x:c>
      <x:c r="F1420" s="22" t="str">
        <x:v>耕地</x:v>
      </x:c>
      <x:c r="G1420" s="32" t="str">
        <x:v>101</x:v>
      </x:c>
      <x:c r="H1420" s="32" t="str">
        <x:v>101</x:v>
      </x:c>
      <x:c r="I1420" s="22" t="str">
        <x:v>水田</x:v>
      </x:c>
      <x:c r="J1420" s="22" t="str">
        <x:v>农业生态</x:v>
      </x:c>
      <x:c r="K1420" s="32" t="str">
        <x:v>203</x:v>
      </x:c>
      <x:c r="L1420" s="22" t="str">
        <x:v>村庄范围</x:v>
      </x:c>
      <x:c r="M1420" s="33" t="n">
        <x:v>162789.33000000007</x:v>
      </x:c>
      <x:c r="N1420" s="33" t="n">
        <x:v>16.27893300000001</x:v>
      </x:c>
      <x:c r="O1420" s="22" t="str">
        <x:v>公顷</x:v>
      </x:c>
      <x:c r="P1420" s="22" t="str">
        <x:v>未提供（单期横截面）</x:v>
      </x:c>
      <x:c r="Q1420" s="23" t="n">
        <x:v>4399</x:v>
      </x:c>
    </x:row>
    <x:row r="1421">
      <x:c r="A1421" s="30" t="n">
        <x:v>350500</x:v>
      </x:c>
      <x:c r="B1421" s="22" t="str">
        <x:v>泉州市</x:v>
      </x:c>
      <x:c r="C1421" s="31" t="n">
        <x:v>350525</x:v>
      </x:c>
      <x:c r="D1421" s="22" t="str">
        <x:v>永春县</x:v>
      </x:c>
      <x:c r="E1421" s="22" t="str">
        <x:v>农用地</x:v>
      </x:c>
      <x:c r="F1421" s="22" t="str">
        <x:v>耕地</x:v>
      </x:c>
      <x:c r="G1421" s="32" t="str">
        <x:v>102</x:v>
      </x:c>
      <x:c r="H1421" s="32" t="str">
        <x:v>102</x:v>
      </x:c>
      <x:c r="I1421" s="22" t="str">
        <x:v>水浇地</x:v>
      </x:c>
      <x:c r="J1421" s="22" t="str">
        <x:v>农业生态</x:v>
      </x:c>
      <x:c r="K1421" s="32" t="str">
        <x:v>203</x:v>
      </x:c>
      <x:c r="L1421" s="22" t="str">
        <x:v>村庄范围</x:v>
      </x:c>
      <x:c r="M1421" s="33" t="n">
        <x:v>56523.91999999998</x:v>
      </x:c>
      <x:c r="N1421" s="33" t="n">
        <x:v>5.652391999999998</x:v>
      </x:c>
      <x:c r="O1421" s="22" t="str">
        <x:v>公顷</x:v>
      </x:c>
      <x:c r="P1421" s="22" t="str">
        <x:v>未提供（单期横截面）</x:v>
      </x:c>
      <x:c r="Q1421" s="23" t="n">
        <x:v>4400</x:v>
      </x:c>
    </x:row>
    <x:row r="1422">
      <x:c r="A1422" s="30" t="n">
        <x:v>350500</x:v>
      </x:c>
      <x:c r="B1422" s="22" t="str">
        <x:v>泉州市</x:v>
      </x:c>
      <x:c r="C1422" s="31" t="n">
        <x:v>350525</x:v>
      </x:c>
      <x:c r="D1422" s="22" t="str">
        <x:v>永春县</x:v>
      </x:c>
      <x:c r="E1422" s="22" t="str">
        <x:v>农用地</x:v>
      </x:c>
      <x:c r="F1422" s="22" t="str">
        <x:v>耕地</x:v>
      </x:c>
      <x:c r="G1422" s="32" t="str">
        <x:v>103</x:v>
      </x:c>
      <x:c r="H1422" s="32" t="str">
        <x:v>103</x:v>
      </x:c>
      <x:c r="I1422" s="22" t="str">
        <x:v>旱地</x:v>
      </x:c>
      <x:c r="J1422" s="22" t="str">
        <x:v>农业生态</x:v>
      </x:c>
      <x:c r="K1422" s="32" t="str">
        <x:v>203</x:v>
      </x:c>
      <x:c r="L1422" s="22" t="str">
        <x:v>村庄范围</x:v>
      </x:c>
      <x:c r="M1422" s="33" t="n">
        <x:v>150351.02000000005</x:v>
      </x:c>
      <x:c r="N1422" s="33" t="n">
        <x:v>15.035102000000006</x:v>
      </x:c>
      <x:c r="O1422" s="22" t="str">
        <x:v>公顷</x:v>
      </x:c>
      <x:c r="P1422" s="22" t="str">
        <x:v>未提供（单期横截面）</x:v>
      </x:c>
      <x:c r="Q1422" s="23" t="n">
        <x:v>4401</x:v>
      </x:c>
    </x:row>
    <x:row r="1423">
      <x:c r="A1423" s="30" t="n">
        <x:v>350500</x:v>
      </x:c>
      <x:c r="B1423" s="22" t="str">
        <x:v>泉州市</x:v>
      </x:c>
      <x:c r="C1423" s="31" t="n">
        <x:v>350525</x:v>
      </x:c>
      <x:c r="D1423" s="22" t="str">
        <x:v>永春县</x:v>
      </x:c>
      <x:c r="E1423" s="22" t="str">
        <x:v>农用地</x:v>
      </x:c>
      <x:c r="F1423" s="22" t="str">
        <x:v>园地</x:v>
      </x:c>
      <x:c r="G1423" s="32" t="str">
        <x:v>201</x:v>
      </x:c>
      <x:c r="H1423" s="32" t="str">
        <x:v>201</x:v>
      </x:c>
      <x:c r="I1423" s="22" t="str">
        <x:v>果园</x:v>
      </x:c>
      <x:c r="J1423" s="22" t="str">
        <x:v>农业生态</x:v>
      </x:c>
      <x:c r="K1423" s="32" t="str">
        <x:v>203</x:v>
      </x:c>
      <x:c r="L1423" s="22" t="str">
        <x:v>村庄范围</x:v>
      </x:c>
      <x:c r="M1423" s="33" t="n">
        <x:v>36896.89</x:v>
      </x:c>
      <x:c r="N1423" s="33" t="n">
        <x:v>3.689689</x:v>
      </x:c>
      <x:c r="O1423" s="22" t="str">
        <x:v>公顷</x:v>
      </x:c>
      <x:c r="P1423" s="22" t="str">
        <x:v>未提供（单期横截面）</x:v>
      </x:c>
      <x:c r="Q1423" s="23" t="n">
        <x:v>4402</x:v>
      </x:c>
    </x:row>
    <x:row r="1424">
      <x:c r="A1424" s="30" t="n">
        <x:v>350500</x:v>
      </x:c>
      <x:c r="B1424" s="22" t="str">
        <x:v>泉州市</x:v>
      </x:c>
      <x:c r="C1424" s="31" t="n">
        <x:v>350525</x:v>
      </x:c>
      <x:c r="D1424" s="22" t="str">
        <x:v>永春县</x:v>
      </x:c>
      <x:c r="E1424" s="22" t="str">
        <x:v>农用地</x:v>
      </x:c>
      <x:c r="F1424" s="22" t="str">
        <x:v>园地</x:v>
      </x:c>
      <x:c r="G1424" s="32" t="str">
        <x:v>204</x:v>
      </x:c>
      <x:c r="H1424" s="32" t="str">
        <x:v>204</x:v>
      </x:c>
      <x:c r="I1424" s="22" t="str">
        <x:v>其他园地</x:v>
      </x:c>
      <x:c r="J1424" s="22" t="str">
        <x:v>农业生态</x:v>
      </x:c>
      <x:c r="K1424" s="32" t="str">
        <x:v>203</x:v>
      </x:c>
      <x:c r="L1424" s="22" t="str">
        <x:v>村庄范围</x:v>
      </x:c>
      <x:c r="M1424" s="33" t="n">
        <x:v>3097.54</x:v>
      </x:c>
      <x:c r="N1424" s="33" t="n">
        <x:v>0.309754</x:v>
      </x:c>
      <x:c r="O1424" s="22" t="str">
        <x:v>公顷</x:v>
      </x:c>
      <x:c r="P1424" s="22" t="str">
        <x:v>未提供（单期横截面）</x:v>
      </x:c>
      <x:c r="Q1424" s="23" t="n">
        <x:v>4403</x:v>
      </x:c>
    </x:row>
    <x:row r="1425">
      <x:c r="A1425" s="30" t="n">
        <x:v>350500</x:v>
      </x:c>
      <x:c r="B1425" s="22" t="str">
        <x:v>泉州市</x:v>
      </x:c>
      <x:c r="C1425" s="31" t="n">
        <x:v>350525</x:v>
      </x:c>
      <x:c r="D1425" s="22" t="str">
        <x:v>永春县</x:v>
      </x:c>
      <x:c r="E1425" s="22" t="str">
        <x:v>农用地</x:v>
      </x:c>
      <x:c r="F1425" s="22" t="str">
        <x:v>林地</x:v>
      </x:c>
      <x:c r="G1425" s="32" t="str">
        <x:v>301</x:v>
      </x:c>
      <x:c r="H1425" s="32" t="str">
        <x:v>301</x:v>
      </x:c>
      <x:c r="I1425" s="22" t="str">
        <x:v>乔木林地</x:v>
      </x:c>
      <x:c r="J1425" s="22" t="str">
        <x:v>农业生态</x:v>
      </x:c>
      <x:c r="K1425" s="32" t="str">
        <x:v>203</x:v>
      </x:c>
      <x:c r="L1425" s="22" t="str">
        <x:v>村庄范围</x:v>
      </x:c>
      <x:c r="M1425" s="33" t="n">
        <x:v>13556.119999999999</x:v>
      </x:c>
      <x:c r="N1425" s="33" t="n">
        <x:v>1.3556119999999998</x:v>
      </x:c>
      <x:c r="O1425" s="22" t="str">
        <x:v>公顷</x:v>
      </x:c>
      <x:c r="P1425" s="22" t="str">
        <x:v>未提供（单期横截面）</x:v>
      </x:c>
      <x:c r="Q1425" s="23" t="n">
        <x:v>4404</x:v>
      </x:c>
    </x:row>
    <x:row r="1426">
      <x:c r="A1426" s="30" t="n">
        <x:v>350500</x:v>
      </x:c>
      <x:c r="B1426" s="22" t="str">
        <x:v>泉州市</x:v>
      </x:c>
      <x:c r="C1426" s="31" t="n">
        <x:v>350525</x:v>
      </x:c>
      <x:c r="D1426" s="22" t="str">
        <x:v>永春县</x:v>
      </x:c>
      <x:c r="E1426" s="22" t="str">
        <x:v>农用地</x:v>
      </x:c>
      <x:c r="F1426" s="22" t="str">
        <x:v>林地</x:v>
      </x:c>
      <x:c r="G1426" s="32" t="str">
        <x:v>302</x:v>
      </x:c>
      <x:c r="H1426" s="32" t="str">
        <x:v>302</x:v>
      </x:c>
      <x:c r="I1426" s="22" t="str">
        <x:v>竹林地</x:v>
      </x:c>
      <x:c r="J1426" s="22" t="str">
        <x:v>农业生态</x:v>
      </x:c>
      <x:c r="K1426" s="32" t="str">
        <x:v>203</x:v>
      </x:c>
      <x:c r="L1426" s="22" t="str">
        <x:v>村庄范围</x:v>
      </x:c>
      <x:c r="M1426" s="33" t="n">
        <x:v>6076.14</x:v>
      </x:c>
      <x:c r="N1426" s="33" t="n">
        <x:v>0.607614</x:v>
      </x:c>
      <x:c r="O1426" s="22" t="str">
        <x:v>公顷</x:v>
      </x:c>
      <x:c r="P1426" s="22" t="str">
        <x:v>未提供（单期横截面）</x:v>
      </x:c>
      <x:c r="Q1426" s="23" t="n">
        <x:v>4405</x:v>
      </x:c>
    </x:row>
    <x:row r="1427">
      <x:c r="A1427" s="30" t="n">
        <x:v>350500</x:v>
      </x:c>
      <x:c r="B1427" s="22" t="str">
        <x:v>泉州市</x:v>
      </x:c>
      <x:c r="C1427" s="31" t="n">
        <x:v>350525</x:v>
      </x:c>
      <x:c r="D1427" s="22" t="str">
        <x:v>永春县</x:v>
      </x:c>
      <x:c r="E1427" s="22" t="str">
        <x:v>农用地</x:v>
      </x:c>
      <x:c r="F1427" s="22" t="str">
        <x:v>林地</x:v>
      </x:c>
      <x:c r="G1427" s="32" t="str">
        <x:v>305</x:v>
      </x:c>
      <x:c r="H1427" s="32" t="str">
        <x:v>305</x:v>
      </x:c>
      <x:c r="I1427" s="22" t="str">
        <x:v>灌木林地</x:v>
      </x:c>
      <x:c r="J1427" s="22" t="str">
        <x:v>农业生态</x:v>
      </x:c>
      <x:c r="K1427" s="32" t="str">
        <x:v>203</x:v>
      </x:c>
      <x:c r="L1427" s="22" t="str">
        <x:v>村庄范围</x:v>
      </x:c>
      <x:c r="M1427" s="33" t="n">
        <x:v>1357.4</x:v>
      </x:c>
      <x:c r="N1427" s="33" t="n">
        <x:v>0.13574</x:v>
      </x:c>
      <x:c r="O1427" s="22" t="str">
        <x:v>公顷</x:v>
      </x:c>
      <x:c r="P1427" s="22" t="str">
        <x:v>未提供（单期横截面）</x:v>
      </x:c>
      <x:c r="Q1427" s="23" t="n">
        <x:v>4406</x:v>
      </x:c>
    </x:row>
    <x:row r="1428">
      <x:c r="A1428" s="30" t="n">
        <x:v>350500</x:v>
      </x:c>
      <x:c r="B1428" s="22" t="str">
        <x:v>泉州市</x:v>
      </x:c>
      <x:c r="C1428" s="31" t="n">
        <x:v>350525</x:v>
      </x:c>
      <x:c r="D1428" s="22" t="str">
        <x:v>永春县</x:v>
      </x:c>
      <x:c r="E1428" s="22" t="str">
        <x:v>农用地</x:v>
      </x:c>
      <x:c r="F1428" s="22" t="str">
        <x:v>林地</x:v>
      </x:c>
      <x:c r="G1428" s="32" t="str">
        <x:v>307</x:v>
      </x:c>
      <x:c r="H1428" s="32" t="str">
        <x:v>307</x:v>
      </x:c>
      <x:c r="I1428" s="22" t="str">
        <x:v>其他林地</x:v>
      </x:c>
      <x:c r="J1428" s="22" t="str">
        <x:v>农业生态</x:v>
      </x:c>
      <x:c r="K1428" s="32" t="str">
        <x:v>203</x:v>
      </x:c>
      <x:c r="L1428" s="22" t="str">
        <x:v>村庄范围</x:v>
      </x:c>
      <x:c r="M1428" s="33" t="n">
        <x:v>4008.48</x:v>
      </x:c>
      <x:c r="N1428" s="33" t="n">
        <x:v>0.400848</x:v>
      </x:c>
      <x:c r="O1428" s="22" t="str">
        <x:v>公顷</x:v>
      </x:c>
      <x:c r="P1428" s="22" t="str">
        <x:v>未提供（单期横截面）</x:v>
      </x:c>
      <x:c r="Q1428" s="23" t="n">
        <x:v>4407</x:v>
      </x:c>
    </x:row>
    <x:row r="1429">
      <x:c r="A1429" s="30" t="n">
        <x:v>350500</x:v>
      </x:c>
      <x:c r="B1429" s="22" t="str">
        <x:v>泉州市</x:v>
      </x:c>
      <x:c r="C1429" s="31" t="n">
        <x:v>350525</x:v>
      </x:c>
      <x:c r="D1429" s="22" t="str">
        <x:v>永春县</x:v>
      </x:c>
      <x:c r="E1429" s="22" t="str">
        <x:v>农用地</x:v>
      </x:c>
      <x:c r="F1429" s="22" t="str">
        <x:v>其他农用地</x:v>
      </x:c>
      <x:c r="G1429" s="32" t="str">
        <x:v>1006</x:v>
      </x:c>
      <x:c r="H1429" s="32" t="str">
        <x:v>1006</x:v>
      </x:c>
      <x:c r="I1429" s="22" t="str">
        <x:v>农村道路</x:v>
      </x:c>
      <x:c r="J1429" s="22" t="str">
        <x:v>农业生态</x:v>
      </x:c>
      <x:c r="K1429" s="32" t="str">
        <x:v>203</x:v>
      </x:c>
      <x:c r="L1429" s="22" t="str">
        <x:v>村庄范围</x:v>
      </x:c>
      <x:c r="M1429" s="33" t="n">
        <x:v>97.71</x:v>
      </x:c>
      <x:c r="N1429" s="33" t="n">
        <x:v>0.009771</x:v>
      </x:c>
      <x:c r="O1429" s="22" t="str">
        <x:v>公顷</x:v>
      </x:c>
      <x:c r="P1429" s="22" t="str">
        <x:v>未提供（单期横截面）</x:v>
      </x:c>
      <x:c r="Q1429" s="23" t="n">
        <x:v>4408</x:v>
      </x:c>
    </x:row>
    <x:row r="1430">
      <x:c r="A1430" s="30" t="n">
        <x:v>350500</x:v>
      </x:c>
      <x:c r="B1430" s="22" t="str">
        <x:v>泉州市</x:v>
      </x:c>
      <x:c r="C1430" s="31" t="n">
        <x:v>350525</x:v>
      </x:c>
      <x:c r="D1430" s="22" t="str">
        <x:v>永春县</x:v>
      </x:c>
      <x:c r="E1430" s="22" t="str">
        <x:v>农用地</x:v>
      </x:c>
      <x:c r="F1430" s="22" t="str">
        <x:v>水域及水利设施</x:v>
      </x:c>
      <x:c r="G1430" s="32" t="str">
        <x:v>1104</x:v>
      </x:c>
      <x:c r="H1430" s="32" t="str">
        <x:v>1104</x:v>
      </x:c>
      <x:c r="I1430" s="22" t="str">
        <x:v>坑塘水面</x:v>
      </x:c>
      <x:c r="J1430" s="22" t="str">
        <x:v>农业生态</x:v>
      </x:c>
      <x:c r="K1430" s="32" t="str">
        <x:v>203</x:v>
      </x:c>
      <x:c r="L1430" s="22" t="str">
        <x:v>村庄范围</x:v>
      </x:c>
      <x:c r="M1430" s="33" t="n">
        <x:v>3422.8199999999997</x:v>
      </x:c>
      <x:c r="N1430" s="33" t="n">
        <x:v>0.342282</x:v>
      </x:c>
      <x:c r="O1430" s="22" t="str">
        <x:v>公顷</x:v>
      </x:c>
      <x:c r="P1430" s="22" t="str">
        <x:v>未提供（单期横截面）</x:v>
      </x:c>
      <x:c r="Q1430" s="23" t="n">
        <x:v>4409</x:v>
      </x:c>
    </x:row>
    <x:row r="1431">
      <x:c r="A1431" s="30" t="n">
        <x:v>350500</x:v>
      </x:c>
      <x:c r="B1431" s="22" t="str">
        <x:v>泉州市</x:v>
      </x:c>
      <x:c r="C1431" s="31" t="n">
        <x:v>350525</x:v>
      </x:c>
      <x:c r="D1431" s="22" t="str">
        <x:v>永春县</x:v>
      </x:c>
      <x:c r="E1431" s="22" t="str">
        <x:v>农用地</x:v>
      </x:c>
      <x:c r="F1431" s="22" t="str">
        <x:v>其他农用地</x:v>
      </x:c>
      <x:c r="G1431" s="32" t="str">
        <x:v>1202</x:v>
      </x:c>
      <x:c r="H1431" s="32" t="str">
        <x:v>1202</x:v>
      </x:c>
      <x:c r="I1431" s="22" t="str">
        <x:v>设施农用地</x:v>
      </x:c>
      <x:c r="J1431" s="22" t="str">
        <x:v>农业生态</x:v>
      </x:c>
      <x:c r="K1431" s="32" t="str">
        <x:v>203</x:v>
      </x:c>
      <x:c r="L1431" s="22" t="str">
        <x:v>村庄范围</x:v>
      </x:c>
      <x:c r="M1431" s="33" t="n">
        <x:v>64.36</x:v>
      </x:c>
      <x:c r="N1431" s="33" t="n">
        <x:v>0.006436</x:v>
      </x:c>
      <x:c r="O1431" s="22" t="str">
        <x:v>公顷</x:v>
      </x:c>
      <x:c r="P1431" s="22" t="str">
        <x:v>未提供（单期横截面）</x:v>
      </x:c>
      <x:c r="Q1431" s="23" t="n">
        <x:v>4410</x:v>
      </x:c>
    </x:row>
    <x:row r="1432">
      <x:c r="A1432" s="30" t="n">
        <x:v>350500</x:v>
      </x:c>
      <x:c r="B1432" s="22" t="str">
        <x:v>泉州市</x:v>
      </x:c>
      <x:c r="C1432" s="31" t="n">
        <x:v>350525</x:v>
      </x:c>
      <x:c r="D1432" s="22" t="str">
        <x:v>永春县</x:v>
      </x:c>
      <x:c r="E1432" s="22" t="str">
        <x:v>农用地</x:v>
      </x:c>
      <x:c r="F1432" s="22" t="str">
        <x:v>林地</x:v>
      </x:c>
      <x:c r="G1432" s="32" t="str">
        <x:v>305</x:v>
      </x:c>
      <x:c r="H1432" s="32" t="str">
        <x:v>305</x:v>
      </x:c>
      <x:c r="I1432" s="22" t="str">
        <x:v>灌木林地</x:v>
      </x:c>
      <x:c r="J1432" s="22" t="str">
        <x:v>农业生态</x:v>
      </x:c>
      <x:c r="K1432" s="32" t="str">
        <x:v>204</x:v>
      </x:c>
      <x:c r="L1432" s="22" t="str">
        <x:v>盐田及采矿用地</x:v>
      </x:c>
      <x:c r="M1432" s="33" t="n">
        <x:v>5143.31</x:v>
      </x:c>
      <x:c r="N1432" s="33" t="n">
        <x:v>0.5143310000000001</x:v>
      </x:c>
      <x:c r="O1432" s="22" t="str">
        <x:v>公顷</x:v>
      </x:c>
      <x:c r="P1432" s="22" t="str">
        <x:v>未提供（单期横截面）</x:v>
      </x:c>
      <x:c r="Q1432" s="23" t="n">
        <x:v>4411</x:v>
      </x:c>
    </x:row>
    <x:row r="1433">
      <x:c r="A1433" s="30" t="n">
        <x:v>350500</x:v>
      </x:c>
      <x:c r="B1433" s="22" t="str">
        <x:v>泉州市</x:v>
      </x:c>
      <x:c r="C1433" s="31" t="n">
        <x:v>350525</x:v>
      </x:c>
      <x:c r="D1433" s="22" t="str">
        <x:v>永春县</x:v>
      </x:c>
      <x:c r="E1433" s="22" t="str">
        <x:v>农用地</x:v>
      </x:c>
      <x:c r="F1433" s="22" t="str">
        <x:v>林地</x:v>
      </x:c>
      <x:c r="G1433" s="32" t="str">
        <x:v>307</x:v>
      </x:c>
      <x:c r="H1433" s="32" t="str">
        <x:v>307</x:v>
      </x:c>
      <x:c r="I1433" s="22" t="str">
        <x:v>其他林地</x:v>
      </x:c>
      <x:c r="J1433" s="22" t="str">
        <x:v>农业生态</x:v>
      </x:c>
      <x:c r="K1433" s="32" t="str">
        <x:v>204</x:v>
      </x:c>
      <x:c r="L1433" s="22" t="str">
        <x:v>盐田及采矿用地</x:v>
      </x:c>
      <x:c r="M1433" s="33" t="n">
        <x:v>2525.16</x:v>
      </x:c>
      <x:c r="N1433" s="33" t="n">
        <x:v>0.25251599999999996</x:v>
      </x:c>
      <x:c r="O1433" s="22" t="str">
        <x:v>公顷</x:v>
      </x:c>
      <x:c r="P1433" s="22" t="str">
        <x:v>未提供（单期横截面）</x:v>
      </x:c>
      <x:c r="Q1433" s="23" t="n">
        <x:v>4412</x:v>
      </x:c>
    </x:row>
    <x:row r="1434">
      <x:c r="A1434" s="30" t="n">
        <x:v>350500</x:v>
      </x:c>
      <x:c r="B1434" s="22" t="str">
        <x:v>泉州市</x:v>
      </x:c>
      <x:c r="C1434" s="31" t="n">
        <x:v>350525</x:v>
      </x:c>
      <x:c r="D1434" s="22" t="str">
        <x:v>永春县</x:v>
      </x:c>
      <x:c r="E1434" s="22" t="str">
        <x:v>农用地</x:v>
      </x:c>
      <x:c r="F1434" s="22" t="str">
        <x:v>林地</x:v>
      </x:c>
      <x:c r="G1434" s="32" t="str">
        <x:v>301</x:v>
      </x:c>
      <x:c r="H1434" s="32" t="str">
        <x:v>301</x:v>
      </x:c>
      <x:c r="I1434" s="22" t="str">
        <x:v>乔木林地</x:v>
      </x:c>
      <x:c r="J1434" s="22" t="str">
        <x:v>农业生态</x:v>
      </x:c>
      <x:c r="K1434" s="32" t="str">
        <x:v>205</x:v>
      </x:c>
      <x:c r="L1434" s="22" t="str">
        <x:v>特殊用地</x:v>
      </x:c>
      <x:c r="M1434" s="33" t="n">
        <x:v>2007.01</x:v>
      </x:c>
      <x:c r="N1434" s="33" t="n">
        <x:v>0.200701</x:v>
      </x:c>
      <x:c r="O1434" s="22" t="str">
        <x:v>公顷</x:v>
      </x:c>
      <x:c r="P1434" s="22" t="str">
        <x:v>未提供（单期横截面）</x:v>
      </x:c>
      <x:c r="Q1434" s="23" t="n">
        <x:v>4413</x:v>
      </x:c>
    </x:row>
    <x:row r="1435">
      <x:c r="A1435" s="30" t="n">
        <x:v>350500</x:v>
      </x:c>
      <x:c r="B1435" s="22" t="str">
        <x:v>泉州市</x:v>
      </x:c>
      <x:c r="C1435" s="31" t="n">
        <x:v>350525</x:v>
      </x:c>
      <x:c r="D1435" s="22" t="str">
        <x:v>永春县</x:v>
      </x:c>
      <x:c r="E1435" s="22" t="str">
        <x:v>未利用地</x:v>
      </x:c>
      <x:c r="F1435" s="22" t="str">
        <x:v>草地</x:v>
      </x:c>
      <x:c r="G1435" s="32" t="str">
        <x:v>404</x:v>
      </x:c>
      <x:c r="H1435" s="32" t="str">
        <x:v>404</x:v>
      </x:c>
      <x:c r="I1435" s="22" t="str">
        <x:v>其他草地</x:v>
      </x:c>
      <x:c r="J1435" s="22" t="str">
        <x:v>农业生态</x:v>
      </x:c>
      <x:c r="K1435" s="32" t="str"/>
      <x:c r="L1435" s="22" t="str">
        <x:v>不适用/未标注</x:v>
      </x:c>
      <x:c r="M1435" s="33" t="n">
        <x:v>16957425.58999997</x:v>
      </x:c>
      <x:c r="N1435" s="33" t="n">
        <x:v>1695.742558999997</x:v>
      </x:c>
      <x:c r="O1435" s="22" t="str">
        <x:v>公顷</x:v>
      </x:c>
      <x:c r="P1435" s="22" t="str">
        <x:v>未提供（单期横截面）</x:v>
      </x:c>
      <x:c r="Q1435" s="23" t="n">
        <x:v>4414</x:v>
      </x:c>
    </x:row>
    <x:row r="1436">
      <x:c r="A1436" s="30" t="n">
        <x:v>350500</x:v>
      </x:c>
      <x:c r="B1436" s="22" t="str">
        <x:v>泉州市</x:v>
      </x:c>
      <x:c r="C1436" s="31" t="n">
        <x:v>350525</x:v>
      </x:c>
      <x:c r="D1436" s="22" t="str">
        <x:v>永春县</x:v>
      </x:c>
      <x:c r="E1436" s="22" t="str">
        <x:v>未利用地</x:v>
      </x:c>
      <x:c r="F1436" s="22" t="str">
        <x:v>水域及水利设施</x:v>
      </x:c>
      <x:c r="G1436" s="32" t="str">
        <x:v>1101</x:v>
      </x:c>
      <x:c r="H1436" s="32" t="str">
        <x:v>1101</x:v>
      </x:c>
      <x:c r="I1436" s="22" t="str">
        <x:v>河流水面</x:v>
      </x:c>
      <x:c r="J1436" s="22" t="str">
        <x:v>农业生态</x:v>
      </x:c>
      <x:c r="K1436" s="32" t="str"/>
      <x:c r="L1436" s="22" t="str">
        <x:v>不适用/未标注</x:v>
      </x:c>
      <x:c r="M1436" s="33" t="n">
        <x:v>15846044.199999975</x:v>
      </x:c>
      <x:c r="N1436" s="33" t="n">
        <x:v>1584.6044199999976</x:v>
      </x:c>
      <x:c r="O1436" s="22" t="str">
        <x:v>公顷</x:v>
      </x:c>
      <x:c r="P1436" s="22" t="str">
        <x:v>未提供（单期横截面）</x:v>
      </x:c>
      <x:c r="Q1436" s="23" t="n">
        <x:v>4415</x:v>
      </x:c>
    </x:row>
    <x:row r="1437">
      <x:c r="A1437" s="30" t="n">
        <x:v>350500</x:v>
      </x:c>
      <x:c r="B1437" s="22" t="str">
        <x:v>泉州市</x:v>
      </x:c>
      <x:c r="C1437" s="31" t="n">
        <x:v>350525</x:v>
      </x:c>
      <x:c r="D1437" s="22" t="str">
        <x:v>永春县</x:v>
      </x:c>
      <x:c r="E1437" s="22" t="str">
        <x:v>未利用地</x:v>
      </x:c>
      <x:c r="F1437" s="22" t="str">
        <x:v>水域及水利设施</x:v>
      </x:c>
      <x:c r="G1437" s="32" t="str">
        <x:v>1106</x:v>
      </x:c>
      <x:c r="H1437" s="32" t="str">
        <x:v>1106</x:v>
      </x:c>
      <x:c r="I1437" s="22" t="str">
        <x:v>内陆滩涂</x:v>
      </x:c>
      <x:c r="J1437" s="22" t="str">
        <x:v>农业生态</x:v>
      </x:c>
      <x:c r="K1437" s="32" t="str"/>
      <x:c r="L1437" s="22" t="str">
        <x:v>不适用/未标注</x:v>
      </x:c>
      <x:c r="M1437" s="33" t="n">
        <x:v>418504.01999999996</x:v>
      </x:c>
      <x:c r="N1437" s="33" t="n">
        <x:v>41.850401999999995</x:v>
      </x:c>
      <x:c r="O1437" s="22" t="str">
        <x:v>公顷</x:v>
      </x:c>
      <x:c r="P1437" s="22" t="str">
        <x:v>未提供（单期横截面）</x:v>
      </x:c>
      <x:c r="Q1437" s="23" t="n">
        <x:v>4416</x:v>
      </x:c>
    </x:row>
    <x:row r="1438">
      <x:c r="A1438" s="30" t="n">
        <x:v>350500</x:v>
      </x:c>
      <x:c r="B1438" s="22" t="str">
        <x:v>泉州市</x:v>
      </x:c>
      <x:c r="C1438" s="31" t="n">
        <x:v>350525</x:v>
      </x:c>
      <x:c r="D1438" s="22" t="str">
        <x:v>永春县</x:v>
      </x:c>
      <x:c r="E1438" s="22" t="str">
        <x:v>未利用地</x:v>
      </x:c>
      <x:c r="F1438" s="22" t="str">
        <x:v>未利用地</x:v>
      </x:c>
      <x:c r="G1438" s="32" t="str">
        <x:v>1207</x:v>
      </x:c>
      <x:c r="H1438" s="32" t="str">
        <x:v>1207</x:v>
      </x:c>
      <x:c r="I1438" s="22" t="str">
        <x:v>裸岩石砾地</x:v>
      </x:c>
      <x:c r="J1438" s="22" t="str">
        <x:v>未利用地</x:v>
      </x:c>
      <x:c r="K1438" s="32" t="str"/>
      <x:c r="L1438" s="22" t="str">
        <x:v>不适用/未标注</x:v>
      </x:c>
      <x:c r="M1438" s="33" t="n">
        <x:v>369817.0799999999</x:v>
      </x:c>
      <x:c r="N1438" s="33" t="n">
        <x:v>36.98170799999999</x:v>
      </x:c>
      <x:c r="O1438" s="22" t="str">
        <x:v>公顷</x:v>
      </x:c>
      <x:c r="P1438" s="22" t="str">
        <x:v>未提供（单期横截面）</x:v>
      </x:c>
      <x:c r="Q1438" s="23" t="n">
        <x:v>4417</x:v>
      </x:c>
    </x:row>
    <x:row r="1439">
      <x:c r="A1439" s="30" t="n">
        <x:v>350500</x:v>
      </x:c>
      <x:c r="B1439" s="22" t="str">
        <x:v>泉州市</x:v>
      </x:c>
      <x:c r="C1439" s="31" t="n">
        <x:v>350525</x:v>
      </x:c>
      <x:c r="D1439" s="22" t="str">
        <x:v>永春县</x:v>
      </x:c>
      <x:c r="E1439" s="22" t="str">
        <x:v>未利用地</x:v>
      </x:c>
      <x:c r="F1439" s="22" t="str">
        <x:v>草地</x:v>
      </x:c>
      <x:c r="G1439" s="32" t="str">
        <x:v>404</x:v>
      </x:c>
      <x:c r="H1439" s="32" t="str">
        <x:v>404</x:v>
      </x:c>
      <x:c r="I1439" s="22" t="str">
        <x:v>其他草地</x:v>
      </x:c>
      <x:c r="J1439" s="22" t="str">
        <x:v>农业生态</x:v>
      </x:c>
      <x:c r="K1439" s="32" t="str">
        <x:v>202</x:v>
      </x:c>
      <x:c r="L1439" s="22" t="str">
        <x:v>建制镇范围</x:v>
      </x:c>
      <x:c r="M1439" s="33" t="n">
        <x:v>12320.57</x:v>
      </x:c>
      <x:c r="N1439" s="33" t="n">
        <x:v>1.232057</x:v>
      </x:c>
      <x:c r="O1439" s="22" t="str">
        <x:v>公顷</x:v>
      </x:c>
      <x:c r="P1439" s="22" t="str">
        <x:v>未提供（单期横截面）</x:v>
      </x:c>
      <x:c r="Q1439" s="23" t="n">
        <x:v>4418</x:v>
      </x:c>
    </x:row>
    <x:row r="1440">
      <x:c r="A1440" s="30" t="n">
        <x:v>350500</x:v>
      </x:c>
      <x:c r="B1440" s="22" t="str">
        <x:v>泉州市</x:v>
      </x:c>
      <x:c r="C1440" s="31" t="n">
        <x:v>350525</x:v>
      </x:c>
      <x:c r="D1440" s="22" t="str">
        <x:v>永春县</x:v>
      </x:c>
      <x:c r="E1440" s="22" t="str">
        <x:v>未利用地</x:v>
      </x:c>
      <x:c r="F1440" s="22" t="str">
        <x:v>水域及水利设施</x:v>
      </x:c>
      <x:c r="G1440" s="32" t="str">
        <x:v>1101</x:v>
      </x:c>
      <x:c r="H1440" s="32" t="str">
        <x:v>1101</x:v>
      </x:c>
      <x:c r="I1440" s="22" t="str">
        <x:v>河流水面</x:v>
      </x:c>
      <x:c r="J1440" s="22" t="str">
        <x:v>农业生态</x:v>
      </x:c>
      <x:c r="K1440" s="32" t="str">
        <x:v>202</x:v>
      </x:c>
      <x:c r="L1440" s="22" t="str">
        <x:v>建制镇范围</x:v>
      </x:c>
      <x:c r="M1440" s="33" t="n">
        <x:v>3160.21</x:v>
      </x:c>
      <x:c r="N1440" s="33" t="n">
        <x:v>0.316021</x:v>
      </x:c>
      <x:c r="O1440" s="22" t="str">
        <x:v>公顷</x:v>
      </x:c>
      <x:c r="P1440" s="22" t="str">
        <x:v>未提供（单期横截面）</x:v>
      </x:c>
      <x:c r="Q1440" s="23" t="n">
        <x:v>4419</x:v>
      </x:c>
    </x:row>
    <x:row r="1441">
      <x:c r="A1441" s="30" t="n">
        <x:v>350500</x:v>
      </x:c>
      <x:c r="B1441" s="22" t="str">
        <x:v>泉州市</x:v>
      </x:c>
      <x:c r="C1441" s="31" t="n">
        <x:v>350525</x:v>
      </x:c>
      <x:c r="D1441" s="22" t="str">
        <x:v>永春县</x:v>
      </x:c>
      <x:c r="E1441" s="22" t="str">
        <x:v>未利用地</x:v>
      </x:c>
      <x:c r="F1441" s="22" t="str">
        <x:v>草地</x:v>
      </x:c>
      <x:c r="G1441" s="32" t="str">
        <x:v>404</x:v>
      </x:c>
      <x:c r="H1441" s="32" t="str">
        <x:v>404</x:v>
      </x:c>
      <x:c r="I1441" s="22" t="str">
        <x:v>其他草地</x:v>
      </x:c>
      <x:c r="J1441" s="22" t="str">
        <x:v>农业生态</x:v>
      </x:c>
      <x:c r="K1441" s="32" t="str">
        <x:v>203</x:v>
      </x:c>
      <x:c r="L1441" s="22" t="str">
        <x:v>村庄范围</x:v>
      </x:c>
      <x:c r="M1441" s="33" t="n">
        <x:v>1320.9</x:v>
      </x:c>
      <x:c r="N1441" s="33" t="n">
        <x:v>0.13209</x:v>
      </x:c>
      <x:c r="O1441" s="22" t="str">
        <x:v>公顷</x:v>
      </x:c>
      <x:c r="P1441" s="22" t="str">
        <x:v>未提供（单期横截面）</x:v>
      </x:c>
      <x:c r="Q1441" s="23" t="n">
        <x:v>4420</x:v>
      </x:c>
    </x:row>
    <x:row r="1442">
      <x:c r="A1442" s="30" t="n">
        <x:v>350500</x:v>
      </x:c>
      <x:c r="B1442" s="22" t="str">
        <x:v>泉州市</x:v>
      </x:c>
      <x:c r="C1442" s="31" t="n">
        <x:v>350525</x:v>
      </x:c>
      <x:c r="D1442" s="22" t="str">
        <x:v>永春县</x:v>
      </x:c>
      <x:c r="E1442" s="22" t="str">
        <x:v>未利用地</x:v>
      </x:c>
      <x:c r="F1442" s="22" t="str">
        <x:v>水域及水利设施</x:v>
      </x:c>
      <x:c r="G1442" s="32" t="str">
        <x:v>1101</x:v>
      </x:c>
      <x:c r="H1442" s="32" t="str">
        <x:v>1101</x:v>
      </x:c>
      <x:c r="I1442" s="22" t="str">
        <x:v>河流水面</x:v>
      </x:c>
      <x:c r="J1442" s="22" t="str">
        <x:v>农业生态</x:v>
      </x:c>
      <x:c r="K1442" s="32" t="str">
        <x:v>203</x:v>
      </x:c>
      <x:c r="L1442" s="22" t="str">
        <x:v>村庄范围</x:v>
      </x:c>
      <x:c r="M1442" s="33" t="n">
        <x:v>2051.96</x:v>
      </x:c>
      <x:c r="N1442" s="33" t="n">
        <x:v>0.20519600000000002</x:v>
      </x:c>
      <x:c r="O1442" s="22" t="str">
        <x:v>公顷</x:v>
      </x:c>
      <x:c r="P1442" s="22" t="str">
        <x:v>未提供（单期横截面）</x:v>
      </x:c>
      <x:c r="Q1442" s="23" t="n">
        <x:v>4421</x:v>
      </x:c>
    </x:row>
    <x:row r="1443">
      <x:c r="A1443" s="30" t="n">
        <x:v>350500</x:v>
      </x:c>
      <x:c r="B1443" s="22" t="str">
        <x:v>泉州市</x:v>
      </x:c>
      <x:c r="C1443" s="31" t="n">
        <x:v>350526</x:v>
      </x:c>
      <x:c r="D1443" s="22" t="str">
        <x:v>德化县</x:v>
      </x:c>
      <x:c r="E1443" s="22" t="str">
        <x:v>建设用地</x:v>
      </x:c>
      <x:c r="F1443" s="22" t="str">
        <x:v>交通运输用地</x:v>
      </x:c>
      <x:c r="G1443" s="32" t="str">
        <x:v>1001</x:v>
      </x:c>
      <x:c r="H1443" s="32" t="str">
        <x:v>1001</x:v>
      </x:c>
      <x:c r="I1443" s="22" t="str">
        <x:v>铁路用地</x:v>
      </x:c>
      <x:c r="J1443" s="22" t="str">
        <x:v>交通门户</x:v>
      </x:c>
      <x:c r="K1443" s="32" t="str"/>
      <x:c r="L1443" s="22" t="str">
        <x:v>不适用/未标注</x:v>
      </x:c>
      <x:c r="M1443" s="33" t="n">
        <x:v>139977.12999999998</x:v>
      </x:c>
      <x:c r="N1443" s="33" t="n">
        <x:v>13.997712999999997</x:v>
      </x:c>
      <x:c r="O1443" s="22" t="str">
        <x:v>公顷</x:v>
      </x:c>
      <x:c r="P1443" s="22" t="str">
        <x:v>未提供（单期横截面）</x:v>
      </x:c>
      <x:c r="Q1443" s="23" t="n">
        <x:v>4422</x:v>
      </x:c>
    </x:row>
    <x:row r="1444">
      <x:c r="A1444" s="30" t="n">
        <x:v>350500</x:v>
      </x:c>
      <x:c r="B1444" s="22" t="str">
        <x:v>泉州市</x:v>
      </x:c>
      <x:c r="C1444" s="31" t="n">
        <x:v>350526</x:v>
      </x:c>
      <x:c r="D1444" s="22" t="str">
        <x:v>德化县</x:v>
      </x:c>
      <x:c r="E1444" s="22" t="str">
        <x:v>建设用地</x:v>
      </x:c>
      <x:c r="F1444" s="22" t="str">
        <x:v>交通运输用地</x:v>
      </x:c>
      <x:c r="G1444" s="32" t="str">
        <x:v>1003</x:v>
      </x:c>
      <x:c r="H1444" s="32" t="str">
        <x:v>1003</x:v>
      </x:c>
      <x:c r="I1444" s="22" t="str">
        <x:v>公路用地</x:v>
      </x:c>
      <x:c r="J1444" s="22" t="str">
        <x:v>交通门户</x:v>
      </x:c>
      <x:c r="K1444" s="32" t="str"/>
      <x:c r="L1444" s="22" t="str">
        <x:v>不适用/未标注</x:v>
      </x:c>
      <x:c r="M1444" s="33" t="n">
        <x:v>17001378.72000002</x:v>
      </x:c>
      <x:c r="N1444" s="33" t="n">
        <x:v>1700.137872000002</x:v>
      </x:c>
      <x:c r="O1444" s="22" t="str">
        <x:v>公顷</x:v>
      </x:c>
      <x:c r="P1444" s="22" t="str">
        <x:v>未提供（单期横截面）</x:v>
      </x:c>
      <x:c r="Q1444" s="23" t="n">
        <x:v>4423</x:v>
      </x:c>
    </x:row>
    <x:row r="1445">
      <x:c r="A1445" s="30" t="n">
        <x:v>350500</x:v>
      </x:c>
      <x:c r="B1445" s="22" t="str">
        <x:v>泉州市</x:v>
      </x:c>
      <x:c r="C1445" s="31" t="n">
        <x:v>350526</x:v>
      </x:c>
      <x:c r="D1445" s="22" t="str">
        <x:v>德化县</x:v>
      </x:c>
      <x:c r="E1445" s="22" t="str">
        <x:v>建设用地</x:v>
      </x:c>
      <x:c r="F1445" s="22" t="str">
        <x:v>水域及水利设施</x:v>
      </x:c>
      <x:c r="G1445" s="32" t="str">
        <x:v>1109</x:v>
      </x:c>
      <x:c r="H1445" s="32" t="str">
        <x:v>1109</x:v>
      </x:c>
      <x:c r="I1445" s="22" t="str">
        <x:v>水工建筑用地</x:v>
      </x:c>
      <x:c r="J1445" s="22" t="str">
        <x:v>其他建设</x:v>
      </x:c>
      <x:c r="K1445" s="32" t="str"/>
      <x:c r="L1445" s="22" t="str">
        <x:v>不适用/未标注</x:v>
      </x:c>
      <x:c r="M1445" s="33" t="n">
        <x:v>525526.4400000003</x:v>
      </x:c>
      <x:c r="N1445" s="33" t="n">
        <x:v>52.55264400000003</x:v>
      </x:c>
      <x:c r="O1445" s="22" t="str">
        <x:v>公顷</x:v>
      </x:c>
      <x:c r="P1445" s="22" t="str">
        <x:v>未提供（单期横截面）</x:v>
      </x:c>
      <x:c r="Q1445" s="23" t="n">
        <x:v>4424</x:v>
      </x:c>
    </x:row>
    <x:row r="1446">
      <x:c r="A1446" s="30" t="n">
        <x:v>350500</x:v>
      </x:c>
      <x:c r="B1446" s="22" t="str">
        <x:v>泉州市</x:v>
      </x:c>
      <x:c r="C1446" s="31" t="n">
        <x:v>350526</x:v>
      </x:c>
      <x:c r="D1446" s="22" t="str">
        <x:v>德化县</x:v>
      </x:c>
      <x:c r="E1446" s="22" t="str">
        <x:v>建设用地</x:v>
      </x:c>
      <x:c r="F1446" s="22" t="str">
        <x:v>工矿仓储用地</x:v>
      </x:c>
      <x:c r="G1446" s="32" t="str">
        <x:v>508</x:v>
      </x:c>
      <x:c r="H1446" s="32" t="str">
        <x:v>508</x:v>
      </x:c>
      <x:c r="I1446" s="22" t="str">
        <x:v>物流仓储用地</x:v>
      </x:c>
      <x:c r="J1446" s="22" t="str">
        <x:v>产业功能</x:v>
      </x:c>
      <x:c r="K1446" s="32" t="str">
        <x:v>202</x:v>
      </x:c>
      <x:c r="L1446" s="22" t="str">
        <x:v>建制镇范围</x:v>
      </x:c>
      <x:c r="M1446" s="33" t="n">
        <x:v>40336.46</x:v>
      </x:c>
      <x:c r="N1446" s="33" t="n">
        <x:v>4.033646</x:v>
      </x:c>
      <x:c r="O1446" s="22" t="str">
        <x:v>公顷</x:v>
      </x:c>
      <x:c r="P1446" s="22" t="str">
        <x:v>未提供（单期横截面）</x:v>
      </x:c>
      <x:c r="Q1446" s="23" t="n">
        <x:v>4425</x:v>
      </x:c>
    </x:row>
    <x:row r="1447">
      <x:c r="A1447" s="30" t="n">
        <x:v>350500</x:v>
      </x:c>
      <x:c r="B1447" s="22" t="str">
        <x:v>泉州市</x:v>
      </x:c>
      <x:c r="C1447" s="31" t="n">
        <x:v>350526</x:v>
      </x:c>
      <x:c r="D1447" s="22" t="str">
        <x:v>德化县</x:v>
      </x:c>
      <x:c r="E1447" s="22" t="str">
        <x:v>建设用地</x:v>
      </x:c>
      <x:c r="F1447" s="22" t="str">
        <x:v>商业服务业用地</x:v>
      </x:c>
      <x:c r="G1447" s="32" t="str">
        <x:v>05H1</x:v>
      </x:c>
      <x:c r="H1447" s="32" t="str">
        <x:v>05H1</x:v>
      </x:c>
      <x:c r="I1447" s="22" t="str">
        <x:v>商业服务业设施用地</x:v>
      </x:c>
      <x:c r="J1447" s="22" t="str">
        <x:v>商业服务</x:v>
      </x:c>
      <x:c r="K1447" s="32" t="str">
        <x:v>202</x:v>
      </x:c>
      <x:c r="L1447" s="22" t="str">
        <x:v>建制镇范围</x:v>
      </x:c>
      <x:c r="M1447" s="33" t="n">
        <x:v>569732.32</x:v>
      </x:c>
      <x:c r="N1447" s="33" t="n">
        <x:v>56.973231999999996</x:v>
      </x:c>
      <x:c r="O1447" s="22" t="str">
        <x:v>公顷</x:v>
      </x:c>
      <x:c r="P1447" s="22" t="str">
        <x:v>未提供（单期横截面）</x:v>
      </x:c>
      <x:c r="Q1447" s="23" t="n">
        <x:v>4426</x:v>
      </x:c>
    </x:row>
    <x:row r="1448">
      <x:c r="A1448" s="30" t="n">
        <x:v>350500</x:v>
      </x:c>
      <x:c r="B1448" s="22" t="str">
        <x:v>泉州市</x:v>
      </x:c>
      <x:c r="C1448" s="31" t="n">
        <x:v>350526</x:v>
      </x:c>
      <x:c r="D1448" s="22" t="str">
        <x:v>德化县</x:v>
      </x:c>
      <x:c r="E1448" s="22" t="str">
        <x:v>建设用地</x:v>
      </x:c>
      <x:c r="F1448" s="22" t="str">
        <x:v>工矿仓储用地</x:v>
      </x:c>
      <x:c r="G1448" s="32" t="str">
        <x:v>601</x:v>
      </x:c>
      <x:c r="H1448" s="32" t="str">
        <x:v>601</x:v>
      </x:c>
      <x:c r="I1448" s="22" t="str">
        <x:v>工业用地</x:v>
      </x:c>
      <x:c r="J1448" s="22" t="str">
        <x:v>产业功能</x:v>
      </x:c>
      <x:c r="K1448" s="32" t="str">
        <x:v>202</x:v>
      </x:c>
      <x:c r="L1448" s="22" t="str">
        <x:v>建制镇范围</x:v>
      </x:c>
      <x:c r="M1448" s="33" t="n">
        <x:v>5672542.48</x:v>
      </x:c>
      <x:c r="N1448" s="33" t="n">
        <x:v>567.2542480000001</x:v>
      </x:c>
      <x:c r="O1448" s="22" t="str">
        <x:v>公顷</x:v>
      </x:c>
      <x:c r="P1448" s="22" t="str">
        <x:v>未提供（单期横截面）</x:v>
      </x:c>
      <x:c r="Q1448" s="23" t="n">
        <x:v>4427</x:v>
      </x:c>
    </x:row>
    <x:row r="1449">
      <x:c r="A1449" s="30" t="n">
        <x:v>350500</x:v>
      </x:c>
      <x:c r="B1449" s="22" t="str">
        <x:v>泉州市</x:v>
      </x:c>
      <x:c r="C1449" s="31" t="n">
        <x:v>350526</x:v>
      </x:c>
      <x:c r="D1449" s="22" t="str">
        <x:v>德化县</x:v>
      </x:c>
      <x:c r="E1449" s="22" t="str">
        <x:v>建设用地</x:v>
      </x:c>
      <x:c r="F1449" s="22" t="str">
        <x:v>居住用地</x:v>
      </x:c>
      <x:c r="G1449" s="32" t="str">
        <x:v>701</x:v>
      </x:c>
      <x:c r="H1449" s="32" t="str">
        <x:v>701</x:v>
      </x:c>
      <x:c r="I1449" s="22" t="str">
        <x:v>城镇住宅用地</x:v>
      </x:c>
      <x:c r="J1449" s="22" t="str">
        <x:v>居住功能</x:v>
      </x:c>
      <x:c r="K1449" s="32" t="str">
        <x:v>202</x:v>
      </x:c>
      <x:c r="L1449" s="22" t="str">
        <x:v>建制镇范围</x:v>
      </x:c>
      <x:c r="M1449" s="33" t="n">
        <x:v>9597060.110000003</x:v>
      </x:c>
      <x:c r="N1449" s="33" t="n">
        <x:v>959.7060110000003</x:v>
      </x:c>
      <x:c r="O1449" s="22" t="str">
        <x:v>公顷</x:v>
      </x:c>
      <x:c r="P1449" s="22" t="str">
        <x:v>未提供（单期横截面）</x:v>
      </x:c>
      <x:c r="Q1449" s="23" t="n">
        <x:v>4428</x:v>
      </x:c>
    </x:row>
    <x:row r="1450">
      <x:c r="A1450" s="30" t="n">
        <x:v>350500</x:v>
      </x:c>
      <x:c r="B1450" s="22" t="str">
        <x:v>泉州市</x:v>
      </x:c>
      <x:c r="C1450" s="31" t="n">
        <x:v>350526</x:v>
      </x:c>
      <x:c r="D1450" s="22" t="str">
        <x:v>德化县</x:v>
      </x:c>
      <x:c r="E1450" s="22" t="str">
        <x:v>建设用地</x:v>
      </x:c>
      <x:c r="F1450" s="22" t="str">
        <x:v>居住用地</x:v>
      </x:c>
      <x:c r="G1450" s="32" t="str">
        <x:v>702</x:v>
      </x:c>
      <x:c r="H1450" s="32" t="str">
        <x:v>702</x:v>
      </x:c>
      <x:c r="I1450" s="22" t="str">
        <x:v>农村宅基地</x:v>
      </x:c>
      <x:c r="J1450" s="22" t="str">
        <x:v>居住功能</x:v>
      </x:c>
      <x:c r="K1450" s="32" t="str">
        <x:v>202</x:v>
      </x:c>
      <x:c r="L1450" s="22" t="str">
        <x:v>建制镇范围</x:v>
      </x:c>
      <x:c r="M1450" s="33" t="n">
        <x:v>2607.12</x:v>
      </x:c>
      <x:c r="N1450" s="33" t="n">
        <x:v>0.260712</x:v>
      </x:c>
      <x:c r="O1450" s="22" t="str">
        <x:v>公顷</x:v>
      </x:c>
      <x:c r="P1450" s="22" t="str">
        <x:v>未提供（单期横截面）</x:v>
      </x:c>
      <x:c r="Q1450" s="23" t="n">
        <x:v>4429</x:v>
      </x:c>
    </x:row>
    <x:row r="1451">
      <x:c r="A1451" s="30" t="n">
        <x:v>350500</x:v>
      </x:c>
      <x:c r="B1451" s="22" t="str">
        <x:v>泉州市</x:v>
      </x:c>
      <x:c r="C1451" s="31" t="n">
        <x:v>350526</x:v>
      </x:c>
      <x:c r="D1451" s="22" t="str">
        <x:v>德化县</x:v>
      </x:c>
      <x:c r="E1451" s="22" t="str">
        <x:v>建设用地</x:v>
      </x:c>
      <x:c r="F1451" s="22" t="str">
        <x:v>公用设施用地</x:v>
      </x:c>
      <x:c r="G1451" s="32" t="str">
        <x:v>809</x:v>
      </x:c>
      <x:c r="H1451" s="32" t="str">
        <x:v>809</x:v>
      </x:c>
      <x:c r="I1451" s="22" t="str">
        <x:v>公用设施用地</x:v>
      </x:c>
      <x:c r="J1451" s="22" t="str">
        <x:v>其他建设</x:v>
      </x:c>
      <x:c r="K1451" s="32" t="str">
        <x:v>202</x:v>
      </x:c>
      <x:c r="L1451" s="22" t="str">
        <x:v>建制镇范围</x:v>
      </x:c>
      <x:c r="M1451" s="33" t="n">
        <x:v>195371.86</x:v>
      </x:c>
      <x:c r="N1451" s="33" t="n">
        <x:v>19.537186</x:v>
      </x:c>
      <x:c r="O1451" s="22" t="str">
        <x:v>公顷</x:v>
      </x:c>
      <x:c r="P1451" s="22" t="str">
        <x:v>未提供（单期横截面）</x:v>
      </x:c>
      <x:c r="Q1451" s="23" t="n">
        <x:v>4430</x:v>
      </x:c>
    </x:row>
    <x:row r="1452">
      <x:c r="A1452" s="30" t="n">
        <x:v>350500</x:v>
      </x:c>
      <x:c r="B1452" s="22" t="str">
        <x:v>泉州市</x:v>
      </x:c>
      <x:c r="C1452" s="31" t="n">
        <x:v>350526</x:v>
      </x:c>
      <x:c r="D1452" s="22" t="str">
        <x:v>德化县</x:v>
      </x:c>
      <x:c r="E1452" s="22" t="str">
        <x:v>建设用地</x:v>
      </x:c>
      <x:c r="F1452" s="22" t="str">
        <x:v>绿地与广场用地</x:v>
      </x:c>
      <x:c r="G1452" s="32" t="str">
        <x:v>810</x:v>
      </x:c>
      <x:c r="H1452" s="32" t="str">
        <x:v>810</x:v>
      </x:c>
      <x:c r="I1452" s="22" t="str">
        <x:v>公园与绿地</x:v>
      </x:c>
      <x:c r="J1452" s="22" t="str">
        <x:v>公共空间</x:v>
      </x:c>
      <x:c r="K1452" s="32" t="str">
        <x:v>202</x:v>
      </x:c>
      <x:c r="L1452" s="22" t="str">
        <x:v>建制镇范围</x:v>
      </x:c>
      <x:c r="M1452" s="33" t="n">
        <x:v>166346.80999999997</x:v>
      </x:c>
      <x:c r="N1452" s="33" t="n">
        <x:v>16.634680999999997</x:v>
      </x:c>
      <x:c r="O1452" s="22" t="str">
        <x:v>公顷</x:v>
      </x:c>
      <x:c r="P1452" s="22" t="str">
        <x:v>未提供（单期横截面）</x:v>
      </x:c>
      <x:c r="Q1452" s="23" t="n">
        <x:v>4431</x:v>
      </x:c>
    </x:row>
    <x:row r="1453">
      <x:c r="A1453" s="30" t="n">
        <x:v>350500</x:v>
      </x:c>
      <x:c r="B1453" s="22" t="str">
        <x:v>泉州市</x:v>
      </x:c>
      <x:c r="C1453" s="31" t="n">
        <x:v>350526</x:v>
      </x:c>
      <x:c r="D1453" s="22" t="str">
        <x:v>德化县</x:v>
      </x:c>
      <x:c r="E1453" s="22" t="str">
        <x:v>建设用地</x:v>
      </x:c>
      <x:c r="F1453" s="22" t="str">
        <x:v>绿地与广场用地</x:v>
      </x:c>
      <x:c r="G1453" s="32" t="str">
        <x:v>0810A</x:v>
      </x:c>
      <x:c r="H1453" s="32" t="str">
        <x:v>0810</x:v>
      </x:c>
      <x:c r="I1453" s="22" t="str">
        <x:v>广场用地</x:v>
      </x:c>
      <x:c r="J1453" s="22" t="str">
        <x:v>公共空间</x:v>
      </x:c>
      <x:c r="K1453" s="32" t="str">
        <x:v>202</x:v>
      </x:c>
      <x:c r="L1453" s="22" t="str">
        <x:v>建制镇范围</x:v>
      </x:c>
      <x:c r="M1453" s="33" t="n">
        <x:v>18755.550000000003</x:v>
      </x:c>
      <x:c r="N1453" s="33" t="n">
        <x:v>1.8755550000000003</x:v>
      </x:c>
      <x:c r="O1453" s="22" t="str">
        <x:v>公顷</x:v>
      </x:c>
      <x:c r="P1453" s="22" t="str">
        <x:v>未提供（单期横截面）</x:v>
      </x:c>
      <x:c r="Q1453" s="23" t="n">
        <x:v>4432</x:v>
      </x:c>
    </x:row>
    <x:row r="1454">
      <x:c r="A1454" s="30" t="n">
        <x:v>350500</x:v>
      </x:c>
      <x:c r="B1454" s="22" t="str">
        <x:v>泉州市</x:v>
      </x:c>
      <x:c r="C1454" s="31" t="n">
        <x:v>350526</x:v>
      </x:c>
      <x:c r="D1454" s="22" t="str">
        <x:v>德化县</x:v>
      </x:c>
      <x:c r="E1454" s="22" t="str">
        <x:v>建设用地</x:v>
      </x:c>
      <x:c r="F1454" s="22" t="str">
        <x:v>公共管理与公共服务用地</x:v>
      </x:c>
      <x:c r="G1454" s="32" t="str">
        <x:v>08H1</x:v>
      </x:c>
      <x:c r="H1454" s="32" t="str">
        <x:v>08H1</x:v>
      </x:c>
      <x:c r="I1454" s="22" t="str">
        <x:v>机关团体新闻出版用地</x:v>
      </x:c>
      <x:c r="J1454" s="22" t="str">
        <x:v>公共服务</x:v>
      </x:c>
      <x:c r="K1454" s="32" t="str">
        <x:v>202</x:v>
      </x:c>
      <x:c r="L1454" s="22" t="str">
        <x:v>建制镇范围</x:v>
      </x:c>
      <x:c r="M1454" s="33" t="n">
        <x:v>305541.5300000001</x:v>
      </x:c>
      <x:c r="N1454" s="33" t="n">
        <x:v>30.55415300000001</x:v>
      </x:c>
      <x:c r="O1454" s="22" t="str">
        <x:v>公顷</x:v>
      </x:c>
      <x:c r="P1454" s="22" t="str">
        <x:v>未提供（单期横截面）</x:v>
      </x:c>
      <x:c r="Q1454" s="23" t="n">
        <x:v>4433</x:v>
      </x:c>
    </x:row>
    <x:row r="1455">
      <x:c r="A1455" s="30" t="n">
        <x:v>350500</x:v>
      </x:c>
      <x:c r="B1455" s="22" t="str">
        <x:v>泉州市</x:v>
      </x:c>
      <x:c r="C1455" s="31" t="n">
        <x:v>350526</x:v>
      </x:c>
      <x:c r="D1455" s="22" t="str">
        <x:v>德化县</x:v>
      </x:c>
      <x:c r="E1455" s="22" t="str">
        <x:v>建设用地</x:v>
      </x:c>
      <x:c r="F1455" s="22" t="str">
        <x:v>公共管理与公共服务用地</x:v>
      </x:c>
      <x:c r="G1455" s="32" t="str">
        <x:v>08H2</x:v>
      </x:c>
      <x:c r="H1455" s="32" t="str">
        <x:v>08H2</x:v>
      </x:c>
      <x:c r="I1455" s="22" t="str">
        <x:v>科教文卫用地</x:v>
      </x:c>
      <x:c r="J1455" s="22" t="str">
        <x:v>公共服务</x:v>
      </x:c>
      <x:c r="K1455" s="32" t="str">
        <x:v>202</x:v>
      </x:c>
      <x:c r="L1455" s="22" t="str">
        <x:v>建制镇范围</x:v>
      </x:c>
      <x:c r="M1455" s="33" t="n">
        <x:v>982418.3700000006</x:v>
      </x:c>
      <x:c r="N1455" s="33" t="n">
        <x:v>98.24183700000006</x:v>
      </x:c>
      <x:c r="O1455" s="22" t="str">
        <x:v>公顷</x:v>
      </x:c>
      <x:c r="P1455" s="22" t="str">
        <x:v>未提供（单期横截面）</x:v>
      </x:c>
      <x:c r="Q1455" s="23" t="n">
        <x:v>4434</x:v>
      </x:c>
    </x:row>
    <x:row r="1456">
      <x:c r="A1456" s="30" t="n">
        <x:v>350500</x:v>
      </x:c>
      <x:c r="B1456" s="22" t="str">
        <x:v>泉州市</x:v>
      </x:c>
      <x:c r="C1456" s="31" t="n">
        <x:v>350526</x:v>
      </x:c>
      <x:c r="D1456" s="22" t="str">
        <x:v>德化县</x:v>
      </x:c>
      <x:c r="E1456" s="22" t="str">
        <x:v>建设用地</x:v>
      </x:c>
      <x:c r="F1456" s="22" t="str">
        <x:v>公共管理与公共服务用地</x:v>
      </x:c>
      <x:c r="G1456" s="32" t="str">
        <x:v>08H2A</x:v>
      </x:c>
      <x:c r="H1456" s="32" t="str">
        <x:v>08H2</x:v>
      </x:c>
      <x:c r="I1456" s="22" t="str">
        <x:v>高教用地</x:v>
      </x:c>
      <x:c r="J1456" s="22" t="str">
        <x:v>公共服务</x:v>
      </x:c>
      <x:c r="K1456" s="32" t="str">
        <x:v>202</x:v>
      </x:c>
      <x:c r="L1456" s="22" t="str">
        <x:v>建制镇范围</x:v>
      </x:c>
      <x:c r="M1456" s="33" t="n">
        <x:v>199904.13</x:v>
      </x:c>
      <x:c r="N1456" s="33" t="n">
        <x:v>19.990413</x:v>
      </x:c>
      <x:c r="O1456" s="22" t="str">
        <x:v>公顷</x:v>
      </x:c>
      <x:c r="P1456" s="22" t="str">
        <x:v>未提供（单期横截面）</x:v>
      </x:c>
      <x:c r="Q1456" s="23" t="n">
        <x:v>4435</x:v>
      </x:c>
    </x:row>
    <x:row r="1457">
      <x:c r="A1457" s="30" t="n">
        <x:v>350500</x:v>
      </x:c>
      <x:c r="B1457" s="22" t="str">
        <x:v>泉州市</x:v>
      </x:c>
      <x:c r="C1457" s="31" t="n">
        <x:v>350526</x:v>
      </x:c>
      <x:c r="D1457" s="22" t="str">
        <x:v>德化县</x:v>
      </x:c>
      <x:c r="E1457" s="22" t="str">
        <x:v>建设用地</x:v>
      </x:c>
      <x:c r="F1457" s="22" t="str">
        <x:v>特殊用地</x:v>
      </x:c>
      <x:c r="G1457" s="32" t="str">
        <x:v>9</x:v>
      </x:c>
      <x:c r="H1457" s="32" t="str">
        <x:v>9</x:v>
      </x:c>
      <x:c r="I1457" s="22" t="str">
        <x:v>特殊用地</x:v>
      </x:c>
      <x:c r="J1457" s="22" t="str">
        <x:v>其他建设</x:v>
      </x:c>
      <x:c r="K1457" s="32" t="str">
        <x:v>202</x:v>
      </x:c>
      <x:c r="L1457" s="22" t="str">
        <x:v>建制镇范围</x:v>
      </x:c>
      <x:c r="M1457" s="33" t="n">
        <x:v>141662.10000000003</x:v>
      </x:c>
      <x:c r="N1457" s="33" t="n">
        <x:v>14.166210000000003</x:v>
      </x:c>
      <x:c r="O1457" s="22" t="str">
        <x:v>公顷</x:v>
      </x:c>
      <x:c r="P1457" s="22" t="str">
        <x:v>未提供（单期横截面）</x:v>
      </x:c>
      <x:c r="Q1457" s="23" t="n">
        <x:v>4436</x:v>
      </x:c>
    </x:row>
    <x:row r="1458">
      <x:c r="A1458" s="30" t="n">
        <x:v>350500</x:v>
      </x:c>
      <x:c r="B1458" s="22" t="str">
        <x:v>泉州市</x:v>
      </x:c>
      <x:c r="C1458" s="31" t="n">
        <x:v>350526</x:v>
      </x:c>
      <x:c r="D1458" s="22" t="str">
        <x:v>德化县</x:v>
      </x:c>
      <x:c r="E1458" s="22" t="str">
        <x:v>建设用地</x:v>
      </x:c>
      <x:c r="F1458" s="22" t="str">
        <x:v>交通运输用地</x:v>
      </x:c>
      <x:c r="G1458" s="32" t="str">
        <x:v>1004</x:v>
      </x:c>
      <x:c r="H1458" s="32" t="str">
        <x:v>1004</x:v>
      </x:c>
      <x:c r="I1458" s="22" t="str">
        <x:v>城镇村道路用地</x:v>
      </x:c>
      <x:c r="J1458" s="22" t="str">
        <x:v>交通门户</x:v>
      </x:c>
      <x:c r="K1458" s="32" t="str">
        <x:v>202</x:v>
      </x:c>
      <x:c r="L1458" s="22" t="str">
        <x:v>建制镇范围</x:v>
      </x:c>
      <x:c r="M1458" s="33" t="n">
        <x:v>1201222.859999999</x:v>
      </x:c>
      <x:c r="N1458" s="33" t="n">
        <x:v>120.12228599999989</x:v>
      </x:c>
      <x:c r="O1458" s="22" t="str">
        <x:v>公顷</x:v>
      </x:c>
      <x:c r="P1458" s="22" t="str">
        <x:v>未提供（单期横截面）</x:v>
      </x:c>
      <x:c r="Q1458" s="23" t="n">
        <x:v>4437</x:v>
      </x:c>
    </x:row>
    <x:row r="1459">
      <x:c r="A1459" s="30" t="n">
        <x:v>350500</x:v>
      </x:c>
      <x:c r="B1459" s="22" t="str">
        <x:v>泉州市</x:v>
      </x:c>
      <x:c r="C1459" s="31" t="n">
        <x:v>350526</x:v>
      </x:c>
      <x:c r="D1459" s="22" t="str">
        <x:v>德化县</x:v>
      </x:c>
      <x:c r="E1459" s="22" t="str">
        <x:v>建设用地</x:v>
      </x:c>
      <x:c r="F1459" s="22" t="str">
        <x:v>交通运输用地</x:v>
      </x:c>
      <x:c r="G1459" s="32" t="str">
        <x:v>1005</x:v>
      </x:c>
      <x:c r="H1459" s="32" t="str">
        <x:v>1005</x:v>
      </x:c>
      <x:c r="I1459" s="22" t="str">
        <x:v>交通服务场站用地</x:v>
      </x:c>
      <x:c r="J1459" s="22" t="str">
        <x:v>交通门户</x:v>
      </x:c>
      <x:c r="K1459" s="32" t="str">
        <x:v>202</x:v>
      </x:c>
      <x:c r="L1459" s="22" t="str">
        <x:v>建制镇范围</x:v>
      </x:c>
      <x:c r="M1459" s="33" t="n">
        <x:v>155504.07</x:v>
      </x:c>
      <x:c r="N1459" s="33" t="n">
        <x:v>15.550407</x:v>
      </x:c>
      <x:c r="O1459" s="22" t="str">
        <x:v>公顷</x:v>
      </x:c>
      <x:c r="P1459" s="22" t="str">
        <x:v>未提供（单期横截面）</x:v>
      </x:c>
      <x:c r="Q1459" s="23" t="n">
        <x:v>4438</x:v>
      </x:c>
    </x:row>
    <x:row r="1460">
      <x:c r="A1460" s="30" t="n">
        <x:v>350500</x:v>
      </x:c>
      <x:c r="B1460" s="22" t="str">
        <x:v>泉州市</x:v>
      </x:c>
      <x:c r="C1460" s="31" t="n">
        <x:v>350526</x:v>
      </x:c>
      <x:c r="D1460" s="22" t="str">
        <x:v>德化县</x:v>
      </x:c>
      <x:c r="E1460" s="22" t="str">
        <x:v>建设用地</x:v>
      </x:c>
      <x:c r="F1460" s="22" t="str">
        <x:v>其他建设用地</x:v>
      </x:c>
      <x:c r="G1460" s="32" t="str">
        <x:v>1201</x:v>
      </x:c>
      <x:c r="H1460" s="32" t="str">
        <x:v>1201</x:v>
      </x:c>
      <x:c r="I1460" s="22" t="str">
        <x:v>空闲地</x:v>
      </x:c>
      <x:c r="J1460" s="22" t="str">
        <x:v>其他建设</x:v>
      </x:c>
      <x:c r="K1460" s="32" t="str">
        <x:v>202</x:v>
      </x:c>
      <x:c r="L1460" s="22" t="str">
        <x:v>建制镇范围</x:v>
      </x:c>
      <x:c r="M1460" s="33" t="n">
        <x:v>14813.650000000001</x:v>
      </x:c>
      <x:c r="N1460" s="33" t="n">
        <x:v>1.481365</x:v>
      </x:c>
      <x:c r="O1460" s="22" t="str">
        <x:v>公顷</x:v>
      </x:c>
      <x:c r="P1460" s="22" t="str">
        <x:v>未提供（单期横截面）</x:v>
      </x:c>
      <x:c r="Q1460" s="23" t="n">
        <x:v>4439</x:v>
      </x:c>
    </x:row>
    <x:row r="1461">
      <x:c r="A1461" s="30" t="n">
        <x:v>350500</x:v>
      </x:c>
      <x:c r="B1461" s="22" t="str">
        <x:v>泉州市</x:v>
      </x:c>
      <x:c r="C1461" s="31" t="n">
        <x:v>350526</x:v>
      </x:c>
      <x:c r="D1461" s="22" t="str">
        <x:v>德化县</x:v>
      </x:c>
      <x:c r="E1461" s="22" t="str">
        <x:v>建设用地</x:v>
      </x:c>
      <x:c r="F1461" s="22" t="str">
        <x:v>工矿仓储用地</x:v>
      </x:c>
      <x:c r="G1461" s="32" t="str">
        <x:v>508</x:v>
      </x:c>
      <x:c r="H1461" s="32" t="str">
        <x:v>508</x:v>
      </x:c>
      <x:c r="I1461" s="22" t="str">
        <x:v>物流仓储用地</x:v>
      </x:c>
      <x:c r="J1461" s="22" t="str">
        <x:v>产业功能</x:v>
      </x:c>
      <x:c r="K1461" s="32" t="str">
        <x:v>203</x:v>
      </x:c>
      <x:c r="L1461" s="22" t="str">
        <x:v>村庄范围</x:v>
      </x:c>
      <x:c r="M1461" s="33" t="n">
        <x:v>80036.99999999999</x:v>
      </x:c>
      <x:c r="N1461" s="33" t="n">
        <x:v>8.003699999999998</x:v>
      </x:c>
      <x:c r="O1461" s="22" t="str">
        <x:v>公顷</x:v>
      </x:c>
      <x:c r="P1461" s="22" t="str">
        <x:v>未提供（单期横截面）</x:v>
      </x:c>
      <x:c r="Q1461" s="23" t="n">
        <x:v>4440</x:v>
      </x:c>
    </x:row>
    <x:row r="1462">
      <x:c r="A1462" s="30" t="n">
        <x:v>350500</x:v>
      </x:c>
      <x:c r="B1462" s="22" t="str">
        <x:v>泉州市</x:v>
      </x:c>
      <x:c r="C1462" s="31" t="n">
        <x:v>350526</x:v>
      </x:c>
      <x:c r="D1462" s="22" t="str">
        <x:v>德化县</x:v>
      </x:c>
      <x:c r="E1462" s="22" t="str">
        <x:v>建设用地</x:v>
      </x:c>
      <x:c r="F1462" s="22" t="str">
        <x:v>商业服务业用地</x:v>
      </x:c>
      <x:c r="G1462" s="32" t="str">
        <x:v>05H1</x:v>
      </x:c>
      <x:c r="H1462" s="32" t="str">
        <x:v>05H1</x:v>
      </x:c>
      <x:c r="I1462" s="22" t="str">
        <x:v>商业服务业设施用地</x:v>
      </x:c>
      <x:c r="J1462" s="22" t="str">
        <x:v>商业服务</x:v>
      </x:c>
      <x:c r="K1462" s="32" t="str">
        <x:v>203</x:v>
      </x:c>
      <x:c r="L1462" s="22" t="str">
        <x:v>村庄范围</x:v>
      </x:c>
      <x:c r="M1462" s="33" t="n">
        <x:v>376079.4499999999</x:v>
      </x:c>
      <x:c r="N1462" s="33" t="n">
        <x:v>37.60794499999999</x:v>
      </x:c>
      <x:c r="O1462" s="22" t="str">
        <x:v>公顷</x:v>
      </x:c>
      <x:c r="P1462" s="22" t="str">
        <x:v>未提供（单期横截面）</x:v>
      </x:c>
      <x:c r="Q1462" s="23" t="n">
        <x:v>4441</x:v>
      </x:c>
    </x:row>
    <x:row r="1463">
      <x:c r="A1463" s="30" t="n">
        <x:v>350500</x:v>
      </x:c>
      <x:c r="B1463" s="22" t="str">
        <x:v>泉州市</x:v>
      </x:c>
      <x:c r="C1463" s="31" t="n">
        <x:v>350526</x:v>
      </x:c>
      <x:c r="D1463" s="22" t="str">
        <x:v>德化县</x:v>
      </x:c>
      <x:c r="E1463" s="22" t="str">
        <x:v>建设用地</x:v>
      </x:c>
      <x:c r="F1463" s="22" t="str">
        <x:v>工矿仓储用地</x:v>
      </x:c>
      <x:c r="G1463" s="32" t="str">
        <x:v>601</x:v>
      </x:c>
      <x:c r="H1463" s="32" t="str">
        <x:v>601</x:v>
      </x:c>
      <x:c r="I1463" s="22" t="str">
        <x:v>工业用地</x:v>
      </x:c>
      <x:c r="J1463" s="22" t="str">
        <x:v>产业功能</x:v>
      </x:c>
      <x:c r="K1463" s="32" t="str">
        <x:v>203</x:v>
      </x:c>
      <x:c r="L1463" s="22" t="str">
        <x:v>村庄范围</x:v>
      </x:c>
      <x:c r="M1463" s="33" t="n">
        <x:v>2445214.8400000003</x:v>
      </x:c>
      <x:c r="N1463" s="33" t="n">
        <x:v>244.52148400000004</x:v>
      </x:c>
      <x:c r="O1463" s="22" t="str">
        <x:v>公顷</x:v>
      </x:c>
      <x:c r="P1463" s="22" t="str">
        <x:v>未提供（单期横截面）</x:v>
      </x:c>
      <x:c r="Q1463" s="23" t="n">
        <x:v>4442</x:v>
      </x:c>
    </x:row>
    <x:row r="1464">
      <x:c r="A1464" s="30" t="n">
        <x:v>350500</x:v>
      </x:c>
      <x:c r="B1464" s="22" t="str">
        <x:v>泉州市</x:v>
      </x:c>
      <x:c r="C1464" s="31" t="n">
        <x:v>350526</x:v>
      </x:c>
      <x:c r="D1464" s="22" t="str">
        <x:v>德化县</x:v>
      </x:c>
      <x:c r="E1464" s="22" t="str">
        <x:v>建设用地</x:v>
      </x:c>
      <x:c r="F1464" s="22" t="str">
        <x:v>工矿仓储用地</x:v>
      </x:c>
      <x:c r="G1464" s="32" t="str">
        <x:v>602</x:v>
      </x:c>
      <x:c r="H1464" s="32" t="str">
        <x:v>602</x:v>
      </x:c>
      <x:c r="I1464" s="22" t="str">
        <x:v>采矿用地</x:v>
      </x:c>
      <x:c r="J1464" s="22" t="str">
        <x:v>产业功能</x:v>
      </x:c>
      <x:c r="K1464" s="32" t="str">
        <x:v>203</x:v>
      </x:c>
      <x:c r="L1464" s="22" t="str">
        <x:v>村庄范围</x:v>
      </x:c>
      <x:c r="M1464" s="33" t="n">
        <x:v>5219.06</x:v>
      </x:c>
      <x:c r="N1464" s="33" t="n">
        <x:v>0.5219060000000001</x:v>
      </x:c>
      <x:c r="O1464" s="22" t="str">
        <x:v>公顷</x:v>
      </x:c>
      <x:c r="P1464" s="22" t="str">
        <x:v>未提供（单期横截面）</x:v>
      </x:c>
      <x:c r="Q1464" s="23" t="n">
        <x:v>4443</x:v>
      </x:c>
    </x:row>
    <x:row r="1465">
      <x:c r="A1465" s="30" t="n">
        <x:v>350500</x:v>
      </x:c>
      <x:c r="B1465" s="22" t="str">
        <x:v>泉州市</x:v>
      </x:c>
      <x:c r="C1465" s="31" t="n">
        <x:v>350526</x:v>
      </x:c>
      <x:c r="D1465" s="22" t="str">
        <x:v>德化县</x:v>
      </x:c>
      <x:c r="E1465" s="22" t="str">
        <x:v>建设用地</x:v>
      </x:c>
      <x:c r="F1465" s="22" t="str">
        <x:v>居住用地</x:v>
      </x:c>
      <x:c r="G1465" s="32" t="str">
        <x:v>702</x:v>
      </x:c>
      <x:c r="H1465" s="32" t="str">
        <x:v>702</x:v>
      </x:c>
      <x:c r="I1465" s="22" t="str">
        <x:v>农村宅基地</x:v>
      </x:c>
      <x:c r="J1465" s="22" t="str">
        <x:v>居住功能</x:v>
      </x:c>
      <x:c r="K1465" s="32" t="str">
        <x:v>203</x:v>
      </x:c>
      <x:c r="L1465" s="22" t="str">
        <x:v>村庄范围</x:v>
      </x:c>
      <x:c r="M1465" s="33" t="n">
        <x:v>22200020.16000003</x:v>
      </x:c>
      <x:c r="N1465" s="33" t="n">
        <x:v>2220.002016000003</x:v>
      </x:c>
      <x:c r="O1465" s="22" t="str">
        <x:v>公顷</x:v>
      </x:c>
      <x:c r="P1465" s="22" t="str">
        <x:v>未提供（单期横截面）</x:v>
      </x:c>
      <x:c r="Q1465" s="23" t="n">
        <x:v>4444</x:v>
      </x:c>
    </x:row>
    <x:row r="1466">
      <x:c r="A1466" s="30" t="n">
        <x:v>350500</x:v>
      </x:c>
      <x:c r="B1466" s="22" t="str">
        <x:v>泉州市</x:v>
      </x:c>
      <x:c r="C1466" s="31" t="n">
        <x:v>350526</x:v>
      </x:c>
      <x:c r="D1466" s="22" t="str">
        <x:v>德化县</x:v>
      </x:c>
      <x:c r="E1466" s="22" t="str">
        <x:v>建设用地</x:v>
      </x:c>
      <x:c r="F1466" s="22" t="str">
        <x:v>公用设施用地</x:v>
      </x:c>
      <x:c r="G1466" s="32" t="str">
        <x:v>809</x:v>
      </x:c>
      <x:c r="H1466" s="32" t="str">
        <x:v>809</x:v>
      </x:c>
      <x:c r="I1466" s="22" t="str">
        <x:v>公用设施用地</x:v>
      </x:c>
      <x:c r="J1466" s="22" t="str">
        <x:v>其他建设</x:v>
      </x:c>
      <x:c r="K1466" s="32" t="str">
        <x:v>203</x:v>
      </x:c>
      <x:c r="L1466" s="22" t="str">
        <x:v>村庄范围</x:v>
      </x:c>
      <x:c r="M1466" s="33" t="n">
        <x:v>297740.6399999998</x:v>
      </x:c>
      <x:c r="N1466" s="33" t="n">
        <x:v>29.774063999999978</x:v>
      </x:c>
      <x:c r="O1466" s="22" t="str">
        <x:v>公顷</x:v>
      </x:c>
      <x:c r="P1466" s="22" t="str">
        <x:v>未提供（单期横截面）</x:v>
      </x:c>
      <x:c r="Q1466" s="23" t="n">
        <x:v>4445</x:v>
      </x:c>
    </x:row>
    <x:row r="1467">
      <x:c r="A1467" s="30" t="n">
        <x:v>350500</x:v>
      </x:c>
      <x:c r="B1467" s="22" t="str">
        <x:v>泉州市</x:v>
      </x:c>
      <x:c r="C1467" s="31" t="n">
        <x:v>350526</x:v>
      </x:c>
      <x:c r="D1467" s="22" t="str">
        <x:v>德化县</x:v>
      </x:c>
      <x:c r="E1467" s="22" t="str">
        <x:v>建设用地</x:v>
      </x:c>
      <x:c r="F1467" s="22" t="str">
        <x:v>绿地与广场用地</x:v>
      </x:c>
      <x:c r="G1467" s="32" t="str">
        <x:v>810</x:v>
      </x:c>
      <x:c r="H1467" s="32" t="str">
        <x:v>810</x:v>
      </x:c>
      <x:c r="I1467" s="22" t="str">
        <x:v>公园与绿地</x:v>
      </x:c>
      <x:c r="J1467" s="22" t="str">
        <x:v>公共空间</x:v>
      </x:c>
      <x:c r="K1467" s="32" t="str">
        <x:v>203</x:v>
      </x:c>
      <x:c r="L1467" s="22" t="str">
        <x:v>村庄范围</x:v>
      </x:c>
      <x:c r="M1467" s="33" t="n">
        <x:v>293058.72000000003</x:v>
      </x:c>
      <x:c r="N1467" s="33" t="n">
        <x:v>29.305872000000004</x:v>
      </x:c>
      <x:c r="O1467" s="22" t="str">
        <x:v>公顷</x:v>
      </x:c>
      <x:c r="P1467" s="22" t="str">
        <x:v>未提供（单期横截面）</x:v>
      </x:c>
      <x:c r="Q1467" s="23" t="n">
        <x:v>4446</x:v>
      </x:c>
    </x:row>
    <x:row r="1468">
      <x:c r="A1468" s="30" t="n">
        <x:v>350500</x:v>
      </x:c>
      <x:c r="B1468" s="22" t="str">
        <x:v>泉州市</x:v>
      </x:c>
      <x:c r="C1468" s="31" t="n">
        <x:v>350526</x:v>
      </x:c>
      <x:c r="D1468" s="22" t="str">
        <x:v>德化县</x:v>
      </x:c>
      <x:c r="E1468" s="22" t="str">
        <x:v>建设用地</x:v>
      </x:c>
      <x:c r="F1468" s="22" t="str">
        <x:v>绿地与广场用地</x:v>
      </x:c>
      <x:c r="G1468" s="32" t="str">
        <x:v>0810A</x:v>
      </x:c>
      <x:c r="H1468" s="32" t="str">
        <x:v>0810</x:v>
      </x:c>
      <x:c r="I1468" s="22" t="str">
        <x:v>广场用地</x:v>
      </x:c>
      <x:c r="J1468" s="22" t="str">
        <x:v>公共空间</x:v>
      </x:c>
      <x:c r="K1468" s="32" t="str">
        <x:v>203</x:v>
      </x:c>
      <x:c r="L1468" s="22" t="str">
        <x:v>村庄范围</x:v>
      </x:c>
      <x:c r="M1468" s="33" t="n">
        <x:v>8668.35</x:v>
      </x:c>
      <x:c r="N1468" s="33" t="n">
        <x:v>0.866835</x:v>
      </x:c>
      <x:c r="O1468" s="22" t="str">
        <x:v>公顷</x:v>
      </x:c>
      <x:c r="P1468" s="22" t="str">
        <x:v>未提供（单期横截面）</x:v>
      </x:c>
      <x:c r="Q1468" s="23" t="n">
        <x:v>4447</x:v>
      </x:c>
    </x:row>
    <x:row r="1469">
      <x:c r="A1469" s="30" t="n">
        <x:v>350500</x:v>
      </x:c>
      <x:c r="B1469" s="22" t="str">
        <x:v>泉州市</x:v>
      </x:c>
      <x:c r="C1469" s="31" t="n">
        <x:v>350526</x:v>
      </x:c>
      <x:c r="D1469" s="22" t="str">
        <x:v>德化县</x:v>
      </x:c>
      <x:c r="E1469" s="22" t="str">
        <x:v>建设用地</x:v>
      </x:c>
      <x:c r="F1469" s="22" t="str">
        <x:v>公共管理与公共服务用地</x:v>
      </x:c>
      <x:c r="G1469" s="32" t="str">
        <x:v>08H1</x:v>
      </x:c>
      <x:c r="H1469" s="32" t="str">
        <x:v>08H1</x:v>
      </x:c>
      <x:c r="I1469" s="22" t="str">
        <x:v>机关团体新闻出版用地</x:v>
      </x:c>
      <x:c r="J1469" s="22" t="str">
        <x:v>公共服务</x:v>
      </x:c>
      <x:c r="K1469" s="32" t="str">
        <x:v>203</x:v>
      </x:c>
      <x:c r="L1469" s="22" t="str">
        <x:v>村庄范围</x:v>
      </x:c>
      <x:c r="M1469" s="33" t="n">
        <x:v>297539.44999999995</x:v>
      </x:c>
      <x:c r="N1469" s="33" t="n">
        <x:v>29.753944999999995</x:v>
      </x:c>
      <x:c r="O1469" s="22" t="str">
        <x:v>公顷</x:v>
      </x:c>
      <x:c r="P1469" s="22" t="str">
        <x:v>未提供（单期横截面）</x:v>
      </x:c>
      <x:c r="Q1469" s="23" t="n">
        <x:v>4448</x:v>
      </x:c>
    </x:row>
    <x:row r="1470">
      <x:c r="A1470" s="30" t="n">
        <x:v>350500</x:v>
      </x:c>
      <x:c r="B1470" s="22" t="str">
        <x:v>泉州市</x:v>
      </x:c>
      <x:c r="C1470" s="31" t="n">
        <x:v>350526</x:v>
      </x:c>
      <x:c r="D1470" s="22" t="str">
        <x:v>德化县</x:v>
      </x:c>
      <x:c r="E1470" s="22" t="str">
        <x:v>建设用地</x:v>
      </x:c>
      <x:c r="F1470" s="22" t="str">
        <x:v>公共管理与公共服务用地</x:v>
      </x:c>
      <x:c r="G1470" s="32" t="str">
        <x:v>08H2</x:v>
      </x:c>
      <x:c r="H1470" s="32" t="str">
        <x:v>08H2</x:v>
      </x:c>
      <x:c r="I1470" s="22" t="str">
        <x:v>科教文卫用地</x:v>
      </x:c>
      <x:c r="J1470" s="22" t="str">
        <x:v>公共服务</x:v>
      </x:c>
      <x:c r="K1470" s="32" t="str">
        <x:v>203</x:v>
      </x:c>
      <x:c r="L1470" s="22" t="str">
        <x:v>村庄范围</x:v>
      </x:c>
      <x:c r="M1470" s="33" t="n">
        <x:v>317188.68</x:v>
      </x:c>
      <x:c r="N1470" s="33" t="n">
        <x:v>31.718868</x:v>
      </x:c>
      <x:c r="O1470" s="22" t="str">
        <x:v>公顷</x:v>
      </x:c>
      <x:c r="P1470" s="22" t="str">
        <x:v>未提供（单期横截面）</x:v>
      </x:c>
      <x:c r="Q1470" s="23" t="n">
        <x:v>4449</x:v>
      </x:c>
    </x:row>
    <x:row r="1471">
      <x:c r="A1471" s="30" t="n">
        <x:v>350500</x:v>
      </x:c>
      <x:c r="B1471" s="22" t="str">
        <x:v>泉州市</x:v>
      </x:c>
      <x:c r="C1471" s="31" t="n">
        <x:v>350526</x:v>
      </x:c>
      <x:c r="D1471" s="22" t="str">
        <x:v>德化县</x:v>
      </x:c>
      <x:c r="E1471" s="22" t="str">
        <x:v>建设用地</x:v>
      </x:c>
      <x:c r="F1471" s="22" t="str">
        <x:v>特殊用地</x:v>
      </x:c>
      <x:c r="G1471" s="32" t="str">
        <x:v>9</x:v>
      </x:c>
      <x:c r="H1471" s="32" t="str">
        <x:v>9</x:v>
      </x:c>
      <x:c r="I1471" s="22" t="str">
        <x:v>特殊用地</x:v>
      </x:c>
      <x:c r="J1471" s="22" t="str">
        <x:v>其他建设</x:v>
      </x:c>
      <x:c r="K1471" s="32" t="str">
        <x:v>203</x:v>
      </x:c>
      <x:c r="L1471" s="22" t="str">
        <x:v>村庄范围</x:v>
      </x:c>
      <x:c r="M1471" s="33" t="n">
        <x:v>65231.389999999985</x:v>
      </x:c>
      <x:c r="N1471" s="33" t="n">
        <x:v>6.523138999999999</x:v>
      </x:c>
      <x:c r="O1471" s="22" t="str">
        <x:v>公顷</x:v>
      </x:c>
      <x:c r="P1471" s="22" t="str">
        <x:v>未提供（单期横截面）</x:v>
      </x:c>
      <x:c r="Q1471" s="23" t="n">
        <x:v>4450</x:v>
      </x:c>
    </x:row>
    <x:row r="1472">
      <x:c r="A1472" s="30" t="n">
        <x:v>350500</x:v>
      </x:c>
      <x:c r="B1472" s="22" t="str">
        <x:v>泉州市</x:v>
      </x:c>
      <x:c r="C1472" s="31" t="n">
        <x:v>350526</x:v>
      </x:c>
      <x:c r="D1472" s="22" t="str">
        <x:v>德化县</x:v>
      </x:c>
      <x:c r="E1472" s="22" t="str">
        <x:v>建设用地</x:v>
      </x:c>
      <x:c r="F1472" s="22" t="str">
        <x:v>交通运输用地</x:v>
      </x:c>
      <x:c r="G1472" s="32" t="str">
        <x:v>1004</x:v>
      </x:c>
      <x:c r="H1472" s="32" t="str">
        <x:v>1004</x:v>
      </x:c>
      <x:c r="I1472" s="22" t="str">
        <x:v>城镇村道路用地</x:v>
      </x:c>
      <x:c r="J1472" s="22" t="str">
        <x:v>交通门户</x:v>
      </x:c>
      <x:c r="K1472" s="32" t="str">
        <x:v>203</x:v>
      </x:c>
      <x:c r="L1472" s="22" t="str">
        <x:v>村庄范围</x:v>
      </x:c>
      <x:c r="M1472" s="33" t="n">
        <x:v>117262.77000000003</x:v>
      </x:c>
      <x:c r="N1472" s="33" t="n">
        <x:v>11.726277000000003</x:v>
      </x:c>
      <x:c r="O1472" s="22" t="str">
        <x:v>公顷</x:v>
      </x:c>
      <x:c r="P1472" s="22" t="str">
        <x:v>未提供（单期横截面）</x:v>
      </x:c>
      <x:c r="Q1472" s="23" t="n">
        <x:v>4451</x:v>
      </x:c>
    </x:row>
    <x:row r="1473">
      <x:c r="A1473" s="30" t="n">
        <x:v>350500</x:v>
      </x:c>
      <x:c r="B1473" s="22" t="str">
        <x:v>泉州市</x:v>
      </x:c>
      <x:c r="C1473" s="31" t="n">
        <x:v>350526</x:v>
      </x:c>
      <x:c r="D1473" s="22" t="str">
        <x:v>德化县</x:v>
      </x:c>
      <x:c r="E1473" s="22" t="str">
        <x:v>建设用地</x:v>
      </x:c>
      <x:c r="F1473" s="22" t="str">
        <x:v>交通运输用地</x:v>
      </x:c>
      <x:c r="G1473" s="32" t="str">
        <x:v>1005</x:v>
      </x:c>
      <x:c r="H1473" s="32" t="str">
        <x:v>1005</x:v>
      </x:c>
      <x:c r="I1473" s="22" t="str">
        <x:v>交通服务场站用地</x:v>
      </x:c>
      <x:c r="J1473" s="22" t="str">
        <x:v>交通门户</x:v>
      </x:c>
      <x:c r="K1473" s="32" t="str">
        <x:v>203</x:v>
      </x:c>
      <x:c r="L1473" s="22" t="str">
        <x:v>村庄范围</x:v>
      </x:c>
      <x:c r="M1473" s="33" t="n">
        <x:v>377833.79999999993</x:v>
      </x:c>
      <x:c r="N1473" s="33" t="n">
        <x:v>37.783379999999994</x:v>
      </x:c>
      <x:c r="O1473" s="22" t="str">
        <x:v>公顷</x:v>
      </x:c>
      <x:c r="P1473" s="22" t="str">
        <x:v>未提供（单期横截面）</x:v>
      </x:c>
      <x:c r="Q1473" s="23" t="n">
        <x:v>4452</x:v>
      </x:c>
    </x:row>
    <x:row r="1474">
      <x:c r="A1474" s="30" t="n">
        <x:v>350500</x:v>
      </x:c>
      <x:c r="B1474" s="22" t="str">
        <x:v>泉州市</x:v>
      </x:c>
      <x:c r="C1474" s="31" t="n">
        <x:v>350526</x:v>
      </x:c>
      <x:c r="D1474" s="22" t="str">
        <x:v>德化县</x:v>
      </x:c>
      <x:c r="E1474" s="22" t="str">
        <x:v>建设用地</x:v>
      </x:c>
      <x:c r="F1474" s="22" t="str">
        <x:v>其他建设用地</x:v>
      </x:c>
      <x:c r="G1474" s="32" t="str">
        <x:v>1201</x:v>
      </x:c>
      <x:c r="H1474" s="32" t="str">
        <x:v>1201</x:v>
      </x:c>
      <x:c r="I1474" s="22" t="str">
        <x:v>空闲地</x:v>
      </x:c>
      <x:c r="J1474" s="22" t="str">
        <x:v>其他建设</x:v>
      </x:c>
      <x:c r="K1474" s="32" t="str">
        <x:v>203</x:v>
      </x:c>
      <x:c r="L1474" s="22" t="str">
        <x:v>村庄范围</x:v>
      </x:c>
      <x:c r="M1474" s="33" t="n">
        <x:v>8590.85</x:v>
      </x:c>
      <x:c r="N1474" s="33" t="n">
        <x:v>0.859085</x:v>
      </x:c>
      <x:c r="O1474" s="22" t="str">
        <x:v>公顷</x:v>
      </x:c>
      <x:c r="P1474" s="22" t="str">
        <x:v>未提供（单期横截面）</x:v>
      </x:c>
      <x:c r="Q1474" s="23" t="n">
        <x:v>4453</x:v>
      </x:c>
    </x:row>
    <x:row r="1475">
      <x:c r="A1475" s="30" t="n">
        <x:v>350500</x:v>
      </x:c>
      <x:c r="B1475" s="22" t="str">
        <x:v>泉州市</x:v>
      </x:c>
      <x:c r="C1475" s="31" t="n">
        <x:v>350526</x:v>
      </x:c>
      <x:c r="D1475" s="22" t="str">
        <x:v>德化县</x:v>
      </x:c>
      <x:c r="E1475" s="22" t="str">
        <x:v>建设用地</x:v>
      </x:c>
      <x:c r="F1475" s="22" t="str">
        <x:v>工矿仓储用地</x:v>
      </x:c>
      <x:c r="G1475" s="32" t="str">
        <x:v>602</x:v>
      </x:c>
      <x:c r="H1475" s="32" t="str">
        <x:v>602</x:v>
      </x:c>
      <x:c r="I1475" s="22" t="str">
        <x:v>采矿用地</x:v>
      </x:c>
      <x:c r="J1475" s="22" t="str">
        <x:v>产业功能</x:v>
      </x:c>
      <x:c r="K1475" s="32" t="str">
        <x:v>204</x:v>
      </x:c>
      <x:c r="L1475" s="22" t="str">
        <x:v>盐田及采矿用地</x:v>
      </x:c>
      <x:c r="M1475" s="33" t="n">
        <x:v>4850966.859999999</x:v>
      </x:c>
      <x:c r="N1475" s="33" t="n">
        <x:v>485.0966859999999</x:v>
      </x:c>
      <x:c r="O1475" s="22" t="str">
        <x:v>公顷</x:v>
      </x:c>
      <x:c r="P1475" s="22" t="str">
        <x:v>未提供（单期横截面）</x:v>
      </x:c>
      <x:c r="Q1475" s="23" t="n">
        <x:v>4454</x:v>
      </x:c>
    </x:row>
    <x:row r="1476">
      <x:c r="A1476" s="30" t="n">
        <x:v>350500</x:v>
      </x:c>
      <x:c r="B1476" s="22" t="str">
        <x:v>泉州市</x:v>
      </x:c>
      <x:c r="C1476" s="31" t="n">
        <x:v>350526</x:v>
      </x:c>
      <x:c r="D1476" s="22" t="str">
        <x:v>德化县</x:v>
      </x:c>
      <x:c r="E1476" s="22" t="str">
        <x:v>建设用地</x:v>
      </x:c>
      <x:c r="F1476" s="22" t="str">
        <x:v>特殊用地</x:v>
      </x:c>
      <x:c r="G1476" s="32" t="str">
        <x:v>9</x:v>
      </x:c>
      <x:c r="H1476" s="32" t="str">
        <x:v>9</x:v>
      </x:c>
      <x:c r="I1476" s="22" t="str">
        <x:v>特殊用地</x:v>
      </x:c>
      <x:c r="J1476" s="22" t="str">
        <x:v>其他建设</x:v>
      </x:c>
      <x:c r="K1476" s="32" t="str">
        <x:v>205</x:v>
      </x:c>
      <x:c r="L1476" s="22" t="str">
        <x:v>特殊用地</x:v>
      </x:c>
      <x:c r="M1476" s="33" t="n">
        <x:v>1097533.9699999993</x:v>
      </x:c>
      <x:c r="N1476" s="33" t="n">
        <x:v>109.75339699999992</x:v>
      </x:c>
      <x:c r="O1476" s="22" t="str">
        <x:v>公顷</x:v>
      </x:c>
      <x:c r="P1476" s="22" t="str">
        <x:v>未提供（单期横截面）</x:v>
      </x:c>
      <x:c r="Q1476" s="23" t="n">
        <x:v>4455</x:v>
      </x:c>
    </x:row>
    <x:row r="1477">
      <x:c r="A1477" s="30" t="n">
        <x:v>350500</x:v>
      </x:c>
      <x:c r="B1477" s="22" t="str">
        <x:v>泉州市</x:v>
      </x:c>
      <x:c r="C1477" s="31" t="n">
        <x:v>350526</x:v>
      </x:c>
      <x:c r="D1477" s="22" t="str">
        <x:v>德化县</x:v>
      </x:c>
      <x:c r="E1477" s="22" t="str">
        <x:v>农用地</x:v>
      </x:c>
      <x:c r="F1477" s="22" t="str">
        <x:v>耕地</x:v>
      </x:c>
      <x:c r="G1477" s="32" t="str">
        <x:v>101</x:v>
      </x:c>
      <x:c r="H1477" s="32" t="str">
        <x:v>101</x:v>
      </x:c>
      <x:c r="I1477" s="22" t="str">
        <x:v>水田</x:v>
      </x:c>
      <x:c r="J1477" s="22" t="str">
        <x:v>农业生态</x:v>
      </x:c>
      <x:c r="K1477" s="32" t="str"/>
      <x:c r="L1477" s="22" t="str">
        <x:v>不适用/未标注</x:v>
      </x:c>
      <x:c r="M1477" s="33" t="n">
        <x:v>158897873.38999954</x:v>
      </x:c>
      <x:c r="N1477" s="33" t="n">
        <x:v>15889.787338999953</x:v>
      </x:c>
      <x:c r="O1477" s="22" t="str">
        <x:v>公顷</x:v>
      </x:c>
      <x:c r="P1477" s="22" t="str">
        <x:v>未提供（单期横截面）</x:v>
      </x:c>
      <x:c r="Q1477" s="23" t="n">
        <x:v>4456</x:v>
      </x:c>
    </x:row>
    <x:row r="1478">
      <x:c r="A1478" s="30" t="n">
        <x:v>350500</x:v>
      </x:c>
      <x:c r="B1478" s="22" t="str">
        <x:v>泉州市</x:v>
      </x:c>
      <x:c r="C1478" s="31" t="n">
        <x:v>350526</x:v>
      </x:c>
      <x:c r="D1478" s="22" t="str">
        <x:v>德化县</x:v>
      </x:c>
      <x:c r="E1478" s="22" t="str">
        <x:v>农用地</x:v>
      </x:c>
      <x:c r="F1478" s="22" t="str">
        <x:v>耕地</x:v>
      </x:c>
      <x:c r="G1478" s="32" t="str">
        <x:v>102</x:v>
      </x:c>
      <x:c r="H1478" s="32" t="str">
        <x:v>102</x:v>
      </x:c>
      <x:c r="I1478" s="22" t="str">
        <x:v>水浇地</x:v>
      </x:c>
      <x:c r="J1478" s="22" t="str">
        <x:v>农业生态</x:v>
      </x:c>
      <x:c r="K1478" s="32" t="str"/>
      <x:c r="L1478" s="22" t="str">
        <x:v>不适用/未标注</x:v>
      </x:c>
      <x:c r="M1478" s="33" t="n">
        <x:v>56108.93999999999</x:v>
      </x:c>
      <x:c r="N1478" s="33" t="n">
        <x:v>5.610893999999999</x:v>
      </x:c>
      <x:c r="O1478" s="22" t="str">
        <x:v>公顷</x:v>
      </x:c>
      <x:c r="P1478" s="22" t="str">
        <x:v>未提供（单期横截面）</x:v>
      </x:c>
      <x:c r="Q1478" s="23" t="n">
        <x:v>4457</x:v>
      </x:c>
    </x:row>
    <x:row r="1479">
      <x:c r="A1479" s="30" t="n">
        <x:v>350500</x:v>
      </x:c>
      <x:c r="B1479" s="22" t="str">
        <x:v>泉州市</x:v>
      </x:c>
      <x:c r="C1479" s="31" t="n">
        <x:v>350526</x:v>
      </x:c>
      <x:c r="D1479" s="22" t="str">
        <x:v>德化县</x:v>
      </x:c>
      <x:c r="E1479" s="22" t="str">
        <x:v>农用地</x:v>
      </x:c>
      <x:c r="F1479" s="22" t="str">
        <x:v>耕地</x:v>
      </x:c>
      <x:c r="G1479" s="32" t="str">
        <x:v>103</x:v>
      </x:c>
      <x:c r="H1479" s="32" t="str">
        <x:v>103</x:v>
      </x:c>
      <x:c r="I1479" s="22" t="str">
        <x:v>旱地</x:v>
      </x:c>
      <x:c r="J1479" s="22" t="str">
        <x:v>农业生态</x:v>
      </x:c>
      <x:c r="K1479" s="32" t="str"/>
      <x:c r="L1479" s="22" t="str">
        <x:v>不适用/未标注</x:v>
      </x:c>
      <x:c r="M1479" s="33" t="n">
        <x:v>17370283.629999995</x:v>
      </x:c>
      <x:c r="N1479" s="33" t="n">
        <x:v>1737.0283629999994</x:v>
      </x:c>
      <x:c r="O1479" s="22" t="str">
        <x:v>公顷</x:v>
      </x:c>
      <x:c r="P1479" s="22" t="str">
        <x:v>未提供（单期横截面）</x:v>
      </x:c>
      <x:c r="Q1479" s="23" t="n">
        <x:v>4458</x:v>
      </x:c>
    </x:row>
    <x:row r="1480">
      <x:c r="A1480" s="30" t="n">
        <x:v>350500</x:v>
      </x:c>
      <x:c r="B1480" s="22" t="str">
        <x:v>泉州市</x:v>
      </x:c>
      <x:c r="C1480" s="31" t="n">
        <x:v>350526</x:v>
      </x:c>
      <x:c r="D1480" s="22" t="str">
        <x:v>德化县</x:v>
      </x:c>
      <x:c r="E1480" s="22" t="str">
        <x:v>农用地</x:v>
      </x:c>
      <x:c r="F1480" s="22" t="str">
        <x:v>园地</x:v>
      </x:c>
      <x:c r="G1480" s="32" t="str">
        <x:v>201</x:v>
      </x:c>
      <x:c r="H1480" s="32" t="str">
        <x:v>201</x:v>
      </x:c>
      <x:c r="I1480" s="22" t="str">
        <x:v>果园</x:v>
      </x:c>
      <x:c r="J1480" s="22" t="str">
        <x:v>农业生态</x:v>
      </x:c>
      <x:c r="K1480" s="32" t="str"/>
      <x:c r="L1480" s="22" t="str">
        <x:v>不适用/未标注</x:v>
      </x:c>
      <x:c r="M1480" s="33" t="n">
        <x:v>13056281.210000014</x:v>
      </x:c>
      <x:c r="N1480" s="33" t="n">
        <x:v>1305.6281210000013</x:v>
      </x:c>
      <x:c r="O1480" s="22" t="str">
        <x:v>公顷</x:v>
      </x:c>
      <x:c r="P1480" s="22" t="str">
        <x:v>未提供（单期横截面）</x:v>
      </x:c>
      <x:c r="Q1480" s="23" t="n">
        <x:v>4459</x:v>
      </x:c>
    </x:row>
    <x:row r="1481">
      <x:c r="A1481" s="30" t="n">
        <x:v>350500</x:v>
      </x:c>
      <x:c r="B1481" s="22" t="str">
        <x:v>泉州市</x:v>
      </x:c>
      <x:c r="C1481" s="31" t="n">
        <x:v>350526</x:v>
      </x:c>
      <x:c r="D1481" s="22" t="str">
        <x:v>德化县</x:v>
      </x:c>
      <x:c r="E1481" s="22" t="str">
        <x:v>农用地</x:v>
      </x:c>
      <x:c r="F1481" s="22" t="str">
        <x:v>园地</x:v>
      </x:c>
      <x:c r="G1481" s="32" t="str">
        <x:v>0201K</x:v>
      </x:c>
      <x:c r="H1481" s="32" t="str">
        <x:v>201</x:v>
      </x:c>
      <x:c r="I1481" s="22" t="str">
        <x:v>可调整果园</x:v>
      </x:c>
      <x:c r="J1481" s="22" t="str">
        <x:v>农业生态</x:v>
      </x:c>
      <x:c r="K1481" s="32" t="str"/>
      <x:c r="L1481" s="22" t="str">
        <x:v>不适用/未标注</x:v>
      </x:c>
      <x:c r="M1481" s="33" t="n">
        <x:v>1940014.37</x:v>
      </x:c>
      <x:c r="N1481" s="33" t="n">
        <x:v>194.001437</x:v>
      </x:c>
      <x:c r="O1481" s="22" t="str">
        <x:v>公顷</x:v>
      </x:c>
      <x:c r="P1481" s="22" t="str">
        <x:v>未提供（单期横截面）</x:v>
      </x:c>
      <x:c r="Q1481" s="23" t="n">
        <x:v>4460</x:v>
      </x:c>
    </x:row>
    <x:row r="1482">
      <x:c r="A1482" s="30" t="n">
        <x:v>350500</x:v>
      </x:c>
      <x:c r="B1482" s="22" t="str">
        <x:v>泉州市</x:v>
      </x:c>
      <x:c r="C1482" s="31" t="n">
        <x:v>350526</x:v>
      </x:c>
      <x:c r="D1482" s="22" t="str">
        <x:v>德化县</x:v>
      </x:c>
      <x:c r="E1482" s="22" t="str">
        <x:v>农用地</x:v>
      </x:c>
      <x:c r="F1482" s="22" t="str">
        <x:v>园地</x:v>
      </x:c>
      <x:c r="G1482" s="32" t="str">
        <x:v>202</x:v>
      </x:c>
      <x:c r="H1482" s="32" t="str">
        <x:v>202</x:v>
      </x:c>
      <x:c r="I1482" s="22" t="str">
        <x:v>茶园</x:v>
      </x:c>
      <x:c r="J1482" s="22" t="str">
        <x:v>农业生态</x:v>
      </x:c>
      <x:c r="K1482" s="32" t="str"/>
      <x:c r="L1482" s="22" t="str">
        <x:v>不适用/未标注</x:v>
      </x:c>
      <x:c r="M1482" s="33" t="n">
        <x:v>4230185.470000001</x:v>
      </x:c>
      <x:c r="N1482" s="33" t="n">
        <x:v>423.01854700000007</x:v>
      </x:c>
      <x:c r="O1482" s="22" t="str">
        <x:v>公顷</x:v>
      </x:c>
      <x:c r="P1482" s="22" t="str">
        <x:v>未提供（单期横截面）</x:v>
      </x:c>
      <x:c r="Q1482" s="23" t="n">
        <x:v>4461</x:v>
      </x:c>
    </x:row>
    <x:row r="1483">
      <x:c r="A1483" s="30" t="n">
        <x:v>350500</x:v>
      </x:c>
      <x:c r="B1483" s="22" t="str">
        <x:v>泉州市</x:v>
      </x:c>
      <x:c r="C1483" s="31" t="n">
        <x:v>350526</x:v>
      </x:c>
      <x:c r="D1483" s="22" t="str">
        <x:v>德化县</x:v>
      </x:c>
      <x:c r="E1483" s="22" t="str">
        <x:v>农用地</x:v>
      </x:c>
      <x:c r="F1483" s="22" t="str">
        <x:v>园地</x:v>
      </x:c>
      <x:c r="G1483" s="32" t="str">
        <x:v>0202K</x:v>
      </x:c>
      <x:c r="H1483" s="32" t="str">
        <x:v>0202</x:v>
      </x:c>
      <x:c r="I1483" s="22" t="str">
        <x:v>可调整茶园</x:v>
      </x:c>
      <x:c r="J1483" s="22" t="str">
        <x:v>农业生态</x:v>
      </x:c>
      <x:c r="K1483" s="32" t="str"/>
      <x:c r="L1483" s="22" t="str">
        <x:v>不适用/未标注</x:v>
      </x:c>
      <x:c r="M1483" s="33" t="n">
        <x:v>737940.3900000005</x:v>
      </x:c>
      <x:c r="N1483" s="33" t="n">
        <x:v>73.79403900000005</x:v>
      </x:c>
      <x:c r="O1483" s="22" t="str">
        <x:v>公顷</x:v>
      </x:c>
      <x:c r="P1483" s="22" t="str">
        <x:v>未提供（单期横截面）</x:v>
      </x:c>
      <x:c r="Q1483" s="23" t="n">
        <x:v>4462</x:v>
      </x:c>
    </x:row>
    <x:row r="1484">
      <x:c r="A1484" s="30" t="n">
        <x:v>350500</x:v>
      </x:c>
      <x:c r="B1484" s="22" t="str">
        <x:v>泉州市</x:v>
      </x:c>
      <x:c r="C1484" s="31" t="n">
        <x:v>350526</x:v>
      </x:c>
      <x:c r="D1484" s="22" t="str">
        <x:v>德化县</x:v>
      </x:c>
      <x:c r="E1484" s="22" t="str">
        <x:v>农用地</x:v>
      </x:c>
      <x:c r="F1484" s="22" t="str">
        <x:v>园地</x:v>
      </x:c>
      <x:c r="G1484" s="32" t="str">
        <x:v>204</x:v>
      </x:c>
      <x:c r="H1484" s="32" t="str">
        <x:v>204</x:v>
      </x:c>
      <x:c r="I1484" s="22" t="str">
        <x:v>其他园地</x:v>
      </x:c>
      <x:c r="J1484" s="22" t="str">
        <x:v>农业生态</x:v>
      </x:c>
      <x:c r="K1484" s="32" t="str"/>
      <x:c r="L1484" s="22" t="str">
        <x:v>不适用/未标注</x:v>
      </x:c>
      <x:c r="M1484" s="33" t="n">
        <x:v>36557061.10999987</x:v>
      </x:c>
      <x:c r="N1484" s="33" t="n">
        <x:v>3655.7061109999872</x:v>
      </x:c>
      <x:c r="O1484" s="22" t="str">
        <x:v>公顷</x:v>
      </x:c>
      <x:c r="P1484" s="22" t="str">
        <x:v>未提供（单期横截面）</x:v>
      </x:c>
      <x:c r="Q1484" s="23" t="n">
        <x:v>4463</x:v>
      </x:c>
    </x:row>
    <x:row r="1485">
      <x:c r="A1485" s="30" t="n">
        <x:v>350500</x:v>
      </x:c>
      <x:c r="B1485" s="22" t="str">
        <x:v>泉州市</x:v>
      </x:c>
      <x:c r="C1485" s="31" t="n">
        <x:v>350526</x:v>
      </x:c>
      <x:c r="D1485" s="22" t="str">
        <x:v>德化县</x:v>
      </x:c>
      <x:c r="E1485" s="22" t="str">
        <x:v>农用地</x:v>
      </x:c>
      <x:c r="F1485" s="22" t="str">
        <x:v>园地</x:v>
      </x:c>
      <x:c r="G1485" s="32" t="str">
        <x:v>0204K</x:v>
      </x:c>
      <x:c r="H1485" s="32" t="str">
        <x:v>0204</x:v>
      </x:c>
      <x:c r="I1485" s="22" t="str">
        <x:v>可调整其他园地</x:v>
      </x:c>
      <x:c r="J1485" s="22" t="str">
        <x:v>农业生态</x:v>
      </x:c>
      <x:c r="K1485" s="32" t="str"/>
      <x:c r="L1485" s="22" t="str">
        <x:v>不适用/未标注</x:v>
      </x:c>
      <x:c r="M1485" s="33" t="n">
        <x:v>792955.5800000004</x:v>
      </x:c>
      <x:c r="N1485" s="33" t="n">
        <x:v>79.29555800000004</x:v>
      </x:c>
      <x:c r="O1485" s="22" t="str">
        <x:v>公顷</x:v>
      </x:c>
      <x:c r="P1485" s="22" t="str">
        <x:v>未提供（单期横截面）</x:v>
      </x:c>
      <x:c r="Q1485" s="23" t="n">
        <x:v>4464</x:v>
      </x:c>
    </x:row>
    <x:row r="1486">
      <x:c r="A1486" s="30" t="n">
        <x:v>350500</x:v>
      </x:c>
      <x:c r="B1486" s="22" t="str">
        <x:v>泉州市</x:v>
      </x:c>
      <x:c r="C1486" s="31" t="n">
        <x:v>350526</x:v>
      </x:c>
      <x:c r="D1486" s="22" t="str">
        <x:v>德化县</x:v>
      </x:c>
      <x:c r="E1486" s="22" t="str">
        <x:v>农用地</x:v>
      </x:c>
      <x:c r="F1486" s="22" t="str">
        <x:v>林地</x:v>
      </x:c>
      <x:c r="G1486" s="32" t="str">
        <x:v>301</x:v>
      </x:c>
      <x:c r="H1486" s="32" t="str">
        <x:v>301</x:v>
      </x:c>
      <x:c r="I1486" s="22" t="str">
        <x:v>乔木林地</x:v>
      </x:c>
      <x:c r="J1486" s="22" t="str">
        <x:v>农业生态</x:v>
      </x:c>
      <x:c r="K1486" s="32" t="str"/>
      <x:c r="L1486" s="22" t="str">
        <x:v>不适用/未标注</x:v>
      </x:c>
      <x:c r="M1486" s="33" t="n">
        <x:v>1503267157.8299963</x:v>
      </x:c>
      <x:c r="N1486" s="33" t="n">
        <x:v>150326.71578299964</x:v>
      </x:c>
      <x:c r="O1486" s="22" t="str">
        <x:v>公顷</x:v>
      </x:c>
      <x:c r="P1486" s="22" t="str">
        <x:v>未提供（单期横截面）</x:v>
      </x:c>
      <x:c r="Q1486" s="23" t="n">
        <x:v>4465</x:v>
      </x:c>
    </x:row>
    <x:row r="1487">
      <x:c r="A1487" s="30" t="n">
        <x:v>350500</x:v>
      </x:c>
      <x:c r="B1487" s="22" t="str">
        <x:v>泉州市</x:v>
      </x:c>
      <x:c r="C1487" s="31" t="n">
        <x:v>350526</x:v>
      </x:c>
      <x:c r="D1487" s="22" t="str">
        <x:v>德化县</x:v>
      </x:c>
      <x:c r="E1487" s="22" t="str">
        <x:v>农用地</x:v>
      </x:c>
      <x:c r="F1487" s="22" t="str">
        <x:v>林地</x:v>
      </x:c>
      <x:c r="G1487" s="32" t="str">
        <x:v>302</x:v>
      </x:c>
      <x:c r="H1487" s="32" t="str">
        <x:v>302</x:v>
      </x:c>
      <x:c r="I1487" s="22" t="str">
        <x:v>竹林地</x:v>
      </x:c>
      <x:c r="J1487" s="22" t="str">
        <x:v>农业生态</x:v>
      </x:c>
      <x:c r="K1487" s="32" t="str"/>
      <x:c r="L1487" s="22" t="str">
        <x:v>不适用/未标注</x:v>
      </x:c>
      <x:c r="M1487" s="33" t="n">
        <x:v>171835285.35999963</x:v>
      </x:c>
      <x:c r="N1487" s="33" t="n">
        <x:v>17183.52853599996</x:v>
      </x:c>
      <x:c r="O1487" s="22" t="str">
        <x:v>公顷</x:v>
      </x:c>
      <x:c r="P1487" s="22" t="str">
        <x:v>未提供（单期横截面）</x:v>
      </x:c>
      <x:c r="Q1487" s="23" t="n">
        <x:v>4466</x:v>
      </x:c>
    </x:row>
    <x:row r="1488">
      <x:c r="A1488" s="30" t="n">
        <x:v>350500</x:v>
      </x:c>
      <x:c r="B1488" s="22" t="str">
        <x:v>泉州市</x:v>
      </x:c>
      <x:c r="C1488" s="31" t="n">
        <x:v>350526</x:v>
      </x:c>
      <x:c r="D1488" s="22" t="str">
        <x:v>德化县</x:v>
      </x:c>
      <x:c r="E1488" s="22" t="str">
        <x:v>农用地</x:v>
      </x:c>
      <x:c r="F1488" s="22" t="str">
        <x:v>林地</x:v>
      </x:c>
      <x:c r="G1488" s="32" t="str">
        <x:v>305</x:v>
      </x:c>
      <x:c r="H1488" s="32" t="str">
        <x:v>305</x:v>
      </x:c>
      <x:c r="I1488" s="22" t="str">
        <x:v>灌木林地</x:v>
      </x:c>
      <x:c r="J1488" s="22" t="str">
        <x:v>农业生态</x:v>
      </x:c>
      <x:c r="K1488" s="32" t="str"/>
      <x:c r="L1488" s="22" t="str">
        <x:v>不适用/未标注</x:v>
      </x:c>
      <x:c r="M1488" s="33" t="n">
        <x:v>6592124.17</x:v>
      </x:c>
      <x:c r="N1488" s="33" t="n">
        <x:v>659.212417</x:v>
      </x:c>
      <x:c r="O1488" s="22" t="str">
        <x:v>公顷</x:v>
      </x:c>
      <x:c r="P1488" s="22" t="str">
        <x:v>未提供（单期横截面）</x:v>
      </x:c>
      <x:c r="Q1488" s="23" t="n">
        <x:v>4467</x:v>
      </x:c>
    </x:row>
    <x:row r="1489">
      <x:c r="A1489" s="30" t="n">
        <x:v>350500</x:v>
      </x:c>
      <x:c r="B1489" s="22" t="str">
        <x:v>泉州市</x:v>
      </x:c>
      <x:c r="C1489" s="31" t="n">
        <x:v>350526</x:v>
      </x:c>
      <x:c r="D1489" s="22" t="str">
        <x:v>德化县</x:v>
      </x:c>
      <x:c r="E1489" s="22" t="str">
        <x:v>农用地</x:v>
      </x:c>
      <x:c r="F1489" s="22" t="str">
        <x:v>林地</x:v>
      </x:c>
      <x:c r="G1489" s="32" t="str">
        <x:v>307</x:v>
      </x:c>
      <x:c r="H1489" s="32" t="str">
        <x:v>307</x:v>
      </x:c>
      <x:c r="I1489" s="22" t="str">
        <x:v>其他林地</x:v>
      </x:c>
      <x:c r="J1489" s="22" t="str">
        <x:v>农业生态</x:v>
      </x:c>
      <x:c r="K1489" s="32" t="str"/>
      <x:c r="L1489" s="22" t="str">
        <x:v>不适用/未标注</x:v>
      </x:c>
      <x:c r="M1489" s="33" t="n">
        <x:v>141590749.99000043</x:v>
      </x:c>
      <x:c r="N1489" s="33" t="n">
        <x:v>14159.074999000042</x:v>
      </x:c>
      <x:c r="O1489" s="22" t="str">
        <x:v>公顷</x:v>
      </x:c>
      <x:c r="P1489" s="22" t="str">
        <x:v>未提供（单期横截面）</x:v>
      </x:c>
      <x:c r="Q1489" s="23" t="n">
        <x:v>4468</x:v>
      </x:c>
    </x:row>
    <x:row r="1490">
      <x:c r="A1490" s="30" t="n">
        <x:v>350500</x:v>
      </x:c>
      <x:c r="B1490" s="22" t="str">
        <x:v>泉州市</x:v>
      </x:c>
      <x:c r="C1490" s="31" t="n">
        <x:v>350526</x:v>
      </x:c>
      <x:c r="D1490" s="22" t="str">
        <x:v>德化县</x:v>
      </x:c>
      <x:c r="E1490" s="22" t="str">
        <x:v>农用地</x:v>
      </x:c>
      <x:c r="F1490" s="22" t="str">
        <x:v>林地</x:v>
      </x:c>
      <x:c r="G1490" s="32" t="str">
        <x:v>0307K</x:v>
      </x:c>
      <x:c r="H1490" s="32" t="str">
        <x:v>0307</x:v>
      </x:c>
      <x:c r="I1490" s="22" t="str">
        <x:v>可调整其他林地</x:v>
      </x:c>
      <x:c r="J1490" s="22" t="str">
        <x:v>农业生态</x:v>
      </x:c>
      <x:c r="K1490" s="32" t="str"/>
      <x:c r="L1490" s="22" t="str">
        <x:v>不适用/未标注</x:v>
      </x:c>
      <x:c r="M1490" s="33" t="n">
        <x:v>10024.23</x:v>
      </x:c>
      <x:c r="N1490" s="33" t="n">
        <x:v>1.002423</x:v>
      </x:c>
      <x:c r="O1490" s="22" t="str">
        <x:v>公顷</x:v>
      </x:c>
      <x:c r="P1490" s="22" t="str">
        <x:v>未提供（单期横截面）</x:v>
      </x:c>
      <x:c r="Q1490" s="23" t="n">
        <x:v>4469</x:v>
      </x:c>
    </x:row>
    <x:row r="1491">
      <x:c r="A1491" s="30" t="n">
        <x:v>350500</x:v>
      </x:c>
      <x:c r="B1491" s="22" t="str">
        <x:v>泉州市</x:v>
      </x:c>
      <x:c r="C1491" s="31" t="n">
        <x:v>350526</x:v>
      </x:c>
      <x:c r="D1491" s="22" t="str">
        <x:v>德化县</x:v>
      </x:c>
      <x:c r="E1491" s="22" t="str">
        <x:v>农用地</x:v>
      </x:c>
      <x:c r="F1491" s="22" t="str">
        <x:v>其他农用地</x:v>
      </x:c>
      <x:c r="G1491" s="32" t="str">
        <x:v>1006</x:v>
      </x:c>
      <x:c r="H1491" s="32" t="str">
        <x:v>1006</x:v>
      </x:c>
      <x:c r="I1491" s="22" t="str">
        <x:v>农村道路</x:v>
      </x:c>
      <x:c r="J1491" s="22" t="str">
        <x:v>农业生态</x:v>
      </x:c>
      <x:c r="K1491" s="32" t="str"/>
      <x:c r="L1491" s="22" t="str">
        <x:v>不适用/未标注</x:v>
      </x:c>
      <x:c r="M1491" s="33" t="n">
        <x:v>11334737.600000001</x:v>
      </x:c>
      <x:c r="N1491" s="33" t="n">
        <x:v>1133.47376</x:v>
      </x:c>
      <x:c r="O1491" s="22" t="str">
        <x:v>公顷</x:v>
      </x:c>
      <x:c r="P1491" s="22" t="str">
        <x:v>未提供（单期横截面）</x:v>
      </x:c>
      <x:c r="Q1491" s="23" t="n">
        <x:v>4470</x:v>
      </x:c>
    </x:row>
    <x:row r="1492">
      <x:c r="A1492" s="30" t="n">
        <x:v>350500</x:v>
      </x:c>
      <x:c r="B1492" s="22" t="str">
        <x:v>泉州市</x:v>
      </x:c>
      <x:c r="C1492" s="31" t="n">
        <x:v>350526</x:v>
      </x:c>
      <x:c r="D1492" s="22" t="str">
        <x:v>德化县</x:v>
      </x:c>
      <x:c r="E1492" s="22" t="str">
        <x:v>农用地</x:v>
      </x:c>
      <x:c r="F1492" s="22" t="str">
        <x:v>水域及水利设施</x:v>
      </x:c>
      <x:c r="G1492" s="32" t="str">
        <x:v>1103</x:v>
      </x:c>
      <x:c r="H1492" s="32" t="str">
        <x:v>1103</x:v>
      </x:c>
      <x:c r="I1492" s="22" t="str">
        <x:v>水库水面</x:v>
      </x:c>
      <x:c r="J1492" s="22" t="str">
        <x:v>农业生态</x:v>
      </x:c>
      <x:c r="K1492" s="32" t="str"/>
      <x:c r="L1492" s="22" t="str">
        <x:v>不适用/未标注</x:v>
      </x:c>
      <x:c r="M1492" s="33" t="n">
        <x:v>12830566.440000001</x:v>
      </x:c>
      <x:c r="N1492" s="33" t="n">
        <x:v>1283.0566440000002</x:v>
      </x:c>
      <x:c r="O1492" s="22" t="str">
        <x:v>公顷</x:v>
      </x:c>
      <x:c r="P1492" s="22" t="str">
        <x:v>未提供（单期横截面）</x:v>
      </x:c>
      <x:c r="Q1492" s="23" t="n">
        <x:v>4471</x:v>
      </x:c>
    </x:row>
    <x:row r="1493">
      <x:c r="A1493" s="30" t="n">
        <x:v>350500</x:v>
      </x:c>
      <x:c r="B1493" s="22" t="str">
        <x:v>泉州市</x:v>
      </x:c>
      <x:c r="C1493" s="31" t="n">
        <x:v>350526</x:v>
      </x:c>
      <x:c r="D1493" s="22" t="str">
        <x:v>德化县</x:v>
      </x:c>
      <x:c r="E1493" s="22" t="str">
        <x:v>农用地</x:v>
      </x:c>
      <x:c r="F1493" s="22" t="str">
        <x:v>水域及水利设施</x:v>
      </x:c>
      <x:c r="G1493" s="32" t="str">
        <x:v>1104</x:v>
      </x:c>
      <x:c r="H1493" s="32" t="str">
        <x:v>1104</x:v>
      </x:c>
      <x:c r="I1493" s="22" t="str">
        <x:v>坑塘水面</x:v>
      </x:c>
      <x:c r="J1493" s="22" t="str">
        <x:v>农业生态</x:v>
      </x:c>
      <x:c r="K1493" s="32" t="str"/>
      <x:c r="L1493" s="22" t="str">
        <x:v>不适用/未标注</x:v>
      </x:c>
      <x:c r="M1493" s="33" t="n">
        <x:v>1463499.6699999992</x:v>
      </x:c>
      <x:c r="N1493" s="33" t="n">
        <x:v>146.34996699999994</x:v>
      </x:c>
      <x:c r="O1493" s="22" t="str">
        <x:v>公顷</x:v>
      </x:c>
      <x:c r="P1493" s="22" t="str">
        <x:v>未提供（单期横截面）</x:v>
      </x:c>
      <x:c r="Q1493" s="23" t="n">
        <x:v>4472</x:v>
      </x:c>
    </x:row>
    <x:row r="1494">
      <x:c r="A1494" s="30" t="n">
        <x:v>350500</x:v>
      </x:c>
      <x:c r="B1494" s="22" t="str">
        <x:v>泉州市</x:v>
      </x:c>
      <x:c r="C1494" s="31" t="n">
        <x:v>350526</x:v>
      </x:c>
      <x:c r="D1494" s="22" t="str">
        <x:v>德化县</x:v>
      </x:c>
      <x:c r="E1494" s="22" t="str">
        <x:v>农用地</x:v>
      </x:c>
      <x:c r="F1494" s="22" t="str">
        <x:v>水域及水利设施</x:v>
      </x:c>
      <x:c r="G1494" s="32" t="str">
        <x:v>1104A</x:v>
      </x:c>
      <x:c r="H1494" s="32" t="str">
        <x:v>1104</x:v>
      </x:c>
      <x:c r="I1494" s="22" t="str">
        <x:v>养殖坑塘</x:v>
      </x:c>
      <x:c r="J1494" s="22" t="str">
        <x:v>农业生态</x:v>
      </x:c>
      <x:c r="K1494" s="32" t="str"/>
      <x:c r="L1494" s="22" t="str">
        <x:v>不适用/未标注</x:v>
      </x:c>
      <x:c r="M1494" s="33" t="n">
        <x:v>250822.69000000003</x:v>
      </x:c>
      <x:c r="N1494" s="33" t="n">
        <x:v>25.082269000000004</x:v>
      </x:c>
      <x:c r="O1494" s="22" t="str">
        <x:v>公顷</x:v>
      </x:c>
      <x:c r="P1494" s="22" t="str">
        <x:v>未提供（单期横截面）</x:v>
      </x:c>
      <x:c r="Q1494" s="23" t="n">
        <x:v>4473</x:v>
      </x:c>
    </x:row>
    <x:row r="1495">
      <x:c r="A1495" s="30" t="n">
        <x:v>350500</x:v>
      </x:c>
      <x:c r="B1495" s="22" t="str">
        <x:v>泉州市</x:v>
      </x:c>
      <x:c r="C1495" s="31" t="n">
        <x:v>350526</x:v>
      </x:c>
      <x:c r="D1495" s="22" t="str">
        <x:v>德化县</x:v>
      </x:c>
      <x:c r="E1495" s="22" t="str">
        <x:v>农用地</x:v>
      </x:c>
      <x:c r="F1495" s="22" t="str">
        <x:v>水域及水利设施</x:v>
      </x:c>
      <x:c r="G1495" s="32" t="str">
        <x:v>1107</x:v>
      </x:c>
      <x:c r="H1495" s="32" t="str">
        <x:v>1107</x:v>
      </x:c>
      <x:c r="I1495" s="22" t="str">
        <x:v>沟渠</x:v>
      </x:c>
      <x:c r="J1495" s="22" t="str">
        <x:v>农业生态</x:v>
      </x:c>
      <x:c r="K1495" s="32" t="str"/>
      <x:c r="L1495" s="22" t="str">
        <x:v>不适用/未标注</x:v>
      </x:c>
      <x:c r="M1495" s="33" t="n">
        <x:v>2024091.909999998</x:v>
      </x:c>
      <x:c r="N1495" s="33" t="n">
        <x:v>202.4091909999998</x:v>
      </x:c>
      <x:c r="O1495" s="22" t="str">
        <x:v>公顷</x:v>
      </x:c>
      <x:c r="P1495" s="22" t="str">
        <x:v>未提供（单期横截面）</x:v>
      </x:c>
      <x:c r="Q1495" s="23" t="n">
        <x:v>4474</x:v>
      </x:c>
    </x:row>
    <x:row r="1496">
      <x:c r="A1496" s="30" t="n">
        <x:v>350500</x:v>
      </x:c>
      <x:c r="B1496" s="22" t="str">
        <x:v>泉州市</x:v>
      </x:c>
      <x:c r="C1496" s="31" t="n">
        <x:v>350526</x:v>
      </x:c>
      <x:c r="D1496" s="22" t="str">
        <x:v>德化县</x:v>
      </x:c>
      <x:c r="E1496" s="22" t="str">
        <x:v>农用地</x:v>
      </x:c>
      <x:c r="F1496" s="22" t="str">
        <x:v>水域及水利设施</x:v>
      </x:c>
      <x:c r="G1496" s="32" t="str">
        <x:v>1107A</x:v>
      </x:c>
      <x:c r="H1496" s="32" t="str">
        <x:v>1107</x:v>
      </x:c>
      <x:c r="I1496" s="22" t="str">
        <x:v>干渠</x:v>
      </x:c>
      <x:c r="J1496" s="22" t="str">
        <x:v>农业生态</x:v>
      </x:c>
      <x:c r="K1496" s="32" t="str"/>
      <x:c r="L1496" s="22" t="str">
        <x:v>不适用/未标注</x:v>
      </x:c>
      <x:c r="M1496" s="33" t="n">
        <x:v>6457.08</x:v>
      </x:c>
      <x:c r="N1496" s="33" t="n">
        <x:v>0.645708</x:v>
      </x:c>
      <x:c r="O1496" s="22" t="str">
        <x:v>公顷</x:v>
      </x:c>
      <x:c r="P1496" s="22" t="str">
        <x:v>未提供（单期横截面）</x:v>
      </x:c>
      <x:c r="Q1496" s="23" t="n">
        <x:v>4475</x:v>
      </x:c>
    </x:row>
    <x:row r="1497">
      <x:c r="A1497" s="30" t="n">
        <x:v>350500</x:v>
      </x:c>
      <x:c r="B1497" s="22" t="str">
        <x:v>泉州市</x:v>
      </x:c>
      <x:c r="C1497" s="31" t="n">
        <x:v>350526</x:v>
      </x:c>
      <x:c r="D1497" s="22" t="str">
        <x:v>德化县</x:v>
      </x:c>
      <x:c r="E1497" s="22" t="str">
        <x:v>农用地</x:v>
      </x:c>
      <x:c r="F1497" s="22" t="str">
        <x:v>其他农用地</x:v>
      </x:c>
      <x:c r="G1497" s="32" t="str">
        <x:v>1202</x:v>
      </x:c>
      <x:c r="H1497" s="32" t="str">
        <x:v>1202</x:v>
      </x:c>
      <x:c r="I1497" s="22" t="str">
        <x:v>设施农用地</x:v>
      </x:c>
      <x:c r="J1497" s="22" t="str">
        <x:v>农业生态</x:v>
      </x:c>
      <x:c r="K1497" s="32" t="str"/>
      <x:c r="L1497" s="22" t="str">
        <x:v>不适用/未标注</x:v>
      </x:c>
      <x:c r="M1497" s="33" t="n">
        <x:v>1091847.1699999992</x:v>
      </x:c>
      <x:c r="N1497" s="33" t="n">
        <x:v>109.18471699999992</x:v>
      </x:c>
      <x:c r="O1497" s="22" t="str">
        <x:v>公顷</x:v>
      </x:c>
      <x:c r="P1497" s="22" t="str">
        <x:v>未提供（单期横截面）</x:v>
      </x:c>
      <x:c r="Q1497" s="23" t="n">
        <x:v>4476</x:v>
      </x:c>
    </x:row>
    <x:row r="1498">
      <x:c r="A1498" s="30" t="n">
        <x:v>350500</x:v>
      </x:c>
      <x:c r="B1498" s="22" t="str">
        <x:v>泉州市</x:v>
      </x:c>
      <x:c r="C1498" s="31" t="n">
        <x:v>350526</x:v>
      </x:c>
      <x:c r="D1498" s="22" t="str">
        <x:v>德化县</x:v>
      </x:c>
      <x:c r="E1498" s="22" t="str">
        <x:v>农用地</x:v>
      </x:c>
      <x:c r="F1498" s="22" t="str">
        <x:v>耕地</x:v>
      </x:c>
      <x:c r="G1498" s="32" t="str">
        <x:v>101</x:v>
      </x:c>
      <x:c r="H1498" s="32" t="str">
        <x:v>101</x:v>
      </x:c>
      <x:c r="I1498" s="22" t="str">
        <x:v>水田</x:v>
      </x:c>
      <x:c r="J1498" s="22" t="str">
        <x:v>农业生态</x:v>
      </x:c>
      <x:c r="K1498" s="32" t="str">
        <x:v>202</x:v>
      </x:c>
      <x:c r="L1498" s="22" t="str">
        <x:v>建制镇范围</x:v>
      </x:c>
      <x:c r="M1498" s="33" t="n">
        <x:v>41266.97999999999</x:v>
      </x:c>
      <x:c r="N1498" s="33" t="n">
        <x:v>4.126697999999998</x:v>
      </x:c>
      <x:c r="O1498" s="22" t="str">
        <x:v>公顷</x:v>
      </x:c>
      <x:c r="P1498" s="22" t="str">
        <x:v>未提供（单期横截面）</x:v>
      </x:c>
      <x:c r="Q1498" s="23" t="n">
        <x:v>4477</x:v>
      </x:c>
    </x:row>
    <x:row r="1499">
      <x:c r="A1499" s="30" t="n">
        <x:v>350500</x:v>
      </x:c>
      <x:c r="B1499" s="22" t="str">
        <x:v>泉州市</x:v>
      </x:c>
      <x:c r="C1499" s="31" t="n">
        <x:v>350526</x:v>
      </x:c>
      <x:c r="D1499" s="22" t="str">
        <x:v>德化县</x:v>
      </x:c>
      <x:c r="E1499" s="22" t="str">
        <x:v>农用地</x:v>
      </x:c>
      <x:c r="F1499" s="22" t="str">
        <x:v>耕地</x:v>
      </x:c>
      <x:c r="G1499" s="32" t="str">
        <x:v>102</x:v>
      </x:c>
      <x:c r="H1499" s="32" t="str">
        <x:v>102</x:v>
      </x:c>
      <x:c r="I1499" s="22" t="str">
        <x:v>水浇地</x:v>
      </x:c>
      <x:c r="J1499" s="22" t="str">
        <x:v>农业生态</x:v>
      </x:c>
      <x:c r="K1499" s="32" t="str">
        <x:v>202</x:v>
      </x:c>
      <x:c r="L1499" s="22" t="str">
        <x:v>建制镇范围</x:v>
      </x:c>
      <x:c r="M1499" s="33" t="n">
        <x:v>13082.17</x:v>
      </x:c>
      <x:c r="N1499" s="33" t="n">
        <x:v>1.308217</x:v>
      </x:c>
      <x:c r="O1499" s="22" t="str">
        <x:v>公顷</x:v>
      </x:c>
      <x:c r="P1499" s="22" t="str">
        <x:v>未提供（单期横截面）</x:v>
      </x:c>
      <x:c r="Q1499" s="23" t="n">
        <x:v>4478</x:v>
      </x:c>
    </x:row>
    <x:row r="1500">
      <x:c r="A1500" s="30" t="n">
        <x:v>350500</x:v>
      </x:c>
      <x:c r="B1500" s="22" t="str">
        <x:v>泉州市</x:v>
      </x:c>
      <x:c r="C1500" s="31" t="n">
        <x:v>350526</x:v>
      </x:c>
      <x:c r="D1500" s="22" t="str">
        <x:v>德化县</x:v>
      </x:c>
      <x:c r="E1500" s="22" t="str">
        <x:v>农用地</x:v>
      </x:c>
      <x:c r="F1500" s="22" t="str">
        <x:v>耕地</x:v>
      </x:c>
      <x:c r="G1500" s="32" t="str">
        <x:v>103</x:v>
      </x:c>
      <x:c r="H1500" s="32" t="str">
        <x:v>103</x:v>
      </x:c>
      <x:c r="I1500" s="22" t="str">
        <x:v>旱地</x:v>
      </x:c>
      <x:c r="J1500" s="22" t="str">
        <x:v>农业生态</x:v>
      </x:c>
      <x:c r="K1500" s="32" t="str">
        <x:v>202</x:v>
      </x:c>
      <x:c r="L1500" s="22" t="str">
        <x:v>建制镇范围</x:v>
      </x:c>
      <x:c r="M1500" s="33" t="n">
        <x:v>115156.85000000002</x:v>
      </x:c>
      <x:c r="N1500" s="33" t="n">
        <x:v>11.515685000000001</x:v>
      </x:c>
      <x:c r="O1500" s="22" t="str">
        <x:v>公顷</x:v>
      </x:c>
      <x:c r="P1500" s="22" t="str">
        <x:v>未提供（单期横截面）</x:v>
      </x:c>
      <x:c r="Q1500" s="23" t="n">
        <x:v>4479</x:v>
      </x:c>
    </x:row>
    <x:row r="1501">
      <x:c r="A1501" s="30" t="n">
        <x:v>350500</x:v>
      </x:c>
      <x:c r="B1501" s="22" t="str">
        <x:v>泉州市</x:v>
      </x:c>
      <x:c r="C1501" s="31" t="n">
        <x:v>350526</x:v>
      </x:c>
      <x:c r="D1501" s="22" t="str">
        <x:v>德化县</x:v>
      </x:c>
      <x:c r="E1501" s="22" t="str">
        <x:v>农用地</x:v>
      </x:c>
      <x:c r="F1501" s="22" t="str">
        <x:v>园地</x:v>
      </x:c>
      <x:c r="G1501" s="32" t="str">
        <x:v>201</x:v>
      </x:c>
      <x:c r="H1501" s="32" t="str">
        <x:v>201</x:v>
      </x:c>
      <x:c r="I1501" s="22" t="str">
        <x:v>果园</x:v>
      </x:c>
      <x:c r="J1501" s="22" t="str">
        <x:v>农业生态</x:v>
      </x:c>
      <x:c r="K1501" s="32" t="str">
        <x:v>202</x:v>
      </x:c>
      <x:c r="L1501" s="22" t="str">
        <x:v>建制镇范围</x:v>
      </x:c>
      <x:c r="M1501" s="33" t="n">
        <x:v>9621.27</x:v>
      </x:c>
      <x:c r="N1501" s="33" t="n">
        <x:v>0.9621270000000001</x:v>
      </x:c>
      <x:c r="O1501" s="22" t="str">
        <x:v>公顷</x:v>
      </x:c>
      <x:c r="P1501" s="22" t="str">
        <x:v>未提供（单期横截面）</x:v>
      </x:c>
      <x:c r="Q1501" s="23" t="n">
        <x:v>4480</x:v>
      </x:c>
    </x:row>
    <x:row r="1502">
      <x:c r="A1502" s="30" t="n">
        <x:v>350500</x:v>
      </x:c>
      <x:c r="B1502" s="22" t="str">
        <x:v>泉州市</x:v>
      </x:c>
      <x:c r="C1502" s="31" t="n">
        <x:v>350526</x:v>
      </x:c>
      <x:c r="D1502" s="22" t="str">
        <x:v>德化县</x:v>
      </x:c>
      <x:c r="E1502" s="22" t="str">
        <x:v>农用地</x:v>
      </x:c>
      <x:c r="F1502" s="22" t="str">
        <x:v>园地</x:v>
      </x:c>
      <x:c r="G1502" s="32" t="str">
        <x:v>204</x:v>
      </x:c>
      <x:c r="H1502" s="32" t="str">
        <x:v>204</x:v>
      </x:c>
      <x:c r="I1502" s="22" t="str">
        <x:v>其他园地</x:v>
      </x:c>
      <x:c r="J1502" s="22" t="str">
        <x:v>农业生态</x:v>
      </x:c>
      <x:c r="K1502" s="32" t="str">
        <x:v>202</x:v>
      </x:c>
      <x:c r="L1502" s="22" t="str">
        <x:v>建制镇范围</x:v>
      </x:c>
      <x:c r="M1502" s="33" t="n">
        <x:v>4763.68</x:v>
      </x:c>
      <x:c r="N1502" s="33" t="n">
        <x:v>0.476368</x:v>
      </x:c>
      <x:c r="O1502" s="22" t="str">
        <x:v>公顷</x:v>
      </x:c>
      <x:c r="P1502" s="22" t="str">
        <x:v>未提供（单期横截面）</x:v>
      </x:c>
      <x:c r="Q1502" s="23" t="n">
        <x:v>4481</x:v>
      </x:c>
    </x:row>
    <x:row r="1503">
      <x:c r="A1503" s="30" t="n">
        <x:v>350500</x:v>
      </x:c>
      <x:c r="B1503" s="22" t="str">
        <x:v>泉州市</x:v>
      </x:c>
      <x:c r="C1503" s="31" t="n">
        <x:v>350526</x:v>
      </x:c>
      <x:c r="D1503" s="22" t="str">
        <x:v>德化县</x:v>
      </x:c>
      <x:c r="E1503" s="22" t="str">
        <x:v>农用地</x:v>
      </x:c>
      <x:c r="F1503" s="22" t="str">
        <x:v>林地</x:v>
      </x:c>
      <x:c r="G1503" s="32" t="str">
        <x:v>301</x:v>
      </x:c>
      <x:c r="H1503" s="32" t="str">
        <x:v>301</x:v>
      </x:c>
      <x:c r="I1503" s="22" t="str">
        <x:v>乔木林地</x:v>
      </x:c>
      <x:c r="J1503" s="22" t="str">
        <x:v>农业生态</x:v>
      </x:c>
      <x:c r="K1503" s="32" t="str">
        <x:v>202</x:v>
      </x:c>
      <x:c r="L1503" s="22" t="str">
        <x:v>建制镇范围</x:v>
      </x:c>
      <x:c r="M1503" s="33" t="n">
        <x:v>152168.69</x:v>
      </x:c>
      <x:c r="N1503" s="33" t="n">
        <x:v>15.216869</x:v>
      </x:c>
      <x:c r="O1503" s="22" t="str">
        <x:v>公顷</x:v>
      </x:c>
      <x:c r="P1503" s="22" t="str">
        <x:v>未提供（单期横截面）</x:v>
      </x:c>
      <x:c r="Q1503" s="23" t="n">
        <x:v>4482</x:v>
      </x:c>
    </x:row>
    <x:row r="1504">
      <x:c r="A1504" s="30" t="n">
        <x:v>350500</x:v>
      </x:c>
      <x:c r="B1504" s="22" t="str">
        <x:v>泉州市</x:v>
      </x:c>
      <x:c r="C1504" s="31" t="n">
        <x:v>350526</x:v>
      </x:c>
      <x:c r="D1504" s="22" t="str">
        <x:v>德化县</x:v>
      </x:c>
      <x:c r="E1504" s="22" t="str">
        <x:v>农用地</x:v>
      </x:c>
      <x:c r="F1504" s="22" t="str">
        <x:v>林地</x:v>
      </x:c>
      <x:c r="G1504" s="32" t="str">
        <x:v>302</x:v>
      </x:c>
      <x:c r="H1504" s="32" t="str">
        <x:v>302</x:v>
      </x:c>
      <x:c r="I1504" s="22" t="str">
        <x:v>竹林地</x:v>
      </x:c>
      <x:c r="J1504" s="22" t="str">
        <x:v>农业生态</x:v>
      </x:c>
      <x:c r="K1504" s="32" t="str">
        <x:v>202</x:v>
      </x:c>
      <x:c r="L1504" s="22" t="str">
        <x:v>建制镇范围</x:v>
      </x:c>
      <x:c r="M1504" s="33" t="n">
        <x:v>6256.54</x:v>
      </x:c>
      <x:c r="N1504" s="33" t="n">
        <x:v>0.625654</x:v>
      </x:c>
      <x:c r="O1504" s="22" t="str">
        <x:v>公顷</x:v>
      </x:c>
      <x:c r="P1504" s="22" t="str">
        <x:v>未提供（单期横截面）</x:v>
      </x:c>
      <x:c r="Q1504" s="23" t="n">
        <x:v>4483</x:v>
      </x:c>
    </x:row>
    <x:row r="1505">
      <x:c r="A1505" s="30" t="n">
        <x:v>350500</x:v>
      </x:c>
      <x:c r="B1505" s="22" t="str">
        <x:v>泉州市</x:v>
      </x:c>
      <x:c r="C1505" s="31" t="n">
        <x:v>350526</x:v>
      </x:c>
      <x:c r="D1505" s="22" t="str">
        <x:v>德化县</x:v>
      </x:c>
      <x:c r="E1505" s="22" t="str">
        <x:v>农用地</x:v>
      </x:c>
      <x:c r="F1505" s="22" t="str">
        <x:v>林地</x:v>
      </x:c>
      <x:c r="G1505" s="32" t="str">
        <x:v>305</x:v>
      </x:c>
      <x:c r="H1505" s="32" t="str">
        <x:v>305</x:v>
      </x:c>
      <x:c r="I1505" s="22" t="str">
        <x:v>灌木林地</x:v>
      </x:c>
      <x:c r="J1505" s="22" t="str">
        <x:v>农业生态</x:v>
      </x:c>
      <x:c r="K1505" s="32" t="str">
        <x:v>202</x:v>
      </x:c>
      <x:c r="L1505" s="22" t="str">
        <x:v>建制镇范围</x:v>
      </x:c>
      <x:c r="M1505" s="33" t="n">
        <x:v>13196.97</x:v>
      </x:c>
      <x:c r="N1505" s="33" t="n">
        <x:v>1.319697</x:v>
      </x:c>
      <x:c r="O1505" s="22" t="str">
        <x:v>公顷</x:v>
      </x:c>
      <x:c r="P1505" s="22" t="str">
        <x:v>未提供（单期横截面）</x:v>
      </x:c>
      <x:c r="Q1505" s="23" t="n">
        <x:v>4484</x:v>
      </x:c>
    </x:row>
    <x:row r="1506">
      <x:c r="A1506" s="30" t="n">
        <x:v>350500</x:v>
      </x:c>
      <x:c r="B1506" s="22" t="str">
        <x:v>泉州市</x:v>
      </x:c>
      <x:c r="C1506" s="31" t="n">
        <x:v>350526</x:v>
      </x:c>
      <x:c r="D1506" s="22" t="str">
        <x:v>德化县</x:v>
      </x:c>
      <x:c r="E1506" s="22" t="str">
        <x:v>农用地</x:v>
      </x:c>
      <x:c r="F1506" s="22" t="str">
        <x:v>林地</x:v>
      </x:c>
      <x:c r="G1506" s="32" t="str">
        <x:v>307</x:v>
      </x:c>
      <x:c r="H1506" s="32" t="str">
        <x:v>307</x:v>
      </x:c>
      <x:c r="I1506" s="22" t="str">
        <x:v>其他林地</x:v>
      </x:c>
      <x:c r="J1506" s="22" t="str">
        <x:v>农业生态</x:v>
      </x:c>
      <x:c r="K1506" s="32" t="str">
        <x:v>202</x:v>
      </x:c>
      <x:c r="L1506" s="22" t="str">
        <x:v>建制镇范围</x:v>
      </x:c>
      <x:c r="M1506" s="33" t="n">
        <x:v>75273.2</x:v>
      </x:c>
      <x:c r="N1506" s="33" t="n">
        <x:v>7.52732</x:v>
      </x:c>
      <x:c r="O1506" s="22" t="str">
        <x:v>公顷</x:v>
      </x:c>
      <x:c r="P1506" s="22" t="str">
        <x:v>未提供（单期横截面）</x:v>
      </x:c>
      <x:c r="Q1506" s="23" t="n">
        <x:v>4485</x:v>
      </x:c>
    </x:row>
    <x:row r="1507">
      <x:c r="A1507" s="30" t="n">
        <x:v>350500</x:v>
      </x:c>
      <x:c r="B1507" s="22" t="str">
        <x:v>泉州市</x:v>
      </x:c>
      <x:c r="C1507" s="31" t="n">
        <x:v>350526</x:v>
      </x:c>
      <x:c r="D1507" s="22" t="str">
        <x:v>德化县</x:v>
      </x:c>
      <x:c r="E1507" s="22" t="str">
        <x:v>农用地</x:v>
      </x:c>
      <x:c r="F1507" s="22" t="str">
        <x:v>水域及水利设施</x:v>
      </x:c>
      <x:c r="G1507" s="32" t="str">
        <x:v>1104</x:v>
      </x:c>
      <x:c r="H1507" s="32" t="str">
        <x:v>1104</x:v>
      </x:c>
      <x:c r="I1507" s="22" t="str">
        <x:v>坑塘水面</x:v>
      </x:c>
      <x:c r="J1507" s="22" t="str">
        <x:v>农业生态</x:v>
      </x:c>
      <x:c r="K1507" s="32" t="str">
        <x:v>202</x:v>
      </x:c>
      <x:c r="L1507" s="22" t="str">
        <x:v>建制镇范围</x:v>
      </x:c>
      <x:c r="M1507" s="33" t="n">
        <x:v>4357.76</x:v>
      </x:c>
      <x:c r="N1507" s="33" t="n">
        <x:v>0.435776</x:v>
      </x:c>
      <x:c r="O1507" s="22" t="str">
        <x:v>公顷</x:v>
      </x:c>
      <x:c r="P1507" s="22" t="str">
        <x:v>未提供（单期横截面）</x:v>
      </x:c>
      <x:c r="Q1507" s="23" t="n">
        <x:v>4486</x:v>
      </x:c>
    </x:row>
    <x:row r="1508">
      <x:c r="A1508" s="30" t="n">
        <x:v>350500</x:v>
      </x:c>
      <x:c r="B1508" s="22" t="str">
        <x:v>泉州市</x:v>
      </x:c>
      <x:c r="C1508" s="31" t="n">
        <x:v>350526</x:v>
      </x:c>
      <x:c r="D1508" s="22" t="str">
        <x:v>德化县</x:v>
      </x:c>
      <x:c r="E1508" s="22" t="str">
        <x:v>农用地</x:v>
      </x:c>
      <x:c r="F1508" s="22" t="str">
        <x:v>耕地</x:v>
      </x:c>
      <x:c r="G1508" s="32" t="str">
        <x:v>101</x:v>
      </x:c>
      <x:c r="H1508" s="32" t="str">
        <x:v>101</x:v>
      </x:c>
      <x:c r="I1508" s="22" t="str">
        <x:v>水田</x:v>
      </x:c>
      <x:c r="J1508" s="22" t="str">
        <x:v>农业生态</x:v>
      </x:c>
      <x:c r="K1508" s="32" t="str">
        <x:v>203</x:v>
      </x:c>
      <x:c r="L1508" s="22" t="str">
        <x:v>村庄范围</x:v>
      </x:c>
      <x:c r="M1508" s="33" t="n">
        <x:v>4690.03</x:v>
      </x:c>
      <x:c r="N1508" s="33" t="n">
        <x:v>0.46900299999999995</x:v>
      </x:c>
      <x:c r="O1508" s="22" t="str">
        <x:v>公顷</x:v>
      </x:c>
      <x:c r="P1508" s="22" t="str">
        <x:v>未提供（单期横截面）</x:v>
      </x:c>
      <x:c r="Q1508" s="23" t="n">
        <x:v>4487</x:v>
      </x:c>
    </x:row>
    <x:row r="1509">
      <x:c r="A1509" s="30" t="n">
        <x:v>350500</x:v>
      </x:c>
      <x:c r="B1509" s="22" t="str">
        <x:v>泉州市</x:v>
      </x:c>
      <x:c r="C1509" s="31" t="n">
        <x:v>350526</x:v>
      </x:c>
      <x:c r="D1509" s="22" t="str">
        <x:v>德化县</x:v>
      </x:c>
      <x:c r="E1509" s="22" t="str">
        <x:v>农用地</x:v>
      </x:c>
      <x:c r="F1509" s="22" t="str">
        <x:v>耕地</x:v>
      </x:c>
      <x:c r="G1509" s="32" t="str">
        <x:v>103</x:v>
      </x:c>
      <x:c r="H1509" s="32" t="str">
        <x:v>103</x:v>
      </x:c>
      <x:c r="I1509" s="22" t="str">
        <x:v>旱地</x:v>
      </x:c>
      <x:c r="J1509" s="22" t="str">
        <x:v>农业生态</x:v>
      </x:c>
      <x:c r="K1509" s="32" t="str">
        <x:v>203</x:v>
      </x:c>
      <x:c r="L1509" s="22" t="str">
        <x:v>村庄范围</x:v>
      </x:c>
      <x:c r="M1509" s="33" t="n">
        <x:v>4759.46</x:v>
      </x:c>
      <x:c r="N1509" s="33" t="n">
        <x:v>0.475946</x:v>
      </x:c>
      <x:c r="O1509" s="22" t="str">
        <x:v>公顷</x:v>
      </x:c>
      <x:c r="P1509" s="22" t="str">
        <x:v>未提供（单期横截面）</x:v>
      </x:c>
      <x:c r="Q1509" s="23" t="n">
        <x:v>4488</x:v>
      </x:c>
    </x:row>
    <x:row r="1510">
      <x:c r="A1510" s="30" t="n">
        <x:v>350500</x:v>
      </x:c>
      <x:c r="B1510" s="22" t="str">
        <x:v>泉州市</x:v>
      </x:c>
      <x:c r="C1510" s="31" t="n">
        <x:v>350526</x:v>
      </x:c>
      <x:c r="D1510" s="22" t="str">
        <x:v>德化县</x:v>
      </x:c>
      <x:c r="E1510" s="22" t="str">
        <x:v>农用地</x:v>
      </x:c>
      <x:c r="F1510" s="22" t="str">
        <x:v>林地</x:v>
      </x:c>
      <x:c r="G1510" s="32" t="str">
        <x:v>301</x:v>
      </x:c>
      <x:c r="H1510" s="32" t="str">
        <x:v>301</x:v>
      </x:c>
      <x:c r="I1510" s="22" t="str">
        <x:v>乔木林地</x:v>
      </x:c>
      <x:c r="J1510" s="22" t="str">
        <x:v>农业生态</x:v>
      </x:c>
      <x:c r="K1510" s="32" t="str">
        <x:v>203</x:v>
      </x:c>
      <x:c r="L1510" s="22" t="str">
        <x:v>村庄范围</x:v>
      </x:c>
      <x:c r="M1510" s="33" t="n">
        <x:v>1273.4699999999998</x:v>
      </x:c>
      <x:c r="N1510" s="33" t="n">
        <x:v>0.127347</x:v>
      </x:c>
      <x:c r="O1510" s="22" t="str">
        <x:v>公顷</x:v>
      </x:c>
      <x:c r="P1510" s="22" t="str">
        <x:v>未提供（单期横截面）</x:v>
      </x:c>
      <x:c r="Q1510" s="23" t="n">
        <x:v>4489</x:v>
      </x:c>
    </x:row>
    <x:row r="1511">
      <x:c r="A1511" s="30" t="n">
        <x:v>350500</x:v>
      </x:c>
      <x:c r="B1511" s="22" t="str">
        <x:v>泉州市</x:v>
      </x:c>
      <x:c r="C1511" s="31" t="n">
        <x:v>350526</x:v>
      </x:c>
      <x:c r="D1511" s="22" t="str">
        <x:v>德化县</x:v>
      </x:c>
      <x:c r="E1511" s="22" t="str">
        <x:v>农用地</x:v>
      </x:c>
      <x:c r="F1511" s="22" t="str">
        <x:v>林地</x:v>
      </x:c>
      <x:c r="G1511" s="32" t="str">
        <x:v>302</x:v>
      </x:c>
      <x:c r="H1511" s="32" t="str">
        <x:v>302</x:v>
      </x:c>
      <x:c r="I1511" s="22" t="str">
        <x:v>竹林地</x:v>
      </x:c>
      <x:c r="J1511" s="22" t="str">
        <x:v>农业生态</x:v>
      </x:c>
      <x:c r="K1511" s="32" t="str">
        <x:v>203</x:v>
      </x:c>
      <x:c r="L1511" s="22" t="str">
        <x:v>村庄范围</x:v>
      </x:c>
      <x:c r="M1511" s="33" t="n">
        <x:v>828.5999999999999</x:v>
      </x:c>
      <x:c r="N1511" s="33" t="n">
        <x:v>0.08285999999999999</x:v>
      </x:c>
      <x:c r="O1511" s="22" t="str">
        <x:v>公顷</x:v>
      </x:c>
      <x:c r="P1511" s="22" t="str">
        <x:v>未提供（单期横截面）</x:v>
      </x:c>
      <x:c r="Q1511" s="23" t="n">
        <x:v>4490</x:v>
      </x:c>
    </x:row>
    <x:row r="1512">
      <x:c r="A1512" s="30" t="n">
        <x:v>350500</x:v>
      </x:c>
      <x:c r="B1512" s="22" t="str">
        <x:v>泉州市</x:v>
      </x:c>
      <x:c r="C1512" s="31" t="n">
        <x:v>350526</x:v>
      </x:c>
      <x:c r="D1512" s="22" t="str">
        <x:v>德化县</x:v>
      </x:c>
      <x:c r="E1512" s="22" t="str">
        <x:v>农用地</x:v>
      </x:c>
      <x:c r="F1512" s="22" t="str">
        <x:v>林地</x:v>
      </x:c>
      <x:c r="G1512" s="32" t="str">
        <x:v>307</x:v>
      </x:c>
      <x:c r="H1512" s="32" t="str">
        <x:v>307</x:v>
      </x:c>
      <x:c r="I1512" s="22" t="str">
        <x:v>其他林地</x:v>
      </x:c>
      <x:c r="J1512" s="22" t="str">
        <x:v>农业生态</x:v>
      </x:c>
      <x:c r="K1512" s="32" t="str">
        <x:v>203</x:v>
      </x:c>
      <x:c r="L1512" s="22" t="str">
        <x:v>村庄范围</x:v>
      </x:c>
      <x:c r="M1512" s="33" t="n">
        <x:v>1242.6</x:v>
      </x:c>
      <x:c r="N1512" s="33" t="n">
        <x:v>0.12426</x:v>
      </x:c>
      <x:c r="O1512" s="22" t="str">
        <x:v>公顷</x:v>
      </x:c>
      <x:c r="P1512" s="22" t="str">
        <x:v>未提供（单期横截面）</x:v>
      </x:c>
      <x:c r="Q1512" s="23" t="n">
        <x:v>4491</x:v>
      </x:c>
    </x:row>
    <x:row r="1513">
      <x:c r="A1513" s="30" t="n">
        <x:v>350500</x:v>
      </x:c>
      <x:c r="B1513" s="22" t="str">
        <x:v>泉州市</x:v>
      </x:c>
      <x:c r="C1513" s="31" t="n">
        <x:v>350526</x:v>
      </x:c>
      <x:c r="D1513" s="22" t="str">
        <x:v>德化县</x:v>
      </x:c>
      <x:c r="E1513" s="22" t="str">
        <x:v>未利用地</x:v>
      </x:c>
      <x:c r="F1513" s="22" t="str">
        <x:v>草地</x:v>
      </x:c>
      <x:c r="G1513" s="32" t="str">
        <x:v>404</x:v>
      </x:c>
      <x:c r="H1513" s="32" t="str">
        <x:v>404</x:v>
      </x:c>
      <x:c r="I1513" s="22" t="str">
        <x:v>其他草地</x:v>
      </x:c>
      <x:c r="J1513" s="22" t="str">
        <x:v>农业生态</x:v>
      </x:c>
      <x:c r="K1513" s="32" t="str"/>
      <x:c r="L1513" s="22" t="str">
        <x:v>不适用/未标注</x:v>
      </x:c>
      <x:c r="M1513" s="33" t="n">
        <x:v>29395384.45999994</x:v>
      </x:c>
      <x:c r="N1513" s="33" t="n">
        <x:v>2939.538445999994</x:v>
      </x:c>
      <x:c r="O1513" s="22" t="str">
        <x:v>公顷</x:v>
      </x:c>
      <x:c r="P1513" s="22" t="str">
        <x:v>未提供（单期横截面）</x:v>
      </x:c>
      <x:c r="Q1513" s="23" t="n">
        <x:v>4492</x:v>
      </x:c>
    </x:row>
    <x:row r="1514">
      <x:c r="A1514" s="30" t="n">
        <x:v>350500</x:v>
      </x:c>
      <x:c r="B1514" s="22" t="str">
        <x:v>泉州市</x:v>
      </x:c>
      <x:c r="C1514" s="31" t="n">
        <x:v>350526</x:v>
      </x:c>
      <x:c r="D1514" s="22" t="str">
        <x:v>德化县</x:v>
      </x:c>
      <x:c r="E1514" s="22" t="str">
        <x:v>未利用地</x:v>
      </x:c>
      <x:c r="F1514" s="22" t="str">
        <x:v>水域及水利设施</x:v>
      </x:c>
      <x:c r="G1514" s="32" t="str">
        <x:v>1101</x:v>
      </x:c>
      <x:c r="H1514" s="32" t="str">
        <x:v>1101</x:v>
      </x:c>
      <x:c r="I1514" s="22" t="str">
        <x:v>河流水面</x:v>
      </x:c>
      <x:c r="J1514" s="22" t="str">
        <x:v>农业生态</x:v>
      </x:c>
      <x:c r="K1514" s="32" t="str"/>
      <x:c r="L1514" s="22" t="str">
        <x:v>不适用/未标注</x:v>
      </x:c>
      <x:c r="M1514" s="33" t="n">
        <x:v>16689128.470000012</x:v>
      </x:c>
      <x:c r="N1514" s="33" t="n">
        <x:v>1668.9128470000012</x:v>
      </x:c>
      <x:c r="O1514" s="22" t="str">
        <x:v>公顷</x:v>
      </x:c>
      <x:c r="P1514" s="22" t="str">
        <x:v>未提供（单期横截面）</x:v>
      </x:c>
      <x:c r="Q1514" s="23" t="n">
        <x:v>4493</x:v>
      </x:c>
    </x:row>
    <x:row r="1515">
      <x:c r="A1515" s="30" t="n">
        <x:v>350500</x:v>
      </x:c>
      <x:c r="B1515" s="22" t="str">
        <x:v>泉州市</x:v>
      </x:c>
      <x:c r="C1515" s="31" t="n">
        <x:v>350526</x:v>
      </x:c>
      <x:c r="D1515" s="22" t="str">
        <x:v>德化县</x:v>
      </x:c>
      <x:c r="E1515" s="22" t="str">
        <x:v>未利用地</x:v>
      </x:c>
      <x:c r="F1515" s="22" t="str">
        <x:v>水域及水利设施</x:v>
      </x:c>
      <x:c r="G1515" s="32" t="str">
        <x:v>1106</x:v>
      </x:c>
      <x:c r="H1515" s="32" t="str">
        <x:v>1106</x:v>
      </x:c>
      <x:c r="I1515" s="22" t="str">
        <x:v>内陆滩涂</x:v>
      </x:c>
      <x:c r="J1515" s="22" t="str">
        <x:v>农业生态</x:v>
      </x:c>
      <x:c r="K1515" s="32" t="str"/>
      <x:c r="L1515" s="22" t="str">
        <x:v>不适用/未标注</x:v>
      </x:c>
      <x:c r="M1515" s="33" t="n">
        <x:v>1049147.06</x:v>
      </x:c>
      <x:c r="N1515" s="33" t="n">
        <x:v>104.91470600000001</x:v>
      </x:c>
      <x:c r="O1515" s="22" t="str">
        <x:v>公顷</x:v>
      </x:c>
      <x:c r="P1515" s="22" t="str">
        <x:v>未提供（单期横截面）</x:v>
      </x:c>
      <x:c r="Q1515" s="23" t="n">
        <x:v>4494</x:v>
      </x:c>
    </x:row>
    <x:row r="1516">
      <x:c r="A1516" s="30" t="n">
        <x:v>350500</x:v>
      </x:c>
      <x:c r="B1516" s="22" t="str">
        <x:v>泉州市</x:v>
      </x:c>
      <x:c r="C1516" s="31" t="n">
        <x:v>350526</x:v>
      </x:c>
      <x:c r="D1516" s="22" t="str">
        <x:v>德化县</x:v>
      </x:c>
      <x:c r="E1516" s="22" t="str">
        <x:v>未利用地</x:v>
      </x:c>
      <x:c r="F1516" s="22" t="str">
        <x:v>未利用地</x:v>
      </x:c>
      <x:c r="G1516" s="32" t="str">
        <x:v>1206</x:v>
      </x:c>
      <x:c r="H1516" s="32" t="str">
        <x:v>1206</x:v>
      </x:c>
      <x:c r="I1516" s="22" t="str">
        <x:v>裸土地</x:v>
      </x:c>
      <x:c r="J1516" s="22" t="str">
        <x:v>未利用地</x:v>
      </x:c>
      <x:c r="K1516" s="32" t="str"/>
      <x:c r="L1516" s="22" t="str">
        <x:v>不适用/未标注</x:v>
      </x:c>
      <x:c r="M1516" s="33" t="n">
        <x:v>171780.25000000003</x:v>
      </x:c>
      <x:c r="N1516" s="33" t="n">
        <x:v>17.178025</x:v>
      </x:c>
      <x:c r="O1516" s="22" t="str">
        <x:v>公顷</x:v>
      </x:c>
      <x:c r="P1516" s="22" t="str">
        <x:v>未提供（单期横截面）</x:v>
      </x:c>
      <x:c r="Q1516" s="23" t="n">
        <x:v>4495</x:v>
      </x:c>
    </x:row>
    <x:row r="1517">
      <x:c r="A1517" s="30" t="n">
        <x:v>350500</x:v>
      </x:c>
      <x:c r="B1517" s="22" t="str">
        <x:v>泉州市</x:v>
      </x:c>
      <x:c r="C1517" s="31" t="n">
        <x:v>350526</x:v>
      </x:c>
      <x:c r="D1517" s="22" t="str">
        <x:v>德化县</x:v>
      </x:c>
      <x:c r="E1517" s="22" t="str">
        <x:v>未利用地</x:v>
      </x:c>
      <x:c r="F1517" s="22" t="str">
        <x:v>未利用地</x:v>
      </x:c>
      <x:c r="G1517" s="32" t="str">
        <x:v>1207</x:v>
      </x:c>
      <x:c r="H1517" s="32" t="str">
        <x:v>1207</x:v>
      </x:c>
      <x:c r="I1517" s="22" t="str">
        <x:v>裸岩石砾地</x:v>
      </x:c>
      <x:c r="J1517" s="22" t="str">
        <x:v>未利用地</x:v>
      </x:c>
      <x:c r="K1517" s="32" t="str"/>
      <x:c r="L1517" s="22" t="str">
        <x:v>不适用/未标注</x:v>
      </x:c>
      <x:c r="M1517" s="33" t="n">
        <x:v>253645.93999999994</x:v>
      </x:c>
      <x:c r="N1517" s="33" t="n">
        <x:v>25.364593999999993</x:v>
      </x:c>
      <x:c r="O1517" s="22" t="str">
        <x:v>公顷</x:v>
      </x:c>
      <x:c r="P1517" s="22" t="str">
        <x:v>未提供（单期横截面）</x:v>
      </x:c>
      <x:c r="Q1517" s="23" t="n">
        <x:v>4496</x:v>
      </x:c>
    </x:row>
    <x:row r="1518">
      <x:c r="A1518" s="30" t="n">
        <x:v>350500</x:v>
      </x:c>
      <x:c r="B1518" s="22" t="str">
        <x:v>泉州市</x:v>
      </x:c>
      <x:c r="C1518" s="31" t="n">
        <x:v>350526</x:v>
      </x:c>
      <x:c r="D1518" s="22" t="str">
        <x:v>德化县</x:v>
      </x:c>
      <x:c r="E1518" s="22" t="str">
        <x:v>未利用地</x:v>
      </x:c>
      <x:c r="F1518" s="22" t="str">
        <x:v>草地</x:v>
      </x:c>
      <x:c r="G1518" s="32" t="str">
        <x:v>404</x:v>
      </x:c>
      <x:c r="H1518" s="32" t="str">
        <x:v>404</x:v>
      </x:c>
      <x:c r="I1518" s="22" t="str">
        <x:v>其他草地</x:v>
      </x:c>
      <x:c r="J1518" s="22" t="str">
        <x:v>农业生态</x:v>
      </x:c>
      <x:c r="K1518" s="32" t="str">
        <x:v>202</x:v>
      </x:c>
      <x:c r="L1518" s="22" t="str">
        <x:v>建制镇范围</x:v>
      </x:c>
      <x:c r="M1518" s="33" t="n">
        <x:v>29322.02</x:v>
      </x:c>
      <x:c r="N1518" s="33" t="n">
        <x:v>2.932202</x:v>
      </x:c>
      <x:c r="O1518" s="22" t="str">
        <x:v>公顷</x:v>
      </x:c>
      <x:c r="P1518" s="22" t="str">
        <x:v>未提供（单期横截面）</x:v>
      </x:c>
      <x:c r="Q1518" s="23" t="n">
        <x:v>4497</x:v>
      </x:c>
    </x:row>
    <x:row r="1519">
      <x:c r="A1519" s="30" t="n">
        <x:v>350500</x:v>
      </x:c>
      <x:c r="B1519" s="22" t="str">
        <x:v>泉州市</x:v>
      </x:c>
      <x:c r="C1519" s="31" t="n">
        <x:v>350581</x:v>
      </x:c>
      <x:c r="D1519" s="22" t="str">
        <x:v>石狮市</x:v>
      </x:c>
      <x:c r="E1519" s="22" t="str">
        <x:v>建设用地</x:v>
      </x:c>
      <x:c r="F1519" s="22" t="str">
        <x:v>交通运输用地</x:v>
      </x:c>
      <x:c r="G1519" s="32" t="str">
        <x:v>1001</x:v>
      </x:c>
      <x:c r="H1519" s="32" t="str">
        <x:v>1001</x:v>
      </x:c>
      <x:c r="I1519" s="22" t="str">
        <x:v>铁路用地</x:v>
      </x:c>
      <x:c r="J1519" s="22" t="str">
        <x:v>交通门户</x:v>
      </x:c>
      <x:c r="K1519" s="32" t="str"/>
      <x:c r="L1519" s="22" t="str">
        <x:v>不适用/未标注</x:v>
      </x:c>
      <x:c r="M1519" s="33" t="n">
        <x:v>34502.51</x:v>
      </x:c>
      <x:c r="N1519" s="33" t="n">
        <x:v>3.450251</x:v>
      </x:c>
      <x:c r="O1519" s="22" t="str">
        <x:v>公顷</x:v>
      </x:c>
      <x:c r="P1519" s="22" t="str">
        <x:v>未提供（单期横截面）</x:v>
      </x:c>
      <x:c r="Q1519" s="23" t="n">
        <x:v>4498</x:v>
      </x:c>
    </x:row>
    <x:row r="1520">
      <x:c r="A1520" s="30" t="n">
        <x:v>350500</x:v>
      </x:c>
      <x:c r="B1520" s="22" t="str">
        <x:v>泉州市</x:v>
      </x:c>
      <x:c r="C1520" s="31" t="n">
        <x:v>350581</x:v>
      </x:c>
      <x:c r="D1520" s="22" t="str">
        <x:v>石狮市</x:v>
      </x:c>
      <x:c r="E1520" s="22" t="str">
        <x:v>建设用地</x:v>
      </x:c>
      <x:c r="F1520" s="22" t="str">
        <x:v>交通运输用地</x:v>
      </x:c>
      <x:c r="G1520" s="32" t="str">
        <x:v>1003</x:v>
      </x:c>
      <x:c r="H1520" s="32" t="str">
        <x:v>1003</x:v>
      </x:c>
      <x:c r="I1520" s="22" t="str">
        <x:v>公路用地</x:v>
      </x:c>
      <x:c r="J1520" s="22" t="str">
        <x:v>交通门户</x:v>
      </x:c>
      <x:c r="K1520" s="32" t="str"/>
      <x:c r="L1520" s="22" t="str">
        <x:v>不适用/未标注</x:v>
      </x:c>
      <x:c r="M1520" s="33" t="n">
        <x:v>13301232.870000003</x:v>
      </x:c>
      <x:c r="N1520" s="33" t="n">
        <x:v>1330.1232870000003</x:v>
      </x:c>
      <x:c r="O1520" s="22" t="str">
        <x:v>公顷</x:v>
      </x:c>
      <x:c r="P1520" s="22" t="str">
        <x:v>未提供（单期横截面）</x:v>
      </x:c>
      <x:c r="Q1520" s="23" t="n">
        <x:v>4499</x:v>
      </x:c>
    </x:row>
    <x:row r="1521">
      <x:c r="A1521" s="30" t="n">
        <x:v>350500</x:v>
      </x:c>
      <x:c r="B1521" s="22" t="str">
        <x:v>泉州市</x:v>
      </x:c>
      <x:c r="C1521" s="31" t="n">
        <x:v>350581</x:v>
      </x:c>
      <x:c r="D1521" s="22" t="str">
        <x:v>石狮市</x:v>
      </x:c>
      <x:c r="E1521" s="22" t="str">
        <x:v>建设用地</x:v>
      </x:c>
      <x:c r="F1521" s="22" t="str">
        <x:v>交通运输用地</x:v>
      </x:c>
      <x:c r="G1521" s="32" t="str">
        <x:v>1008</x:v>
      </x:c>
      <x:c r="H1521" s="32" t="str">
        <x:v>1008</x:v>
      </x:c>
      <x:c r="I1521" s="22" t="str">
        <x:v>港口码头用地</x:v>
      </x:c>
      <x:c r="J1521" s="22" t="str">
        <x:v>交通门户</x:v>
      </x:c>
      <x:c r="K1521" s="32" t="str"/>
      <x:c r="L1521" s="22" t="str">
        <x:v>不适用/未标注</x:v>
      </x:c>
      <x:c r="M1521" s="33" t="n">
        <x:v>39398.74</x:v>
      </x:c>
      <x:c r="N1521" s="33" t="n">
        <x:v>3.9398739999999997</x:v>
      </x:c>
      <x:c r="O1521" s="22" t="str">
        <x:v>公顷</x:v>
      </x:c>
      <x:c r="P1521" s="22" t="str">
        <x:v>未提供（单期横截面）</x:v>
      </x:c>
      <x:c r="Q1521" s="23" t="n">
        <x:v>4500</x:v>
      </x:c>
    </x:row>
    <x:row r="1522">
      <x:c r="A1522" s="30" t="n">
        <x:v>350500</x:v>
      </x:c>
      <x:c r="B1522" s="22" t="str">
        <x:v>泉州市</x:v>
      </x:c>
      <x:c r="C1522" s="31" t="n">
        <x:v>350581</x:v>
      </x:c>
      <x:c r="D1522" s="22" t="str">
        <x:v>石狮市</x:v>
      </x:c>
      <x:c r="E1522" s="22" t="str">
        <x:v>建设用地</x:v>
      </x:c>
      <x:c r="F1522" s="22" t="str">
        <x:v>水域及水利设施</x:v>
      </x:c>
      <x:c r="G1522" s="32" t="str">
        <x:v>1109</x:v>
      </x:c>
      <x:c r="H1522" s="32" t="str">
        <x:v>1109</x:v>
      </x:c>
      <x:c r="I1522" s="22" t="str">
        <x:v>水工建筑用地</x:v>
      </x:c>
      <x:c r="J1522" s="22" t="str">
        <x:v>其他建设</x:v>
      </x:c>
      <x:c r="K1522" s="32" t="str"/>
      <x:c r="L1522" s="22" t="str">
        <x:v>不适用/未标注</x:v>
      </x:c>
      <x:c r="M1522" s="33" t="n">
        <x:v>419445.1300000001</x:v>
      </x:c>
      <x:c r="N1522" s="33" t="n">
        <x:v>41.944513000000015</x:v>
      </x:c>
      <x:c r="O1522" s="22" t="str">
        <x:v>公顷</x:v>
      </x:c>
      <x:c r="P1522" s="22" t="str">
        <x:v>未提供（单期横截面）</x:v>
      </x:c>
      <x:c r="Q1522" s="23" t="n">
        <x:v>4501</x:v>
      </x:c>
    </x:row>
    <x:row r="1523">
      <x:c r="A1523" s="30" t="n">
        <x:v>350500</x:v>
      </x:c>
      <x:c r="B1523" s="22" t="str">
        <x:v>泉州市</x:v>
      </x:c>
      <x:c r="C1523" s="31" t="n">
        <x:v>350581</x:v>
      </x:c>
      <x:c r="D1523" s="22" t="str">
        <x:v>石狮市</x:v>
      </x:c>
      <x:c r="E1523" s="22" t="str">
        <x:v>建设用地</x:v>
      </x:c>
      <x:c r="F1523" s="22" t="str">
        <x:v>工矿仓储用地</x:v>
      </x:c>
      <x:c r="G1523" s="32" t="str">
        <x:v>508</x:v>
      </x:c>
      <x:c r="H1523" s="32" t="str">
        <x:v>508</x:v>
      </x:c>
      <x:c r="I1523" s="22" t="str">
        <x:v>物流仓储用地</x:v>
      </x:c>
      <x:c r="J1523" s="22" t="str">
        <x:v>产业功能</x:v>
      </x:c>
      <x:c r="K1523" s="32" t="str">
        <x:v>201</x:v>
      </x:c>
      <x:c r="L1523" s="22" t="str">
        <x:v>城市范围</x:v>
      </x:c>
      <x:c r="M1523" s="33" t="n">
        <x:v>656448.8099999997</x:v>
      </x:c>
      <x:c r="N1523" s="33" t="n">
        <x:v>65.64488099999997</x:v>
      </x:c>
      <x:c r="O1523" s="22" t="str">
        <x:v>公顷</x:v>
      </x:c>
      <x:c r="P1523" s="22" t="str">
        <x:v>未提供（单期横截面）</x:v>
      </x:c>
      <x:c r="Q1523" s="23" t="n">
        <x:v>4502</x:v>
      </x:c>
    </x:row>
    <x:row r="1524">
      <x:c r="A1524" s="30" t="n">
        <x:v>350500</x:v>
      </x:c>
      <x:c r="B1524" s="22" t="str">
        <x:v>泉州市</x:v>
      </x:c>
      <x:c r="C1524" s="31" t="n">
        <x:v>350581</x:v>
      </x:c>
      <x:c r="D1524" s="22" t="str">
        <x:v>石狮市</x:v>
      </x:c>
      <x:c r="E1524" s="22" t="str">
        <x:v>建设用地</x:v>
      </x:c>
      <x:c r="F1524" s="22" t="str">
        <x:v>商业服务业用地</x:v>
      </x:c>
      <x:c r="G1524" s="32" t="str">
        <x:v>05H1</x:v>
      </x:c>
      <x:c r="H1524" s="32" t="str">
        <x:v>05H1</x:v>
      </x:c>
      <x:c r="I1524" s="22" t="str">
        <x:v>商业服务业设施用地</x:v>
      </x:c>
      <x:c r="J1524" s="22" t="str">
        <x:v>商业服务</x:v>
      </x:c>
      <x:c r="K1524" s="32" t="str">
        <x:v>201</x:v>
      </x:c>
      <x:c r="L1524" s="22" t="str">
        <x:v>城市范围</x:v>
      </x:c>
      <x:c r="M1524" s="33" t="n">
        <x:v>2344966.58</x:v>
      </x:c>
      <x:c r="N1524" s="33" t="n">
        <x:v>234.496658</x:v>
      </x:c>
      <x:c r="O1524" s="22" t="str">
        <x:v>公顷</x:v>
      </x:c>
      <x:c r="P1524" s="22" t="str">
        <x:v>未提供（单期横截面）</x:v>
      </x:c>
      <x:c r="Q1524" s="23" t="n">
        <x:v>4503</x:v>
      </x:c>
    </x:row>
    <x:row r="1525">
      <x:c r="A1525" s="30" t="n">
        <x:v>350500</x:v>
      </x:c>
      <x:c r="B1525" s="22" t="str">
        <x:v>泉州市</x:v>
      </x:c>
      <x:c r="C1525" s="31" t="n">
        <x:v>350581</x:v>
      </x:c>
      <x:c r="D1525" s="22" t="str">
        <x:v>石狮市</x:v>
      </x:c>
      <x:c r="E1525" s="22" t="str">
        <x:v>建设用地</x:v>
      </x:c>
      <x:c r="F1525" s="22" t="str">
        <x:v>工矿仓储用地</x:v>
      </x:c>
      <x:c r="G1525" s="32" t="str">
        <x:v>601</x:v>
      </x:c>
      <x:c r="H1525" s="32" t="str">
        <x:v>601</x:v>
      </x:c>
      <x:c r="I1525" s="22" t="str">
        <x:v>工业用地</x:v>
      </x:c>
      <x:c r="J1525" s="22" t="str">
        <x:v>产业功能</x:v>
      </x:c>
      <x:c r="K1525" s="32" t="str">
        <x:v>201</x:v>
      </x:c>
      <x:c r="L1525" s="22" t="str">
        <x:v>城市范围</x:v>
      </x:c>
      <x:c r="M1525" s="33" t="n">
        <x:v>4548665.4399999995</x:v>
      </x:c>
      <x:c r="N1525" s="33" t="n">
        <x:v>454.866544</x:v>
      </x:c>
      <x:c r="O1525" s="22" t="str">
        <x:v>公顷</x:v>
      </x:c>
      <x:c r="P1525" s="22" t="str">
        <x:v>未提供（单期横截面）</x:v>
      </x:c>
      <x:c r="Q1525" s="23" t="n">
        <x:v>4504</x:v>
      </x:c>
    </x:row>
    <x:row r="1526">
      <x:c r="A1526" s="30" t="n">
        <x:v>350500</x:v>
      </x:c>
      <x:c r="B1526" s="22" t="str">
        <x:v>泉州市</x:v>
      </x:c>
      <x:c r="C1526" s="31" t="n">
        <x:v>350581</x:v>
      </x:c>
      <x:c r="D1526" s="22" t="str">
        <x:v>石狮市</x:v>
      </x:c>
      <x:c r="E1526" s="22" t="str">
        <x:v>建设用地</x:v>
      </x:c>
      <x:c r="F1526" s="22" t="str">
        <x:v>居住用地</x:v>
      </x:c>
      <x:c r="G1526" s="32" t="str">
        <x:v>701</x:v>
      </x:c>
      <x:c r="H1526" s="32" t="str">
        <x:v>701</x:v>
      </x:c>
      <x:c r="I1526" s="22" t="str">
        <x:v>城镇住宅用地</x:v>
      </x:c>
      <x:c r="J1526" s="22" t="str">
        <x:v>居住功能</x:v>
      </x:c>
      <x:c r="K1526" s="32" t="str">
        <x:v>201</x:v>
      </x:c>
      <x:c r="L1526" s="22" t="str">
        <x:v>城市范围</x:v>
      </x:c>
      <x:c r="M1526" s="33" t="n">
        <x:v>15055318.419999992</x:v>
      </x:c>
      <x:c r="N1526" s="33" t="n">
        <x:v>1505.5318419999992</x:v>
      </x:c>
      <x:c r="O1526" s="22" t="str">
        <x:v>公顷</x:v>
      </x:c>
      <x:c r="P1526" s="22" t="str">
        <x:v>未提供（单期横截面）</x:v>
      </x:c>
      <x:c r="Q1526" s="23" t="n">
        <x:v>4505</x:v>
      </x:c>
    </x:row>
    <x:row r="1527">
      <x:c r="A1527" s="30" t="n">
        <x:v>350500</x:v>
      </x:c>
      <x:c r="B1527" s="22" t="str">
        <x:v>泉州市</x:v>
      </x:c>
      <x:c r="C1527" s="31" t="n">
        <x:v>350581</x:v>
      </x:c>
      <x:c r="D1527" s="22" t="str">
        <x:v>石狮市</x:v>
      </x:c>
      <x:c r="E1527" s="22" t="str">
        <x:v>建设用地</x:v>
      </x:c>
      <x:c r="F1527" s="22" t="str">
        <x:v>居住用地</x:v>
      </x:c>
      <x:c r="G1527" s="32" t="str">
        <x:v>702</x:v>
      </x:c>
      <x:c r="H1527" s="32" t="str">
        <x:v>702</x:v>
      </x:c>
      <x:c r="I1527" s="22" t="str">
        <x:v>农村宅基地</x:v>
      </x:c>
      <x:c r="J1527" s="22" t="str">
        <x:v>居住功能</x:v>
      </x:c>
      <x:c r="K1527" s="32" t="str">
        <x:v>201</x:v>
      </x:c>
      <x:c r="L1527" s="22" t="str">
        <x:v>城市范围</x:v>
      </x:c>
      <x:c r="M1527" s="33" t="n">
        <x:v>3722.06</x:v>
      </x:c>
      <x:c r="N1527" s="33" t="n">
        <x:v>0.372206</x:v>
      </x:c>
      <x:c r="O1527" s="22" t="str">
        <x:v>公顷</x:v>
      </x:c>
      <x:c r="P1527" s="22" t="str">
        <x:v>未提供（单期横截面）</x:v>
      </x:c>
      <x:c r="Q1527" s="23" t="n">
        <x:v>4506</x:v>
      </x:c>
    </x:row>
    <x:row r="1528">
      <x:c r="A1528" s="30" t="n">
        <x:v>350500</x:v>
      </x:c>
      <x:c r="B1528" s="22" t="str">
        <x:v>泉州市</x:v>
      </x:c>
      <x:c r="C1528" s="31" t="n">
        <x:v>350581</x:v>
      </x:c>
      <x:c r="D1528" s="22" t="str">
        <x:v>石狮市</x:v>
      </x:c>
      <x:c r="E1528" s="22" t="str">
        <x:v>建设用地</x:v>
      </x:c>
      <x:c r="F1528" s="22" t="str">
        <x:v>公用设施用地</x:v>
      </x:c>
      <x:c r="G1528" s="32" t="str">
        <x:v>809</x:v>
      </x:c>
      <x:c r="H1528" s="32" t="str">
        <x:v>809</x:v>
      </x:c>
      <x:c r="I1528" s="22" t="str">
        <x:v>公用设施用地</x:v>
      </x:c>
      <x:c r="J1528" s="22" t="str">
        <x:v>其他建设</x:v>
      </x:c>
      <x:c r="K1528" s="32" t="str">
        <x:v>201</x:v>
      </x:c>
      <x:c r="L1528" s="22" t="str">
        <x:v>城市范围</x:v>
      </x:c>
      <x:c r="M1528" s="33" t="n">
        <x:v>374001.63000000006</x:v>
      </x:c>
      <x:c r="N1528" s="33" t="n">
        <x:v>37.400163000000006</x:v>
      </x:c>
      <x:c r="O1528" s="22" t="str">
        <x:v>公顷</x:v>
      </x:c>
      <x:c r="P1528" s="22" t="str">
        <x:v>未提供（单期横截面）</x:v>
      </x:c>
      <x:c r="Q1528" s="23" t="n">
        <x:v>4507</x:v>
      </x:c>
    </x:row>
    <x:row r="1529">
      <x:c r="A1529" s="30" t="n">
        <x:v>350500</x:v>
      </x:c>
      <x:c r="B1529" s="22" t="str">
        <x:v>泉州市</x:v>
      </x:c>
      <x:c r="C1529" s="31" t="n">
        <x:v>350581</x:v>
      </x:c>
      <x:c r="D1529" s="22" t="str">
        <x:v>石狮市</x:v>
      </x:c>
      <x:c r="E1529" s="22" t="str">
        <x:v>建设用地</x:v>
      </x:c>
      <x:c r="F1529" s="22" t="str">
        <x:v>绿地与广场用地</x:v>
      </x:c>
      <x:c r="G1529" s="32" t="str">
        <x:v>810</x:v>
      </x:c>
      <x:c r="H1529" s="32" t="str">
        <x:v>810</x:v>
      </x:c>
      <x:c r="I1529" s="22" t="str">
        <x:v>公园与绿地</x:v>
      </x:c>
      <x:c r="J1529" s="22" t="str">
        <x:v>公共空间</x:v>
      </x:c>
      <x:c r="K1529" s="32" t="str">
        <x:v>201</x:v>
      </x:c>
      <x:c r="L1529" s="22" t="str">
        <x:v>城市范围</x:v>
      </x:c>
      <x:c r="M1529" s="33" t="n">
        <x:v>1142743.41</x:v>
      </x:c>
      <x:c r="N1529" s="33" t="n">
        <x:v>114.27434099999999</x:v>
      </x:c>
      <x:c r="O1529" s="22" t="str">
        <x:v>公顷</x:v>
      </x:c>
      <x:c r="P1529" s="22" t="str">
        <x:v>未提供（单期横截面）</x:v>
      </x:c>
      <x:c r="Q1529" s="23" t="n">
        <x:v>4508</x:v>
      </x:c>
    </x:row>
    <x:row r="1530">
      <x:c r="A1530" s="30" t="n">
        <x:v>350500</x:v>
      </x:c>
      <x:c r="B1530" s="22" t="str">
        <x:v>泉州市</x:v>
      </x:c>
      <x:c r="C1530" s="31" t="n">
        <x:v>350581</x:v>
      </x:c>
      <x:c r="D1530" s="22" t="str">
        <x:v>石狮市</x:v>
      </x:c>
      <x:c r="E1530" s="22" t="str">
        <x:v>建设用地</x:v>
      </x:c>
      <x:c r="F1530" s="22" t="str">
        <x:v>绿地与广场用地</x:v>
      </x:c>
      <x:c r="G1530" s="32" t="str">
        <x:v>0810A</x:v>
      </x:c>
      <x:c r="H1530" s="32" t="str">
        <x:v>0810</x:v>
      </x:c>
      <x:c r="I1530" s="22" t="str">
        <x:v>广场用地</x:v>
      </x:c>
      <x:c r="J1530" s="22" t="str">
        <x:v>公共空间</x:v>
      </x:c>
      <x:c r="K1530" s="32" t="str">
        <x:v>201</x:v>
      </x:c>
      <x:c r="L1530" s="22" t="str">
        <x:v>城市范围</x:v>
      </x:c>
      <x:c r="M1530" s="33" t="n">
        <x:v>21121.97</x:v>
      </x:c>
      <x:c r="N1530" s="33" t="n">
        <x:v>2.112197</x:v>
      </x:c>
      <x:c r="O1530" s="22" t="str">
        <x:v>公顷</x:v>
      </x:c>
      <x:c r="P1530" s="22" t="str">
        <x:v>未提供（单期横截面）</x:v>
      </x:c>
      <x:c r="Q1530" s="23" t="n">
        <x:v>4509</x:v>
      </x:c>
    </x:row>
    <x:row r="1531">
      <x:c r="A1531" s="30" t="n">
        <x:v>350500</x:v>
      </x:c>
      <x:c r="B1531" s="22" t="str">
        <x:v>泉州市</x:v>
      </x:c>
      <x:c r="C1531" s="31" t="n">
        <x:v>350581</x:v>
      </x:c>
      <x:c r="D1531" s="22" t="str">
        <x:v>石狮市</x:v>
      </x:c>
      <x:c r="E1531" s="22" t="str">
        <x:v>建设用地</x:v>
      </x:c>
      <x:c r="F1531" s="22" t="str">
        <x:v>公共管理与公共服务用地</x:v>
      </x:c>
      <x:c r="G1531" s="32" t="str">
        <x:v>08H1</x:v>
      </x:c>
      <x:c r="H1531" s="32" t="str">
        <x:v>08H1</x:v>
      </x:c>
      <x:c r="I1531" s="22" t="str">
        <x:v>机关团体新闻出版用地</x:v>
      </x:c>
      <x:c r="J1531" s="22" t="str">
        <x:v>公共服务</x:v>
      </x:c>
      <x:c r="K1531" s="32" t="str">
        <x:v>201</x:v>
      </x:c>
      <x:c r="L1531" s="22" t="str">
        <x:v>城市范围</x:v>
      </x:c>
      <x:c r="M1531" s="33" t="n">
        <x:v>414784.28000000014</x:v>
      </x:c>
      <x:c r="N1531" s="33" t="n">
        <x:v>41.478428000000015</x:v>
      </x:c>
      <x:c r="O1531" s="22" t="str">
        <x:v>公顷</x:v>
      </x:c>
      <x:c r="P1531" s="22" t="str">
        <x:v>未提供（单期横截面）</x:v>
      </x:c>
      <x:c r="Q1531" s="23" t="n">
        <x:v>4510</x:v>
      </x:c>
    </x:row>
    <x:row r="1532">
      <x:c r="A1532" s="30" t="n">
        <x:v>350500</x:v>
      </x:c>
      <x:c r="B1532" s="22" t="str">
        <x:v>泉州市</x:v>
      </x:c>
      <x:c r="C1532" s="31" t="n">
        <x:v>350581</x:v>
      </x:c>
      <x:c r="D1532" s="22" t="str">
        <x:v>石狮市</x:v>
      </x:c>
      <x:c r="E1532" s="22" t="str">
        <x:v>建设用地</x:v>
      </x:c>
      <x:c r="F1532" s="22" t="str">
        <x:v>公共管理与公共服务用地</x:v>
      </x:c>
      <x:c r="G1532" s="32" t="str">
        <x:v>08H2</x:v>
      </x:c>
      <x:c r="H1532" s="32" t="str">
        <x:v>08H2</x:v>
      </x:c>
      <x:c r="I1532" s="22" t="str">
        <x:v>科教文卫用地</x:v>
      </x:c>
      <x:c r="J1532" s="22" t="str">
        <x:v>公共服务</x:v>
      </x:c>
      <x:c r="K1532" s="32" t="str">
        <x:v>201</x:v>
      </x:c>
      <x:c r="L1532" s="22" t="str">
        <x:v>城市范围</x:v>
      </x:c>
      <x:c r="M1532" s="33" t="n">
        <x:v>1747805.3299999998</x:v>
      </x:c>
      <x:c r="N1532" s="33" t="n">
        <x:v>174.780533</x:v>
      </x:c>
      <x:c r="O1532" s="22" t="str">
        <x:v>公顷</x:v>
      </x:c>
      <x:c r="P1532" s="22" t="str">
        <x:v>未提供（单期横截面）</x:v>
      </x:c>
      <x:c r="Q1532" s="23" t="n">
        <x:v>4511</x:v>
      </x:c>
    </x:row>
    <x:row r="1533">
      <x:c r="A1533" s="30" t="n">
        <x:v>350500</x:v>
      </x:c>
      <x:c r="B1533" s="22" t="str">
        <x:v>泉州市</x:v>
      </x:c>
      <x:c r="C1533" s="31" t="n">
        <x:v>350581</x:v>
      </x:c>
      <x:c r="D1533" s="22" t="str">
        <x:v>石狮市</x:v>
      </x:c>
      <x:c r="E1533" s="22" t="str">
        <x:v>建设用地</x:v>
      </x:c>
      <x:c r="F1533" s="22" t="str">
        <x:v>公共管理与公共服务用地</x:v>
      </x:c>
      <x:c r="G1533" s="32" t="str">
        <x:v>08H2A</x:v>
      </x:c>
      <x:c r="H1533" s="32" t="str">
        <x:v>08H2</x:v>
      </x:c>
      <x:c r="I1533" s="22" t="str">
        <x:v>高教用地</x:v>
      </x:c>
      <x:c r="J1533" s="22" t="str">
        <x:v>公共服务</x:v>
      </x:c>
      <x:c r="K1533" s="32" t="str">
        <x:v>201</x:v>
      </x:c>
      <x:c r="L1533" s="22" t="str">
        <x:v>城市范围</x:v>
      </x:c>
      <x:c r="M1533" s="33" t="n">
        <x:v>10857.45</x:v>
      </x:c>
      <x:c r="N1533" s="33" t="n">
        <x:v>1.0857450000000002</x:v>
      </x:c>
      <x:c r="O1533" s="22" t="str">
        <x:v>公顷</x:v>
      </x:c>
      <x:c r="P1533" s="22" t="str">
        <x:v>未提供（单期横截面）</x:v>
      </x:c>
      <x:c r="Q1533" s="23" t="n">
        <x:v>4512</x:v>
      </x:c>
    </x:row>
    <x:row r="1534">
      <x:c r="A1534" s="30" t="n">
        <x:v>350500</x:v>
      </x:c>
      <x:c r="B1534" s="22" t="str">
        <x:v>泉州市</x:v>
      </x:c>
      <x:c r="C1534" s="31" t="n">
        <x:v>350581</x:v>
      </x:c>
      <x:c r="D1534" s="22" t="str">
        <x:v>石狮市</x:v>
      </x:c>
      <x:c r="E1534" s="22" t="str">
        <x:v>建设用地</x:v>
      </x:c>
      <x:c r="F1534" s="22" t="str">
        <x:v>特殊用地</x:v>
      </x:c>
      <x:c r="G1534" s="32" t="str">
        <x:v>9</x:v>
      </x:c>
      <x:c r="H1534" s="32" t="str">
        <x:v>9</x:v>
      </x:c>
      <x:c r="I1534" s="22" t="str">
        <x:v>特殊用地</x:v>
      </x:c>
      <x:c r="J1534" s="22" t="str">
        <x:v>其他建设</x:v>
      </x:c>
      <x:c r="K1534" s="32" t="str">
        <x:v>201</x:v>
      </x:c>
      <x:c r="L1534" s="22" t="str">
        <x:v>城市范围</x:v>
      </x:c>
      <x:c r="M1534" s="33" t="n">
        <x:v>190624.46000000002</x:v>
      </x:c>
      <x:c r="N1534" s="33" t="n">
        <x:v>19.062446</x:v>
      </x:c>
      <x:c r="O1534" s="22" t="str">
        <x:v>公顷</x:v>
      </x:c>
      <x:c r="P1534" s="22" t="str">
        <x:v>未提供（单期横截面）</x:v>
      </x:c>
      <x:c r="Q1534" s="23" t="n">
        <x:v>4513</x:v>
      </x:c>
    </x:row>
    <x:row r="1535">
      <x:c r="A1535" s="30" t="n">
        <x:v>350500</x:v>
      </x:c>
      <x:c r="B1535" s="22" t="str">
        <x:v>泉州市</x:v>
      </x:c>
      <x:c r="C1535" s="31" t="n">
        <x:v>350581</x:v>
      </x:c>
      <x:c r="D1535" s="22" t="str">
        <x:v>石狮市</x:v>
      </x:c>
      <x:c r="E1535" s="22" t="str">
        <x:v>建设用地</x:v>
      </x:c>
      <x:c r="F1535" s="22" t="str">
        <x:v>交通运输用地</x:v>
      </x:c>
      <x:c r="G1535" s="32" t="str">
        <x:v>1001</x:v>
      </x:c>
      <x:c r="H1535" s="32" t="str">
        <x:v>1001</x:v>
      </x:c>
      <x:c r="I1535" s="22" t="str">
        <x:v>铁路用地</x:v>
      </x:c>
      <x:c r="J1535" s="22" t="str">
        <x:v>交通门户</x:v>
      </x:c>
      <x:c r="K1535" s="32" t="str">
        <x:v>201</x:v>
      </x:c>
      <x:c r="L1535" s="22" t="str">
        <x:v>城市范围</x:v>
      </x:c>
      <x:c r="M1535" s="33" t="n">
        <x:v>76757.22</x:v>
      </x:c>
      <x:c r="N1535" s="33" t="n">
        <x:v>7.675722</x:v>
      </x:c>
      <x:c r="O1535" s="22" t="str">
        <x:v>公顷</x:v>
      </x:c>
      <x:c r="P1535" s="22" t="str">
        <x:v>未提供（单期横截面）</x:v>
      </x:c>
      <x:c r="Q1535" s="23" t="n">
        <x:v>4514</x:v>
      </x:c>
    </x:row>
    <x:row r="1536">
      <x:c r="A1536" s="30" t="n">
        <x:v>350500</x:v>
      </x:c>
      <x:c r="B1536" s="22" t="str">
        <x:v>泉州市</x:v>
      </x:c>
      <x:c r="C1536" s="31" t="n">
        <x:v>350581</x:v>
      </x:c>
      <x:c r="D1536" s="22" t="str">
        <x:v>石狮市</x:v>
      </x:c>
      <x:c r="E1536" s="22" t="str">
        <x:v>建设用地</x:v>
      </x:c>
      <x:c r="F1536" s="22" t="str">
        <x:v>交通运输用地</x:v>
      </x:c>
      <x:c r="G1536" s="32" t="str">
        <x:v>1004</x:v>
      </x:c>
      <x:c r="H1536" s="32" t="str">
        <x:v>1004</x:v>
      </x:c>
      <x:c r="I1536" s="22" t="str">
        <x:v>城镇村道路用地</x:v>
      </x:c>
      <x:c r="J1536" s="22" t="str">
        <x:v>交通门户</x:v>
      </x:c>
      <x:c r="K1536" s="32" t="str">
        <x:v>201</x:v>
      </x:c>
      <x:c r="L1536" s="22" t="str">
        <x:v>城市范围</x:v>
      </x:c>
      <x:c r="M1536" s="33" t="n">
        <x:v>2152602.45</x:v>
      </x:c>
      <x:c r="N1536" s="33" t="n">
        <x:v>215.26024500000003</x:v>
      </x:c>
      <x:c r="O1536" s="22" t="str">
        <x:v>公顷</x:v>
      </x:c>
      <x:c r="P1536" s="22" t="str">
        <x:v>未提供（单期横截面）</x:v>
      </x:c>
      <x:c r="Q1536" s="23" t="n">
        <x:v>4515</x:v>
      </x:c>
    </x:row>
    <x:row r="1537">
      <x:c r="A1537" s="30" t="n">
        <x:v>350500</x:v>
      </x:c>
      <x:c r="B1537" s="22" t="str">
        <x:v>泉州市</x:v>
      </x:c>
      <x:c r="C1537" s="31" t="n">
        <x:v>350581</x:v>
      </x:c>
      <x:c r="D1537" s="22" t="str">
        <x:v>石狮市</x:v>
      </x:c>
      <x:c r="E1537" s="22" t="str">
        <x:v>建设用地</x:v>
      </x:c>
      <x:c r="F1537" s="22" t="str">
        <x:v>交通运输用地</x:v>
      </x:c>
      <x:c r="G1537" s="32" t="str">
        <x:v>1005</x:v>
      </x:c>
      <x:c r="H1537" s="32" t="str">
        <x:v>1005</x:v>
      </x:c>
      <x:c r="I1537" s="22" t="str">
        <x:v>交通服务场站用地</x:v>
      </x:c>
      <x:c r="J1537" s="22" t="str">
        <x:v>交通门户</x:v>
      </x:c>
      <x:c r="K1537" s="32" t="str">
        <x:v>201</x:v>
      </x:c>
      <x:c r="L1537" s="22" t="str">
        <x:v>城市范围</x:v>
      </x:c>
      <x:c r="M1537" s="33" t="n">
        <x:v>432500.65999999986</x:v>
      </x:c>
      <x:c r="N1537" s="33" t="n">
        <x:v>43.25006599999998</x:v>
      </x:c>
      <x:c r="O1537" s="22" t="str">
        <x:v>公顷</x:v>
      </x:c>
      <x:c r="P1537" s="22" t="str">
        <x:v>未提供（单期横截面）</x:v>
      </x:c>
      <x:c r="Q1537" s="23" t="n">
        <x:v>4516</x:v>
      </x:c>
    </x:row>
    <x:row r="1538">
      <x:c r="A1538" s="30" t="n">
        <x:v>350500</x:v>
      </x:c>
      <x:c r="B1538" s="22" t="str">
        <x:v>泉州市</x:v>
      </x:c>
      <x:c r="C1538" s="31" t="n">
        <x:v>350581</x:v>
      </x:c>
      <x:c r="D1538" s="22" t="str">
        <x:v>石狮市</x:v>
      </x:c>
      <x:c r="E1538" s="22" t="str">
        <x:v>建设用地</x:v>
      </x:c>
      <x:c r="F1538" s="22" t="str">
        <x:v>水域及水利设施</x:v>
      </x:c>
      <x:c r="G1538" s="32" t="str">
        <x:v>1109</x:v>
      </x:c>
      <x:c r="H1538" s="32" t="str">
        <x:v>1109</x:v>
      </x:c>
      <x:c r="I1538" s="22" t="str">
        <x:v>水工建筑用地</x:v>
      </x:c>
      <x:c r="J1538" s="22" t="str">
        <x:v>其他建设</x:v>
      </x:c>
      <x:c r="K1538" s="32" t="str">
        <x:v>201</x:v>
      </x:c>
      <x:c r="L1538" s="22" t="str">
        <x:v>城市范围</x:v>
      </x:c>
      <x:c r="M1538" s="33" t="n">
        <x:v>2003.04</x:v>
      </x:c>
      <x:c r="N1538" s="33" t="n">
        <x:v>0.200304</x:v>
      </x:c>
      <x:c r="O1538" s="22" t="str">
        <x:v>公顷</x:v>
      </x:c>
      <x:c r="P1538" s="22" t="str">
        <x:v>未提供（单期横截面）</x:v>
      </x:c>
      <x:c r="Q1538" s="23" t="n">
        <x:v>4517</x:v>
      </x:c>
    </x:row>
    <x:row r="1539">
      <x:c r="A1539" s="30" t="n">
        <x:v>350500</x:v>
      </x:c>
      <x:c r="B1539" s="22" t="str">
        <x:v>泉州市</x:v>
      </x:c>
      <x:c r="C1539" s="31" t="n">
        <x:v>350581</x:v>
      </x:c>
      <x:c r="D1539" s="22" t="str">
        <x:v>石狮市</x:v>
      </x:c>
      <x:c r="E1539" s="22" t="str">
        <x:v>建设用地</x:v>
      </x:c>
      <x:c r="F1539" s="22" t="str">
        <x:v>其他建设用地</x:v>
      </x:c>
      <x:c r="G1539" s="32" t="str">
        <x:v>1201</x:v>
      </x:c>
      <x:c r="H1539" s="32" t="str">
        <x:v>1201</x:v>
      </x:c>
      <x:c r="I1539" s="22" t="str">
        <x:v>空闲地</x:v>
      </x:c>
      <x:c r="J1539" s="22" t="str">
        <x:v>其他建设</x:v>
      </x:c>
      <x:c r="K1539" s="32" t="str">
        <x:v>201</x:v>
      </x:c>
      <x:c r="L1539" s="22" t="str">
        <x:v>城市范围</x:v>
      </x:c>
      <x:c r="M1539" s="33" t="n">
        <x:v>260377.55</x:v>
      </x:c>
      <x:c r="N1539" s="33" t="n">
        <x:v>26.037754999999997</x:v>
      </x:c>
      <x:c r="O1539" s="22" t="str">
        <x:v>公顷</x:v>
      </x:c>
      <x:c r="P1539" s="22" t="str">
        <x:v>未提供（单期横截面）</x:v>
      </x:c>
      <x:c r="Q1539" s="23" t="n">
        <x:v>4518</x:v>
      </x:c>
    </x:row>
    <x:row r="1540">
      <x:c r="A1540" s="30" t="n">
        <x:v>350500</x:v>
      </x:c>
      <x:c r="B1540" s="22" t="str">
        <x:v>泉州市</x:v>
      </x:c>
      <x:c r="C1540" s="31" t="n">
        <x:v>350581</x:v>
      </x:c>
      <x:c r="D1540" s="22" t="str">
        <x:v>石狮市</x:v>
      </x:c>
      <x:c r="E1540" s="22" t="str">
        <x:v>建设用地</x:v>
      </x:c>
      <x:c r="F1540" s="22" t="str">
        <x:v>工矿仓储用地</x:v>
      </x:c>
      <x:c r="G1540" s="32" t="str">
        <x:v>601</x:v>
      </x:c>
      <x:c r="H1540" s="32" t="str">
        <x:v>601</x:v>
      </x:c>
      <x:c r="I1540" s="22" t="str">
        <x:v>工业用地</x:v>
      </x:c>
      <x:c r="J1540" s="22" t="str">
        <x:v>产业功能</x:v>
      </x:c>
      <x:c r="K1540" s="32" t="str">
        <x:v>201A</x:v>
      </x:c>
      <x:c r="L1540" s="22" t="str">
        <x:v>城市独立工业用地</x:v>
      </x:c>
      <x:c r="M1540" s="33" t="n">
        <x:v>180932.63</x:v>
      </x:c>
      <x:c r="N1540" s="33" t="n">
        <x:v>18.093263</x:v>
      </x:c>
      <x:c r="O1540" s="22" t="str">
        <x:v>公顷</x:v>
      </x:c>
      <x:c r="P1540" s="22" t="str">
        <x:v>未提供（单期横截面）</x:v>
      </x:c>
      <x:c r="Q1540" s="23" t="n">
        <x:v>4519</x:v>
      </x:c>
    </x:row>
    <x:row r="1541">
      <x:c r="A1541" s="30" t="n">
        <x:v>350500</x:v>
      </x:c>
      <x:c r="B1541" s="22" t="str">
        <x:v>泉州市</x:v>
      </x:c>
      <x:c r="C1541" s="31" t="n">
        <x:v>350581</x:v>
      </x:c>
      <x:c r="D1541" s="22" t="str">
        <x:v>石狮市</x:v>
      </x:c>
      <x:c r="E1541" s="22" t="str">
        <x:v>建设用地</x:v>
      </x:c>
      <x:c r="F1541" s="22" t="str">
        <x:v>工矿仓储用地</x:v>
      </x:c>
      <x:c r="G1541" s="32" t="str">
        <x:v>508</x:v>
      </x:c>
      <x:c r="H1541" s="32" t="str">
        <x:v>508</x:v>
      </x:c>
      <x:c r="I1541" s="22" t="str">
        <x:v>物流仓储用地</x:v>
      </x:c>
      <x:c r="J1541" s="22" t="str">
        <x:v>产业功能</x:v>
      </x:c>
      <x:c r="K1541" s="32" t="str">
        <x:v>202</x:v>
      </x:c>
      <x:c r="L1541" s="22" t="str">
        <x:v>建制镇范围</x:v>
      </x:c>
      <x:c r="M1541" s="33" t="n">
        <x:v>533477.65</x:v>
      </x:c>
      <x:c r="N1541" s="33" t="n">
        <x:v>53.347765</x:v>
      </x:c>
      <x:c r="O1541" s="22" t="str">
        <x:v>公顷</x:v>
      </x:c>
      <x:c r="P1541" s="22" t="str">
        <x:v>未提供（单期横截面）</x:v>
      </x:c>
      <x:c r="Q1541" s="23" t="n">
        <x:v>4520</x:v>
      </x:c>
    </x:row>
    <x:row r="1542">
      <x:c r="A1542" s="30" t="n">
        <x:v>350500</x:v>
      </x:c>
      <x:c r="B1542" s="22" t="str">
        <x:v>泉州市</x:v>
      </x:c>
      <x:c r="C1542" s="31" t="n">
        <x:v>350581</x:v>
      </x:c>
      <x:c r="D1542" s="22" t="str">
        <x:v>石狮市</x:v>
      </x:c>
      <x:c r="E1542" s="22" t="str">
        <x:v>建设用地</x:v>
      </x:c>
      <x:c r="F1542" s="22" t="str">
        <x:v>商业服务业用地</x:v>
      </x:c>
      <x:c r="G1542" s="32" t="str">
        <x:v>05H1</x:v>
      </x:c>
      <x:c r="H1542" s="32" t="str">
        <x:v>05H1</x:v>
      </x:c>
      <x:c r="I1542" s="22" t="str">
        <x:v>商业服务业设施用地</x:v>
      </x:c>
      <x:c r="J1542" s="22" t="str">
        <x:v>商业服务</x:v>
      </x:c>
      <x:c r="K1542" s="32" t="str">
        <x:v>202</x:v>
      </x:c>
      <x:c r="L1542" s="22" t="str">
        <x:v>建制镇范围</x:v>
      </x:c>
      <x:c r="M1542" s="33" t="n">
        <x:v>487615.4799999999</x:v>
      </x:c>
      <x:c r="N1542" s="33" t="n">
        <x:v>48.76154799999999</x:v>
      </x:c>
      <x:c r="O1542" s="22" t="str">
        <x:v>公顷</x:v>
      </x:c>
      <x:c r="P1542" s="22" t="str">
        <x:v>未提供（单期横截面）</x:v>
      </x:c>
      <x:c r="Q1542" s="23" t="n">
        <x:v>4521</x:v>
      </x:c>
    </x:row>
    <x:row r="1543">
      <x:c r="A1543" s="30" t="n">
        <x:v>350500</x:v>
      </x:c>
      <x:c r="B1543" s="22" t="str">
        <x:v>泉州市</x:v>
      </x:c>
      <x:c r="C1543" s="31" t="n">
        <x:v>350581</x:v>
      </x:c>
      <x:c r="D1543" s="22" t="str">
        <x:v>石狮市</x:v>
      </x:c>
      <x:c r="E1543" s="22" t="str">
        <x:v>建设用地</x:v>
      </x:c>
      <x:c r="F1543" s="22" t="str">
        <x:v>工矿仓储用地</x:v>
      </x:c>
      <x:c r="G1543" s="32" t="str">
        <x:v>601</x:v>
      </x:c>
      <x:c r="H1543" s="32" t="str">
        <x:v>601</x:v>
      </x:c>
      <x:c r="I1543" s="22" t="str">
        <x:v>工业用地</x:v>
      </x:c>
      <x:c r="J1543" s="22" t="str">
        <x:v>产业功能</x:v>
      </x:c>
      <x:c r="K1543" s="32" t="str">
        <x:v>202</x:v>
      </x:c>
      <x:c r="L1543" s="22" t="str">
        <x:v>建制镇范围</x:v>
      </x:c>
      <x:c r="M1543" s="33" t="n">
        <x:v>5035060.44</x:v>
      </x:c>
      <x:c r="N1543" s="33" t="n">
        <x:v>503.50604400000003</x:v>
      </x:c>
      <x:c r="O1543" s="22" t="str">
        <x:v>公顷</x:v>
      </x:c>
      <x:c r="P1543" s="22" t="str">
        <x:v>未提供（单期横截面）</x:v>
      </x:c>
      <x:c r="Q1543" s="23" t="n">
        <x:v>4522</x:v>
      </x:c>
    </x:row>
    <x:row r="1544">
      <x:c r="A1544" s="30" t="n">
        <x:v>350500</x:v>
      </x:c>
      <x:c r="B1544" s="22" t="str">
        <x:v>泉州市</x:v>
      </x:c>
      <x:c r="C1544" s="31" t="n">
        <x:v>350581</x:v>
      </x:c>
      <x:c r="D1544" s="22" t="str">
        <x:v>石狮市</x:v>
      </x:c>
      <x:c r="E1544" s="22" t="str">
        <x:v>建设用地</x:v>
      </x:c>
      <x:c r="F1544" s="22" t="str">
        <x:v>工矿仓储用地</x:v>
      </x:c>
      <x:c r="G1544" s="32" t="str">
        <x:v>602</x:v>
      </x:c>
      <x:c r="H1544" s="32" t="str">
        <x:v>602</x:v>
      </x:c>
      <x:c r="I1544" s="22" t="str">
        <x:v>采矿用地</x:v>
      </x:c>
      <x:c r="J1544" s="22" t="str">
        <x:v>产业功能</x:v>
      </x:c>
      <x:c r="K1544" s="32" t="str">
        <x:v>202</x:v>
      </x:c>
      <x:c r="L1544" s="22" t="str">
        <x:v>建制镇范围</x:v>
      </x:c>
      <x:c r="M1544" s="33" t="n">
        <x:v>5936.62</x:v>
      </x:c>
      <x:c r="N1544" s="33" t="n">
        <x:v>0.593662</x:v>
      </x:c>
      <x:c r="O1544" s="22" t="str">
        <x:v>公顷</x:v>
      </x:c>
      <x:c r="P1544" s="22" t="str">
        <x:v>未提供（单期横截面）</x:v>
      </x:c>
      <x:c r="Q1544" s="23" t="n">
        <x:v>4523</x:v>
      </x:c>
    </x:row>
    <x:row r="1545">
      <x:c r="A1545" s="30" t="n">
        <x:v>350500</x:v>
      </x:c>
      <x:c r="B1545" s="22" t="str">
        <x:v>泉州市</x:v>
      </x:c>
      <x:c r="C1545" s="31" t="n">
        <x:v>350581</x:v>
      </x:c>
      <x:c r="D1545" s="22" t="str">
        <x:v>石狮市</x:v>
      </x:c>
      <x:c r="E1545" s="22" t="str">
        <x:v>建设用地</x:v>
      </x:c>
      <x:c r="F1545" s="22" t="str">
        <x:v>居住用地</x:v>
      </x:c>
      <x:c r="G1545" s="32" t="str">
        <x:v>701</x:v>
      </x:c>
      <x:c r="H1545" s="32" t="str">
        <x:v>701</x:v>
      </x:c>
      <x:c r="I1545" s="22" t="str">
        <x:v>城镇住宅用地</x:v>
      </x:c>
      <x:c r="J1545" s="22" t="str">
        <x:v>居住功能</x:v>
      </x:c>
      <x:c r="K1545" s="32" t="str">
        <x:v>202</x:v>
      </x:c>
      <x:c r="L1545" s="22" t="str">
        <x:v>建制镇范围</x:v>
      </x:c>
      <x:c r="M1545" s="33" t="n">
        <x:v>7702134.649999998</x:v>
      </x:c>
      <x:c r="N1545" s="33" t="n">
        <x:v>770.2134649999998</x:v>
      </x:c>
      <x:c r="O1545" s="22" t="str">
        <x:v>公顷</x:v>
      </x:c>
      <x:c r="P1545" s="22" t="str">
        <x:v>未提供（单期横截面）</x:v>
      </x:c>
      <x:c r="Q1545" s="23" t="n">
        <x:v>4524</x:v>
      </x:c>
    </x:row>
    <x:row r="1546">
      <x:c r="A1546" s="30" t="n">
        <x:v>350500</x:v>
      </x:c>
      <x:c r="B1546" s="22" t="str">
        <x:v>泉州市</x:v>
      </x:c>
      <x:c r="C1546" s="31" t="n">
        <x:v>350581</x:v>
      </x:c>
      <x:c r="D1546" s="22" t="str">
        <x:v>石狮市</x:v>
      </x:c>
      <x:c r="E1546" s="22" t="str">
        <x:v>建设用地</x:v>
      </x:c>
      <x:c r="F1546" s="22" t="str">
        <x:v>居住用地</x:v>
      </x:c>
      <x:c r="G1546" s="32" t="str">
        <x:v>702</x:v>
      </x:c>
      <x:c r="H1546" s="32" t="str">
        <x:v>702</x:v>
      </x:c>
      <x:c r="I1546" s="22" t="str">
        <x:v>农村宅基地</x:v>
      </x:c>
      <x:c r="J1546" s="22" t="str">
        <x:v>居住功能</x:v>
      </x:c>
      <x:c r="K1546" s="32" t="str">
        <x:v>202</x:v>
      </x:c>
      <x:c r="L1546" s="22" t="str">
        <x:v>建制镇范围</x:v>
      </x:c>
      <x:c r="M1546" s="33" t="n">
        <x:v>5607.83</x:v>
      </x:c>
      <x:c r="N1546" s="33" t="n">
        <x:v>0.560783</x:v>
      </x:c>
      <x:c r="O1546" s="22" t="str">
        <x:v>公顷</x:v>
      </x:c>
      <x:c r="P1546" s="22" t="str">
        <x:v>未提供（单期横截面）</x:v>
      </x:c>
      <x:c r="Q1546" s="23" t="n">
        <x:v>4525</x:v>
      </x:c>
    </x:row>
    <x:row r="1547">
      <x:c r="A1547" s="30" t="n">
        <x:v>350500</x:v>
      </x:c>
      <x:c r="B1547" s="22" t="str">
        <x:v>泉州市</x:v>
      </x:c>
      <x:c r="C1547" s="31" t="n">
        <x:v>350581</x:v>
      </x:c>
      <x:c r="D1547" s="22" t="str">
        <x:v>石狮市</x:v>
      </x:c>
      <x:c r="E1547" s="22" t="str">
        <x:v>建设用地</x:v>
      </x:c>
      <x:c r="F1547" s="22" t="str">
        <x:v>公用设施用地</x:v>
      </x:c>
      <x:c r="G1547" s="32" t="str">
        <x:v>809</x:v>
      </x:c>
      <x:c r="H1547" s="32" t="str">
        <x:v>809</x:v>
      </x:c>
      <x:c r="I1547" s="22" t="str">
        <x:v>公用设施用地</x:v>
      </x:c>
      <x:c r="J1547" s="22" t="str">
        <x:v>其他建设</x:v>
      </x:c>
      <x:c r="K1547" s="32" t="str">
        <x:v>202</x:v>
      </x:c>
      <x:c r="L1547" s="22" t="str">
        <x:v>建制镇范围</x:v>
      </x:c>
      <x:c r="M1547" s="33" t="n">
        <x:v>175603.16</x:v>
      </x:c>
      <x:c r="N1547" s="33" t="n">
        <x:v>17.560316</x:v>
      </x:c>
      <x:c r="O1547" s="22" t="str">
        <x:v>公顷</x:v>
      </x:c>
      <x:c r="P1547" s="22" t="str">
        <x:v>未提供（单期横截面）</x:v>
      </x:c>
      <x:c r="Q1547" s="23" t="n">
        <x:v>4526</x:v>
      </x:c>
    </x:row>
    <x:row r="1548">
      <x:c r="A1548" s="30" t="n">
        <x:v>350500</x:v>
      </x:c>
      <x:c r="B1548" s="22" t="str">
        <x:v>泉州市</x:v>
      </x:c>
      <x:c r="C1548" s="31" t="n">
        <x:v>350581</x:v>
      </x:c>
      <x:c r="D1548" s="22" t="str">
        <x:v>石狮市</x:v>
      </x:c>
      <x:c r="E1548" s="22" t="str">
        <x:v>建设用地</x:v>
      </x:c>
      <x:c r="F1548" s="22" t="str">
        <x:v>绿地与广场用地</x:v>
      </x:c>
      <x:c r="G1548" s="32" t="str">
        <x:v>810</x:v>
      </x:c>
      <x:c r="H1548" s="32" t="str">
        <x:v>810</x:v>
      </x:c>
      <x:c r="I1548" s="22" t="str">
        <x:v>公园与绿地</x:v>
      </x:c>
      <x:c r="J1548" s="22" t="str">
        <x:v>公共空间</x:v>
      </x:c>
      <x:c r="K1548" s="32" t="str">
        <x:v>202</x:v>
      </x:c>
      <x:c r="L1548" s="22" t="str">
        <x:v>建制镇范围</x:v>
      </x:c>
      <x:c r="M1548" s="33" t="n">
        <x:v>192288.64</x:v>
      </x:c>
      <x:c r="N1548" s="33" t="n">
        <x:v>19.228864</x:v>
      </x:c>
      <x:c r="O1548" s="22" t="str">
        <x:v>公顷</x:v>
      </x:c>
      <x:c r="P1548" s="22" t="str">
        <x:v>未提供（单期横截面）</x:v>
      </x:c>
      <x:c r="Q1548" s="23" t="n">
        <x:v>4527</x:v>
      </x:c>
    </x:row>
    <x:row r="1549">
      <x:c r="A1549" s="30" t="n">
        <x:v>350500</x:v>
      </x:c>
      <x:c r="B1549" s="22" t="str">
        <x:v>泉州市</x:v>
      </x:c>
      <x:c r="C1549" s="31" t="n">
        <x:v>350581</x:v>
      </x:c>
      <x:c r="D1549" s="22" t="str">
        <x:v>石狮市</x:v>
      </x:c>
      <x:c r="E1549" s="22" t="str">
        <x:v>建设用地</x:v>
      </x:c>
      <x:c r="F1549" s="22" t="str">
        <x:v>绿地与广场用地</x:v>
      </x:c>
      <x:c r="G1549" s="32" t="str">
        <x:v>0810A</x:v>
      </x:c>
      <x:c r="H1549" s="32" t="str">
        <x:v>0810</x:v>
      </x:c>
      <x:c r="I1549" s="22" t="str">
        <x:v>广场用地</x:v>
      </x:c>
      <x:c r="J1549" s="22" t="str">
        <x:v>公共空间</x:v>
      </x:c>
      <x:c r="K1549" s="32" t="str">
        <x:v>202</x:v>
      </x:c>
      <x:c r="L1549" s="22" t="str">
        <x:v>建制镇范围</x:v>
      </x:c>
      <x:c r="M1549" s="33" t="n">
        <x:v>22932.36</x:v>
      </x:c>
      <x:c r="N1549" s="33" t="n">
        <x:v>2.2932360000000003</x:v>
      </x:c>
      <x:c r="O1549" s="22" t="str">
        <x:v>公顷</x:v>
      </x:c>
      <x:c r="P1549" s="22" t="str">
        <x:v>未提供（单期横截面）</x:v>
      </x:c>
      <x:c r="Q1549" s="23" t="n">
        <x:v>4528</x:v>
      </x:c>
    </x:row>
    <x:row r="1550">
      <x:c r="A1550" s="30" t="n">
        <x:v>350500</x:v>
      </x:c>
      <x:c r="B1550" s="22" t="str">
        <x:v>泉州市</x:v>
      </x:c>
      <x:c r="C1550" s="31" t="n">
        <x:v>350581</x:v>
      </x:c>
      <x:c r="D1550" s="22" t="str">
        <x:v>石狮市</x:v>
      </x:c>
      <x:c r="E1550" s="22" t="str">
        <x:v>建设用地</x:v>
      </x:c>
      <x:c r="F1550" s="22" t="str">
        <x:v>公共管理与公共服务用地</x:v>
      </x:c>
      <x:c r="G1550" s="32" t="str">
        <x:v>08H1</x:v>
      </x:c>
      <x:c r="H1550" s="32" t="str">
        <x:v>08H1</x:v>
      </x:c>
      <x:c r="I1550" s="22" t="str">
        <x:v>机关团体新闻出版用地</x:v>
      </x:c>
      <x:c r="J1550" s="22" t="str">
        <x:v>公共服务</x:v>
      </x:c>
      <x:c r="K1550" s="32" t="str">
        <x:v>202</x:v>
      </x:c>
      <x:c r="L1550" s="22" t="str">
        <x:v>建制镇范围</x:v>
      </x:c>
      <x:c r="M1550" s="33" t="n">
        <x:v>154185.56999999998</x:v>
      </x:c>
      <x:c r="N1550" s="33" t="n">
        <x:v>15.418556999999998</x:v>
      </x:c>
      <x:c r="O1550" s="22" t="str">
        <x:v>公顷</x:v>
      </x:c>
      <x:c r="P1550" s="22" t="str">
        <x:v>未提供（单期横截面）</x:v>
      </x:c>
      <x:c r="Q1550" s="23" t="n">
        <x:v>4529</x:v>
      </x:c>
    </x:row>
    <x:row r="1551">
      <x:c r="A1551" s="30" t="n">
        <x:v>350500</x:v>
      </x:c>
      <x:c r="B1551" s="22" t="str">
        <x:v>泉州市</x:v>
      </x:c>
      <x:c r="C1551" s="31" t="n">
        <x:v>350581</x:v>
      </x:c>
      <x:c r="D1551" s="22" t="str">
        <x:v>石狮市</x:v>
      </x:c>
      <x:c r="E1551" s="22" t="str">
        <x:v>建设用地</x:v>
      </x:c>
      <x:c r="F1551" s="22" t="str">
        <x:v>公共管理与公共服务用地</x:v>
      </x:c>
      <x:c r="G1551" s="32" t="str">
        <x:v>08H2</x:v>
      </x:c>
      <x:c r="H1551" s="32" t="str">
        <x:v>08H2</x:v>
      </x:c>
      <x:c r="I1551" s="22" t="str">
        <x:v>科教文卫用地</x:v>
      </x:c>
      <x:c r="J1551" s="22" t="str">
        <x:v>公共服务</x:v>
      </x:c>
      <x:c r="K1551" s="32" t="str">
        <x:v>202</x:v>
      </x:c>
      <x:c r="L1551" s="22" t="str">
        <x:v>建制镇范围</x:v>
      </x:c>
      <x:c r="M1551" s="33" t="n">
        <x:v>487156.82</x:v>
      </x:c>
      <x:c r="N1551" s="33" t="n">
        <x:v>48.715682</x:v>
      </x:c>
      <x:c r="O1551" s="22" t="str">
        <x:v>公顷</x:v>
      </x:c>
      <x:c r="P1551" s="22" t="str">
        <x:v>未提供（单期横截面）</x:v>
      </x:c>
      <x:c r="Q1551" s="23" t="n">
        <x:v>4530</x:v>
      </x:c>
    </x:row>
    <x:row r="1552">
      <x:c r="A1552" s="30" t="n">
        <x:v>350500</x:v>
      </x:c>
      <x:c r="B1552" s="22" t="str">
        <x:v>泉州市</x:v>
      </x:c>
      <x:c r="C1552" s="31" t="n">
        <x:v>350581</x:v>
      </x:c>
      <x:c r="D1552" s="22" t="str">
        <x:v>石狮市</x:v>
      </x:c>
      <x:c r="E1552" s="22" t="str">
        <x:v>建设用地</x:v>
      </x:c>
      <x:c r="F1552" s="22" t="str">
        <x:v>公共管理与公共服务用地</x:v>
      </x:c>
      <x:c r="G1552" s="32" t="str">
        <x:v>08H2A</x:v>
      </x:c>
      <x:c r="H1552" s="32" t="str">
        <x:v>08H2</x:v>
      </x:c>
      <x:c r="I1552" s="22" t="str">
        <x:v>高教用地</x:v>
      </x:c>
      <x:c r="J1552" s="22" t="str">
        <x:v>公共服务</x:v>
      </x:c>
      <x:c r="K1552" s="32" t="str">
        <x:v>202</x:v>
      </x:c>
      <x:c r="L1552" s="22" t="str">
        <x:v>建制镇范围</x:v>
      </x:c>
      <x:c r="M1552" s="33" t="n">
        <x:v>530969.89</x:v>
      </x:c>
      <x:c r="N1552" s="33" t="n">
        <x:v>53.096989</x:v>
      </x:c>
      <x:c r="O1552" s="22" t="str">
        <x:v>公顷</x:v>
      </x:c>
      <x:c r="P1552" s="22" t="str">
        <x:v>未提供（单期横截面）</x:v>
      </x:c>
      <x:c r="Q1552" s="23" t="n">
        <x:v>4531</x:v>
      </x:c>
    </x:row>
    <x:row r="1553">
      <x:c r="A1553" s="30" t="n">
        <x:v>350500</x:v>
      </x:c>
      <x:c r="B1553" s="22" t="str">
        <x:v>泉州市</x:v>
      </x:c>
      <x:c r="C1553" s="31" t="n">
        <x:v>350581</x:v>
      </x:c>
      <x:c r="D1553" s="22" t="str">
        <x:v>石狮市</x:v>
      </x:c>
      <x:c r="E1553" s="22" t="str">
        <x:v>建设用地</x:v>
      </x:c>
      <x:c r="F1553" s="22" t="str">
        <x:v>特殊用地</x:v>
      </x:c>
      <x:c r="G1553" s="32" t="str">
        <x:v>9</x:v>
      </x:c>
      <x:c r="H1553" s="32" t="str">
        <x:v>9</x:v>
      </x:c>
      <x:c r="I1553" s="22" t="str">
        <x:v>特殊用地</x:v>
      </x:c>
      <x:c r="J1553" s="22" t="str">
        <x:v>其他建设</x:v>
      </x:c>
      <x:c r="K1553" s="32" t="str">
        <x:v>202</x:v>
      </x:c>
      <x:c r="L1553" s="22" t="str">
        <x:v>建制镇范围</x:v>
      </x:c>
      <x:c r="M1553" s="33" t="n">
        <x:v>181962.68000000008</x:v>
      </x:c>
      <x:c r="N1553" s="33" t="n">
        <x:v>18.196268000000007</x:v>
      </x:c>
      <x:c r="O1553" s="22" t="str">
        <x:v>公顷</x:v>
      </x:c>
      <x:c r="P1553" s="22" t="str">
        <x:v>未提供（单期横截面）</x:v>
      </x:c>
      <x:c r="Q1553" s="23" t="n">
        <x:v>4532</x:v>
      </x:c>
    </x:row>
    <x:row r="1554">
      <x:c r="A1554" s="30" t="n">
        <x:v>350500</x:v>
      </x:c>
      <x:c r="B1554" s="22" t="str">
        <x:v>泉州市</x:v>
      </x:c>
      <x:c r="C1554" s="31" t="n">
        <x:v>350581</x:v>
      </x:c>
      <x:c r="D1554" s="22" t="str">
        <x:v>石狮市</x:v>
      </x:c>
      <x:c r="E1554" s="22" t="str">
        <x:v>建设用地</x:v>
      </x:c>
      <x:c r="F1554" s="22" t="str">
        <x:v>交通运输用地</x:v>
      </x:c>
      <x:c r="G1554" s="32" t="str">
        <x:v>1004</x:v>
      </x:c>
      <x:c r="H1554" s="32" t="str">
        <x:v>1004</x:v>
      </x:c>
      <x:c r="I1554" s="22" t="str">
        <x:v>城镇村道路用地</x:v>
      </x:c>
      <x:c r="J1554" s="22" t="str">
        <x:v>交通门户</x:v>
      </x:c>
      <x:c r="K1554" s="32" t="str">
        <x:v>202</x:v>
      </x:c>
      <x:c r="L1554" s="22" t="str">
        <x:v>建制镇范围</x:v>
      </x:c>
      <x:c r="M1554" s="33" t="n">
        <x:v>622167.1500000004</x:v>
      </x:c>
      <x:c r="N1554" s="33" t="n">
        <x:v>62.216715000000036</x:v>
      </x:c>
      <x:c r="O1554" s="22" t="str">
        <x:v>公顷</x:v>
      </x:c>
      <x:c r="P1554" s="22" t="str">
        <x:v>未提供（单期横截面）</x:v>
      </x:c>
      <x:c r="Q1554" s="23" t="n">
        <x:v>4533</x:v>
      </x:c>
    </x:row>
    <x:row r="1555">
      <x:c r="A1555" s="30" t="n">
        <x:v>350500</x:v>
      </x:c>
      <x:c r="B1555" s="22" t="str">
        <x:v>泉州市</x:v>
      </x:c>
      <x:c r="C1555" s="31" t="n">
        <x:v>350581</x:v>
      </x:c>
      <x:c r="D1555" s="22" t="str">
        <x:v>石狮市</x:v>
      </x:c>
      <x:c r="E1555" s="22" t="str">
        <x:v>建设用地</x:v>
      </x:c>
      <x:c r="F1555" s="22" t="str">
        <x:v>交通运输用地</x:v>
      </x:c>
      <x:c r="G1555" s="32" t="str">
        <x:v>1005</x:v>
      </x:c>
      <x:c r="H1555" s="32" t="str">
        <x:v>1005</x:v>
      </x:c>
      <x:c r="I1555" s="22" t="str">
        <x:v>交通服务场站用地</x:v>
      </x:c>
      <x:c r="J1555" s="22" t="str">
        <x:v>交通门户</x:v>
      </x:c>
      <x:c r="K1555" s="32" t="str">
        <x:v>202</x:v>
      </x:c>
      <x:c r="L1555" s="22" t="str">
        <x:v>建制镇范围</x:v>
      </x:c>
      <x:c r="M1555" s="33" t="n">
        <x:v>117625.23</x:v>
      </x:c>
      <x:c r="N1555" s="33" t="n">
        <x:v>11.762523</x:v>
      </x:c>
      <x:c r="O1555" s="22" t="str">
        <x:v>公顷</x:v>
      </x:c>
      <x:c r="P1555" s="22" t="str">
        <x:v>未提供（单期横截面）</x:v>
      </x:c>
      <x:c r="Q1555" s="23" t="n">
        <x:v>4534</x:v>
      </x:c>
    </x:row>
    <x:row r="1556">
      <x:c r="A1556" s="30" t="n">
        <x:v>350500</x:v>
      </x:c>
      <x:c r="B1556" s="22" t="str">
        <x:v>泉州市</x:v>
      </x:c>
      <x:c r="C1556" s="31" t="n">
        <x:v>350581</x:v>
      </x:c>
      <x:c r="D1556" s="22" t="str">
        <x:v>石狮市</x:v>
      </x:c>
      <x:c r="E1556" s="22" t="str">
        <x:v>建设用地</x:v>
      </x:c>
      <x:c r="F1556" s="22" t="str">
        <x:v>交通运输用地</x:v>
      </x:c>
      <x:c r="G1556" s="32" t="str">
        <x:v>1008</x:v>
      </x:c>
      <x:c r="H1556" s="32" t="str">
        <x:v>1008</x:v>
      </x:c>
      <x:c r="I1556" s="22" t="str">
        <x:v>港口码头用地</x:v>
      </x:c>
      <x:c r="J1556" s="22" t="str">
        <x:v>交通门户</x:v>
      </x:c>
      <x:c r="K1556" s="32" t="str">
        <x:v>202</x:v>
      </x:c>
      <x:c r="L1556" s="22" t="str">
        <x:v>建制镇范围</x:v>
      </x:c>
      <x:c r="M1556" s="33" t="n">
        <x:v>752971.4700000001</x:v>
      </x:c>
      <x:c r="N1556" s="33" t="n">
        <x:v>75.29714700000001</x:v>
      </x:c>
      <x:c r="O1556" s="22" t="str">
        <x:v>公顷</x:v>
      </x:c>
      <x:c r="P1556" s="22" t="str">
        <x:v>未提供（单期横截面）</x:v>
      </x:c>
      <x:c r="Q1556" s="23" t="n">
        <x:v>4535</x:v>
      </x:c>
    </x:row>
    <x:row r="1557">
      <x:c r="A1557" s="30" t="n">
        <x:v>350500</x:v>
      </x:c>
      <x:c r="B1557" s="22" t="str">
        <x:v>泉州市</x:v>
      </x:c>
      <x:c r="C1557" s="31" t="n">
        <x:v>350581</x:v>
      </x:c>
      <x:c r="D1557" s="22" t="str">
        <x:v>石狮市</x:v>
      </x:c>
      <x:c r="E1557" s="22" t="str">
        <x:v>建设用地</x:v>
      </x:c>
      <x:c r="F1557" s="22" t="str">
        <x:v>水域及水利设施</x:v>
      </x:c>
      <x:c r="G1557" s="32" t="str">
        <x:v>1109</x:v>
      </x:c>
      <x:c r="H1557" s="32" t="str">
        <x:v>1109</x:v>
      </x:c>
      <x:c r="I1557" s="22" t="str">
        <x:v>水工建筑用地</x:v>
      </x:c>
      <x:c r="J1557" s="22" t="str">
        <x:v>其他建设</x:v>
      </x:c>
      <x:c r="K1557" s="32" t="str">
        <x:v>202</x:v>
      </x:c>
      <x:c r="L1557" s="22" t="str">
        <x:v>建制镇范围</x:v>
      </x:c>
      <x:c r="M1557" s="33" t="n">
        <x:v>805.36</x:v>
      </x:c>
      <x:c r="N1557" s="33" t="n">
        <x:v>0.080536</x:v>
      </x:c>
      <x:c r="O1557" s="22" t="str">
        <x:v>公顷</x:v>
      </x:c>
      <x:c r="P1557" s="22" t="str">
        <x:v>未提供（单期横截面）</x:v>
      </x:c>
      <x:c r="Q1557" s="23" t="n">
        <x:v>4536</x:v>
      </x:c>
    </x:row>
    <x:row r="1558">
      <x:c r="A1558" s="30" t="n">
        <x:v>350500</x:v>
      </x:c>
      <x:c r="B1558" s="22" t="str">
        <x:v>泉州市</x:v>
      </x:c>
      <x:c r="C1558" s="31" t="n">
        <x:v>350581</x:v>
      </x:c>
      <x:c r="D1558" s="22" t="str">
        <x:v>石狮市</x:v>
      </x:c>
      <x:c r="E1558" s="22" t="str">
        <x:v>建设用地</x:v>
      </x:c>
      <x:c r="F1558" s="22" t="str">
        <x:v>其他建设用地</x:v>
      </x:c>
      <x:c r="G1558" s="32" t="str">
        <x:v>1201</x:v>
      </x:c>
      <x:c r="H1558" s="32" t="str">
        <x:v>1201</x:v>
      </x:c>
      <x:c r="I1558" s="22" t="str">
        <x:v>空闲地</x:v>
      </x:c>
      <x:c r="J1558" s="22" t="str">
        <x:v>其他建设</x:v>
      </x:c>
      <x:c r="K1558" s="32" t="str">
        <x:v>202</x:v>
      </x:c>
      <x:c r="L1558" s="22" t="str">
        <x:v>建制镇范围</x:v>
      </x:c>
      <x:c r="M1558" s="33" t="n">
        <x:v>187969.72000000003</x:v>
      </x:c>
      <x:c r="N1558" s="33" t="n">
        <x:v>18.796972000000004</x:v>
      </x:c>
      <x:c r="O1558" s="22" t="str">
        <x:v>公顷</x:v>
      </x:c>
      <x:c r="P1558" s="22" t="str">
        <x:v>未提供（单期横截面）</x:v>
      </x:c>
      <x:c r="Q1558" s="23" t="n">
        <x:v>4537</x:v>
      </x:c>
    </x:row>
    <x:row r="1559">
      <x:c r="A1559" s="30" t="n">
        <x:v>350500</x:v>
      </x:c>
      <x:c r="B1559" s="22" t="str">
        <x:v>泉州市</x:v>
      </x:c>
      <x:c r="C1559" s="31" t="n">
        <x:v>350581</x:v>
      </x:c>
      <x:c r="D1559" s="22" t="str">
        <x:v>石狮市</x:v>
      </x:c>
      <x:c r="E1559" s="22" t="str">
        <x:v>建设用地</x:v>
      </x:c>
      <x:c r="F1559" s="22" t="str">
        <x:v>工矿仓储用地</x:v>
      </x:c>
      <x:c r="G1559" s="32" t="str">
        <x:v>601</x:v>
      </x:c>
      <x:c r="H1559" s="32" t="str">
        <x:v>601</x:v>
      </x:c>
      <x:c r="I1559" s="22" t="str">
        <x:v>工业用地</x:v>
      </x:c>
      <x:c r="J1559" s="22" t="str">
        <x:v>产业功能</x:v>
      </x:c>
      <x:c r="K1559" s="32" t="str">
        <x:v>202A</x:v>
      </x:c>
      <x:c r="L1559" s="22" t="str">
        <x:v>建制镇独立工业用地</x:v>
      </x:c>
      <x:c r="M1559" s="33" t="n">
        <x:v>812242.9299999999</x:v>
      </x:c>
      <x:c r="N1559" s="33" t="n">
        <x:v>81.22429299999999</x:v>
      </x:c>
      <x:c r="O1559" s="22" t="str">
        <x:v>公顷</x:v>
      </x:c>
      <x:c r="P1559" s="22" t="str">
        <x:v>未提供（单期横截面）</x:v>
      </x:c>
      <x:c r="Q1559" s="23" t="n">
        <x:v>4538</x:v>
      </x:c>
    </x:row>
    <x:row r="1560">
      <x:c r="A1560" s="30" t="n">
        <x:v>350500</x:v>
      </x:c>
      <x:c r="B1560" s="22" t="str">
        <x:v>泉州市</x:v>
      </x:c>
      <x:c r="C1560" s="31" t="n">
        <x:v>350581</x:v>
      </x:c>
      <x:c r="D1560" s="22" t="str">
        <x:v>石狮市</x:v>
      </x:c>
      <x:c r="E1560" s="22" t="str">
        <x:v>建设用地</x:v>
      </x:c>
      <x:c r="F1560" s="22" t="str">
        <x:v>工矿仓储用地</x:v>
      </x:c>
      <x:c r="G1560" s="32" t="str">
        <x:v>508</x:v>
      </x:c>
      <x:c r="H1560" s="32" t="str">
        <x:v>508</x:v>
      </x:c>
      <x:c r="I1560" s="22" t="str">
        <x:v>物流仓储用地</x:v>
      </x:c>
      <x:c r="J1560" s="22" t="str">
        <x:v>产业功能</x:v>
      </x:c>
      <x:c r="K1560" s="32" t="str">
        <x:v>203</x:v>
      </x:c>
      <x:c r="L1560" s="22" t="str">
        <x:v>村庄范围</x:v>
      </x:c>
      <x:c r="M1560" s="33" t="n">
        <x:v>533394.18</x:v>
      </x:c>
      <x:c r="N1560" s="33" t="n">
        <x:v>53.339418</x:v>
      </x:c>
      <x:c r="O1560" s="22" t="str">
        <x:v>公顷</x:v>
      </x:c>
      <x:c r="P1560" s="22" t="str">
        <x:v>未提供（单期横截面）</x:v>
      </x:c>
      <x:c r="Q1560" s="23" t="n">
        <x:v>4539</x:v>
      </x:c>
    </x:row>
    <x:row r="1561">
      <x:c r="A1561" s="30" t="n">
        <x:v>350500</x:v>
      </x:c>
      <x:c r="B1561" s="22" t="str">
        <x:v>泉州市</x:v>
      </x:c>
      <x:c r="C1561" s="31" t="n">
        <x:v>350581</x:v>
      </x:c>
      <x:c r="D1561" s="22" t="str">
        <x:v>石狮市</x:v>
      </x:c>
      <x:c r="E1561" s="22" t="str">
        <x:v>建设用地</x:v>
      </x:c>
      <x:c r="F1561" s="22" t="str">
        <x:v>商业服务业用地</x:v>
      </x:c>
      <x:c r="G1561" s="32" t="str">
        <x:v>05H1</x:v>
      </x:c>
      <x:c r="H1561" s="32" t="str">
        <x:v>05H1</x:v>
      </x:c>
      <x:c r="I1561" s="22" t="str">
        <x:v>商业服务业设施用地</x:v>
      </x:c>
      <x:c r="J1561" s="22" t="str">
        <x:v>商业服务</x:v>
      </x:c>
      <x:c r="K1561" s="32" t="str">
        <x:v>203</x:v>
      </x:c>
      <x:c r="L1561" s="22" t="str">
        <x:v>村庄范围</x:v>
      </x:c>
      <x:c r="M1561" s="33" t="n">
        <x:v>835387.17</x:v>
      </x:c>
      <x:c r="N1561" s="33" t="n">
        <x:v>83.538717</x:v>
      </x:c>
      <x:c r="O1561" s="22" t="str">
        <x:v>公顷</x:v>
      </x:c>
      <x:c r="P1561" s="22" t="str">
        <x:v>未提供（单期横截面）</x:v>
      </x:c>
      <x:c r="Q1561" s="23" t="n">
        <x:v>4540</x:v>
      </x:c>
    </x:row>
    <x:row r="1562">
      <x:c r="A1562" s="30" t="n">
        <x:v>350500</x:v>
      </x:c>
      <x:c r="B1562" s="22" t="str">
        <x:v>泉州市</x:v>
      </x:c>
      <x:c r="C1562" s="31" t="n">
        <x:v>350581</x:v>
      </x:c>
      <x:c r="D1562" s="22" t="str">
        <x:v>石狮市</x:v>
      </x:c>
      <x:c r="E1562" s="22" t="str">
        <x:v>建设用地</x:v>
      </x:c>
      <x:c r="F1562" s="22" t="str">
        <x:v>工矿仓储用地</x:v>
      </x:c>
      <x:c r="G1562" s="32" t="str">
        <x:v>601</x:v>
      </x:c>
      <x:c r="H1562" s="32" t="str">
        <x:v>601</x:v>
      </x:c>
      <x:c r="I1562" s="22" t="str">
        <x:v>工业用地</x:v>
      </x:c>
      <x:c r="J1562" s="22" t="str">
        <x:v>产业功能</x:v>
      </x:c>
      <x:c r="K1562" s="32" t="str">
        <x:v>203</x:v>
      </x:c>
      <x:c r="L1562" s="22" t="str">
        <x:v>村庄范围</x:v>
      </x:c>
      <x:c r="M1562" s="33" t="n">
        <x:v>6809665.090000002</x:v>
      </x:c>
      <x:c r="N1562" s="33" t="n">
        <x:v>680.9665090000002</x:v>
      </x:c>
      <x:c r="O1562" s="22" t="str">
        <x:v>公顷</x:v>
      </x:c>
      <x:c r="P1562" s="22" t="str">
        <x:v>未提供（单期横截面）</x:v>
      </x:c>
      <x:c r="Q1562" s="23" t="n">
        <x:v>4541</x:v>
      </x:c>
    </x:row>
    <x:row r="1563">
      <x:c r="A1563" s="30" t="n">
        <x:v>350500</x:v>
      </x:c>
      <x:c r="B1563" s="22" t="str">
        <x:v>泉州市</x:v>
      </x:c>
      <x:c r="C1563" s="31" t="n">
        <x:v>350581</x:v>
      </x:c>
      <x:c r="D1563" s="22" t="str">
        <x:v>石狮市</x:v>
      </x:c>
      <x:c r="E1563" s="22" t="str">
        <x:v>建设用地</x:v>
      </x:c>
      <x:c r="F1563" s="22" t="str">
        <x:v>居住用地</x:v>
      </x:c>
      <x:c r="G1563" s="32" t="str">
        <x:v>701</x:v>
      </x:c>
      <x:c r="H1563" s="32" t="str">
        <x:v>701</x:v>
      </x:c>
      <x:c r="I1563" s="22" t="str">
        <x:v>城镇住宅用地</x:v>
      </x:c>
      <x:c r="J1563" s="22" t="str">
        <x:v>居住功能</x:v>
      </x:c>
      <x:c r="K1563" s="32" t="str">
        <x:v>203</x:v>
      </x:c>
      <x:c r="L1563" s="22" t="str">
        <x:v>村庄范围</x:v>
      </x:c>
      <x:c r="M1563" s="33" t="n">
        <x:v>1173.73</x:v>
      </x:c>
      <x:c r="N1563" s="33" t="n">
        <x:v>0.117373</x:v>
      </x:c>
      <x:c r="O1563" s="22" t="str">
        <x:v>公顷</x:v>
      </x:c>
      <x:c r="P1563" s="22" t="str">
        <x:v>未提供（单期横截面）</x:v>
      </x:c>
      <x:c r="Q1563" s="23" t="n">
        <x:v>4542</x:v>
      </x:c>
    </x:row>
    <x:row r="1564">
      <x:c r="A1564" s="30" t="n">
        <x:v>350500</x:v>
      </x:c>
      <x:c r="B1564" s="22" t="str">
        <x:v>泉州市</x:v>
      </x:c>
      <x:c r="C1564" s="31" t="n">
        <x:v>350581</x:v>
      </x:c>
      <x:c r="D1564" s="22" t="str">
        <x:v>石狮市</x:v>
      </x:c>
      <x:c r="E1564" s="22" t="str">
        <x:v>建设用地</x:v>
      </x:c>
      <x:c r="F1564" s="22" t="str">
        <x:v>居住用地</x:v>
      </x:c>
      <x:c r="G1564" s="32" t="str">
        <x:v>702</x:v>
      </x:c>
      <x:c r="H1564" s="32" t="str">
        <x:v>702</x:v>
      </x:c>
      <x:c r="I1564" s="22" t="str">
        <x:v>农村宅基地</x:v>
      </x:c>
      <x:c r="J1564" s="22" t="str">
        <x:v>居住功能</x:v>
      </x:c>
      <x:c r="K1564" s="32" t="str">
        <x:v>203</x:v>
      </x:c>
      <x:c r="L1564" s="22" t="str">
        <x:v>村庄范围</x:v>
      </x:c>
      <x:c r="M1564" s="33" t="n">
        <x:v>13882724.939999983</x:v>
      </x:c>
      <x:c r="N1564" s="33" t="n">
        <x:v>1388.2724939999982</x:v>
      </x:c>
      <x:c r="O1564" s="22" t="str">
        <x:v>公顷</x:v>
      </x:c>
      <x:c r="P1564" s="22" t="str">
        <x:v>未提供（单期横截面）</x:v>
      </x:c>
      <x:c r="Q1564" s="23" t="n">
        <x:v>4543</x:v>
      </x:c>
    </x:row>
    <x:row r="1565">
      <x:c r="A1565" s="30" t="n">
        <x:v>350500</x:v>
      </x:c>
      <x:c r="B1565" s="22" t="str">
        <x:v>泉州市</x:v>
      </x:c>
      <x:c r="C1565" s="31" t="n">
        <x:v>350581</x:v>
      </x:c>
      <x:c r="D1565" s="22" t="str">
        <x:v>石狮市</x:v>
      </x:c>
      <x:c r="E1565" s="22" t="str">
        <x:v>建设用地</x:v>
      </x:c>
      <x:c r="F1565" s="22" t="str">
        <x:v>公用设施用地</x:v>
      </x:c>
      <x:c r="G1565" s="32" t="str">
        <x:v>809</x:v>
      </x:c>
      <x:c r="H1565" s="32" t="str">
        <x:v>809</x:v>
      </x:c>
      <x:c r="I1565" s="22" t="str">
        <x:v>公用设施用地</x:v>
      </x:c>
      <x:c r="J1565" s="22" t="str">
        <x:v>其他建设</x:v>
      </x:c>
      <x:c r="K1565" s="32" t="str">
        <x:v>203</x:v>
      </x:c>
      <x:c r="L1565" s="22" t="str">
        <x:v>村庄范围</x:v>
      </x:c>
      <x:c r="M1565" s="33" t="n">
        <x:v>176963.83</x:v>
      </x:c>
      <x:c r="N1565" s="33" t="n">
        <x:v>17.696382999999997</x:v>
      </x:c>
      <x:c r="O1565" s="22" t="str">
        <x:v>公顷</x:v>
      </x:c>
      <x:c r="P1565" s="22" t="str">
        <x:v>未提供（单期横截面）</x:v>
      </x:c>
      <x:c r="Q1565" s="23" t="n">
        <x:v>4544</x:v>
      </x:c>
    </x:row>
    <x:row r="1566">
      <x:c r="A1566" s="30" t="n">
        <x:v>350500</x:v>
      </x:c>
      <x:c r="B1566" s="22" t="str">
        <x:v>泉州市</x:v>
      </x:c>
      <x:c r="C1566" s="31" t="n">
        <x:v>350581</x:v>
      </x:c>
      <x:c r="D1566" s="22" t="str">
        <x:v>石狮市</x:v>
      </x:c>
      <x:c r="E1566" s="22" t="str">
        <x:v>建设用地</x:v>
      </x:c>
      <x:c r="F1566" s="22" t="str">
        <x:v>绿地与广场用地</x:v>
      </x:c>
      <x:c r="G1566" s="32" t="str">
        <x:v>810</x:v>
      </x:c>
      <x:c r="H1566" s="32" t="str">
        <x:v>810</x:v>
      </x:c>
      <x:c r="I1566" s="22" t="str">
        <x:v>公园与绿地</x:v>
      </x:c>
      <x:c r="J1566" s="22" t="str">
        <x:v>公共空间</x:v>
      </x:c>
      <x:c r="K1566" s="32" t="str">
        <x:v>203</x:v>
      </x:c>
      <x:c r="L1566" s="22" t="str">
        <x:v>村庄范围</x:v>
      </x:c>
      <x:c r="M1566" s="33" t="n">
        <x:v>401622.61</x:v>
      </x:c>
      <x:c r="N1566" s="33" t="n">
        <x:v>40.162261</x:v>
      </x:c>
      <x:c r="O1566" s="22" t="str">
        <x:v>公顷</x:v>
      </x:c>
      <x:c r="P1566" s="22" t="str">
        <x:v>未提供（单期横截面）</x:v>
      </x:c>
      <x:c r="Q1566" s="23" t="n">
        <x:v>4545</x:v>
      </x:c>
    </x:row>
    <x:row r="1567">
      <x:c r="A1567" s="30" t="n">
        <x:v>350500</x:v>
      </x:c>
      <x:c r="B1567" s="22" t="str">
        <x:v>泉州市</x:v>
      </x:c>
      <x:c r="C1567" s="31" t="n">
        <x:v>350581</x:v>
      </x:c>
      <x:c r="D1567" s="22" t="str">
        <x:v>石狮市</x:v>
      </x:c>
      <x:c r="E1567" s="22" t="str">
        <x:v>建设用地</x:v>
      </x:c>
      <x:c r="F1567" s="22" t="str">
        <x:v>绿地与广场用地</x:v>
      </x:c>
      <x:c r="G1567" s="32" t="str">
        <x:v>0810A</x:v>
      </x:c>
      <x:c r="H1567" s="32" t="str">
        <x:v>0810</x:v>
      </x:c>
      <x:c r="I1567" s="22" t="str">
        <x:v>广场用地</x:v>
      </x:c>
      <x:c r="J1567" s="22" t="str">
        <x:v>公共空间</x:v>
      </x:c>
      <x:c r="K1567" s="32" t="str">
        <x:v>203</x:v>
      </x:c>
      <x:c r="L1567" s="22" t="str">
        <x:v>村庄范围</x:v>
      </x:c>
      <x:c r="M1567" s="33" t="n">
        <x:v>45693.65000000001</x:v>
      </x:c>
      <x:c r="N1567" s="33" t="n">
        <x:v>4.569365000000001</x:v>
      </x:c>
      <x:c r="O1567" s="22" t="str">
        <x:v>公顷</x:v>
      </x:c>
      <x:c r="P1567" s="22" t="str">
        <x:v>未提供（单期横截面）</x:v>
      </x:c>
      <x:c r="Q1567" s="23" t="n">
        <x:v>4546</x:v>
      </x:c>
    </x:row>
    <x:row r="1568">
      <x:c r="A1568" s="30" t="n">
        <x:v>350500</x:v>
      </x:c>
      <x:c r="B1568" s="22" t="str">
        <x:v>泉州市</x:v>
      </x:c>
      <x:c r="C1568" s="31" t="n">
        <x:v>350581</x:v>
      </x:c>
      <x:c r="D1568" s="22" t="str">
        <x:v>石狮市</x:v>
      </x:c>
      <x:c r="E1568" s="22" t="str">
        <x:v>建设用地</x:v>
      </x:c>
      <x:c r="F1568" s="22" t="str">
        <x:v>公共管理与公共服务用地</x:v>
      </x:c>
      <x:c r="G1568" s="32" t="str">
        <x:v>08H1</x:v>
      </x:c>
      <x:c r="H1568" s="32" t="str">
        <x:v>08H1</x:v>
      </x:c>
      <x:c r="I1568" s="22" t="str">
        <x:v>机关团体新闻出版用地</x:v>
      </x:c>
      <x:c r="J1568" s="22" t="str">
        <x:v>公共服务</x:v>
      </x:c>
      <x:c r="K1568" s="32" t="str">
        <x:v>203</x:v>
      </x:c>
      <x:c r="L1568" s="22" t="str">
        <x:v>村庄范围</x:v>
      </x:c>
      <x:c r="M1568" s="33" t="n">
        <x:v>252947.38000000012</x:v>
      </x:c>
      <x:c r="N1568" s="33" t="n">
        <x:v>25.294738000000013</x:v>
      </x:c>
      <x:c r="O1568" s="22" t="str">
        <x:v>公顷</x:v>
      </x:c>
      <x:c r="P1568" s="22" t="str">
        <x:v>未提供（单期横截面）</x:v>
      </x:c>
      <x:c r="Q1568" s="23" t="n">
        <x:v>4547</x:v>
      </x:c>
    </x:row>
    <x:row r="1569">
      <x:c r="A1569" s="30" t="n">
        <x:v>350500</x:v>
      </x:c>
      <x:c r="B1569" s="22" t="str">
        <x:v>泉州市</x:v>
      </x:c>
      <x:c r="C1569" s="31" t="n">
        <x:v>350581</x:v>
      </x:c>
      <x:c r="D1569" s="22" t="str">
        <x:v>石狮市</x:v>
      </x:c>
      <x:c r="E1569" s="22" t="str">
        <x:v>建设用地</x:v>
      </x:c>
      <x:c r="F1569" s="22" t="str">
        <x:v>公共管理与公共服务用地</x:v>
      </x:c>
      <x:c r="G1569" s="32" t="str">
        <x:v>08H2</x:v>
      </x:c>
      <x:c r="H1569" s="32" t="str">
        <x:v>08H2</x:v>
      </x:c>
      <x:c r="I1569" s="22" t="str">
        <x:v>科教文卫用地</x:v>
      </x:c>
      <x:c r="J1569" s="22" t="str">
        <x:v>公共服务</x:v>
      </x:c>
      <x:c r="K1569" s="32" t="str">
        <x:v>203</x:v>
      </x:c>
      <x:c r="L1569" s="22" t="str">
        <x:v>村庄范围</x:v>
      </x:c>
      <x:c r="M1569" s="33" t="n">
        <x:v>1045118.7199999993</x:v>
      </x:c>
      <x:c r="N1569" s="33" t="n">
        <x:v>104.51187199999993</x:v>
      </x:c>
      <x:c r="O1569" s="22" t="str">
        <x:v>公顷</x:v>
      </x:c>
      <x:c r="P1569" s="22" t="str">
        <x:v>未提供（单期横截面）</x:v>
      </x:c>
      <x:c r="Q1569" s="23" t="n">
        <x:v>4548</x:v>
      </x:c>
    </x:row>
    <x:row r="1570">
      <x:c r="A1570" s="30" t="n">
        <x:v>350500</x:v>
      </x:c>
      <x:c r="B1570" s="22" t="str">
        <x:v>泉州市</x:v>
      </x:c>
      <x:c r="C1570" s="31" t="n">
        <x:v>350581</x:v>
      </x:c>
      <x:c r="D1570" s="22" t="str">
        <x:v>石狮市</x:v>
      </x:c>
      <x:c r="E1570" s="22" t="str">
        <x:v>建设用地</x:v>
      </x:c>
      <x:c r="F1570" s="22" t="str">
        <x:v>公共管理与公共服务用地</x:v>
      </x:c>
      <x:c r="G1570" s="32" t="str">
        <x:v>08H2A</x:v>
      </x:c>
      <x:c r="H1570" s="32" t="str">
        <x:v>08H2</x:v>
      </x:c>
      <x:c r="I1570" s="22" t="str">
        <x:v>高教用地</x:v>
      </x:c>
      <x:c r="J1570" s="22" t="str">
        <x:v>公共服务</x:v>
      </x:c>
      <x:c r="K1570" s="32" t="str">
        <x:v>203</x:v>
      </x:c>
      <x:c r="L1570" s="22" t="str">
        <x:v>村庄范围</x:v>
      </x:c>
      <x:c r="M1570" s="33" t="n">
        <x:v>570138.1499999999</x:v>
      </x:c>
      <x:c r="N1570" s="33" t="n">
        <x:v>57.013814999999994</x:v>
      </x:c>
      <x:c r="O1570" s="22" t="str">
        <x:v>公顷</x:v>
      </x:c>
      <x:c r="P1570" s="22" t="str">
        <x:v>未提供（单期横截面）</x:v>
      </x:c>
      <x:c r="Q1570" s="23" t="n">
        <x:v>4549</x:v>
      </x:c>
    </x:row>
    <x:row r="1571">
      <x:c r="A1571" s="30" t="n">
        <x:v>350500</x:v>
      </x:c>
      <x:c r="B1571" s="22" t="str">
        <x:v>泉州市</x:v>
      </x:c>
      <x:c r="C1571" s="31" t="n">
        <x:v>350581</x:v>
      </x:c>
      <x:c r="D1571" s="22" t="str">
        <x:v>石狮市</x:v>
      </x:c>
      <x:c r="E1571" s="22" t="str">
        <x:v>建设用地</x:v>
      </x:c>
      <x:c r="F1571" s="22" t="str">
        <x:v>特殊用地</x:v>
      </x:c>
      <x:c r="G1571" s="32" t="str">
        <x:v>9</x:v>
      </x:c>
      <x:c r="H1571" s="32" t="str">
        <x:v>9</x:v>
      </x:c>
      <x:c r="I1571" s="22" t="str">
        <x:v>特殊用地</x:v>
      </x:c>
      <x:c r="J1571" s="22" t="str">
        <x:v>其他建设</x:v>
      </x:c>
      <x:c r="K1571" s="32" t="str">
        <x:v>203</x:v>
      </x:c>
      <x:c r="L1571" s="22" t="str">
        <x:v>村庄范围</x:v>
      </x:c>
      <x:c r="M1571" s="33" t="n">
        <x:v>221957.83</x:v>
      </x:c>
      <x:c r="N1571" s="33" t="n">
        <x:v>22.195783</x:v>
      </x:c>
      <x:c r="O1571" s="22" t="str">
        <x:v>公顷</x:v>
      </x:c>
      <x:c r="P1571" s="22" t="str">
        <x:v>未提供（单期横截面）</x:v>
      </x:c>
      <x:c r="Q1571" s="23" t="n">
        <x:v>4550</x:v>
      </x:c>
    </x:row>
    <x:row r="1572">
      <x:c r="A1572" s="30" t="n">
        <x:v>350500</x:v>
      </x:c>
      <x:c r="B1572" s="22" t="str">
        <x:v>泉州市</x:v>
      </x:c>
      <x:c r="C1572" s="31" t="n">
        <x:v>350581</x:v>
      </x:c>
      <x:c r="D1572" s="22" t="str">
        <x:v>石狮市</x:v>
      </x:c>
      <x:c r="E1572" s="22" t="str">
        <x:v>建设用地</x:v>
      </x:c>
      <x:c r="F1572" s="22" t="str">
        <x:v>交通运输用地</x:v>
      </x:c>
      <x:c r="G1572" s="32" t="str">
        <x:v>1003</x:v>
      </x:c>
      <x:c r="H1572" s="32" t="str">
        <x:v>1003</x:v>
      </x:c>
      <x:c r="I1572" s="22" t="str">
        <x:v>公路用地</x:v>
      </x:c>
      <x:c r="J1572" s="22" t="str">
        <x:v>交通门户</x:v>
      </x:c>
      <x:c r="K1572" s="32" t="str">
        <x:v>203</x:v>
      </x:c>
      <x:c r="L1572" s="22" t="str">
        <x:v>村庄范围</x:v>
      </x:c>
      <x:c r="M1572" s="33" t="n">
        <x:v>249.58</x:v>
      </x:c>
      <x:c r="N1572" s="33" t="n">
        <x:v>0.024958</x:v>
      </x:c>
      <x:c r="O1572" s="22" t="str">
        <x:v>公顷</x:v>
      </x:c>
      <x:c r="P1572" s="22" t="str">
        <x:v>未提供（单期横截面）</x:v>
      </x:c>
      <x:c r="Q1572" s="23" t="n">
        <x:v>4551</x:v>
      </x:c>
    </x:row>
    <x:row r="1573">
      <x:c r="A1573" s="30" t="n">
        <x:v>350500</x:v>
      </x:c>
      <x:c r="B1573" s="22" t="str">
        <x:v>泉州市</x:v>
      </x:c>
      <x:c r="C1573" s="31" t="n">
        <x:v>350581</x:v>
      </x:c>
      <x:c r="D1573" s="22" t="str">
        <x:v>石狮市</x:v>
      </x:c>
      <x:c r="E1573" s="22" t="str">
        <x:v>建设用地</x:v>
      </x:c>
      <x:c r="F1573" s="22" t="str">
        <x:v>交通运输用地</x:v>
      </x:c>
      <x:c r="G1573" s="32" t="str">
        <x:v>1004</x:v>
      </x:c>
      <x:c r="H1573" s="32" t="str">
        <x:v>1004</x:v>
      </x:c>
      <x:c r="I1573" s="22" t="str">
        <x:v>城镇村道路用地</x:v>
      </x:c>
      <x:c r="J1573" s="22" t="str">
        <x:v>交通门户</x:v>
      </x:c>
      <x:c r="K1573" s="32" t="str">
        <x:v>203</x:v>
      </x:c>
      <x:c r="L1573" s="22" t="str">
        <x:v>村庄范围</x:v>
      </x:c>
      <x:c r="M1573" s="33" t="n">
        <x:v>973563.9000000003</x:v>
      </x:c>
      <x:c r="N1573" s="33" t="n">
        <x:v>97.35639000000002</x:v>
      </x:c>
      <x:c r="O1573" s="22" t="str">
        <x:v>公顷</x:v>
      </x:c>
      <x:c r="P1573" s="22" t="str">
        <x:v>未提供（单期横截面）</x:v>
      </x:c>
      <x:c r="Q1573" s="23" t="n">
        <x:v>4552</x:v>
      </x:c>
    </x:row>
    <x:row r="1574">
      <x:c r="A1574" s="30" t="n">
        <x:v>350500</x:v>
      </x:c>
      <x:c r="B1574" s="22" t="str">
        <x:v>泉州市</x:v>
      </x:c>
      <x:c r="C1574" s="31" t="n">
        <x:v>350581</x:v>
      </x:c>
      <x:c r="D1574" s="22" t="str">
        <x:v>石狮市</x:v>
      </x:c>
      <x:c r="E1574" s="22" t="str">
        <x:v>建设用地</x:v>
      </x:c>
      <x:c r="F1574" s="22" t="str">
        <x:v>交通运输用地</x:v>
      </x:c>
      <x:c r="G1574" s="32" t="str">
        <x:v>1005</x:v>
      </x:c>
      <x:c r="H1574" s="32" t="str">
        <x:v>1005</x:v>
      </x:c>
      <x:c r="I1574" s="22" t="str">
        <x:v>交通服务场站用地</x:v>
      </x:c>
      <x:c r="J1574" s="22" t="str">
        <x:v>交通门户</x:v>
      </x:c>
      <x:c r="K1574" s="32" t="str">
        <x:v>203</x:v>
      </x:c>
      <x:c r="L1574" s="22" t="str">
        <x:v>村庄范围</x:v>
      </x:c>
      <x:c r="M1574" s="33" t="n">
        <x:v>309564.6100000001</x:v>
      </x:c>
      <x:c r="N1574" s="33" t="n">
        <x:v>30.95646100000001</x:v>
      </x:c>
      <x:c r="O1574" s="22" t="str">
        <x:v>公顷</x:v>
      </x:c>
      <x:c r="P1574" s="22" t="str">
        <x:v>未提供（单期横截面）</x:v>
      </x:c>
      <x:c r="Q1574" s="23" t="n">
        <x:v>4553</x:v>
      </x:c>
    </x:row>
    <x:row r="1575">
      <x:c r="A1575" s="30" t="n">
        <x:v>350500</x:v>
      </x:c>
      <x:c r="B1575" s="22" t="str">
        <x:v>泉州市</x:v>
      </x:c>
      <x:c r="C1575" s="31" t="n">
        <x:v>350581</x:v>
      </x:c>
      <x:c r="D1575" s="22" t="str">
        <x:v>石狮市</x:v>
      </x:c>
      <x:c r="E1575" s="22" t="str">
        <x:v>建设用地</x:v>
      </x:c>
      <x:c r="F1575" s="22" t="str">
        <x:v>交通运输用地</x:v>
      </x:c>
      <x:c r="G1575" s="32" t="str">
        <x:v>1008</x:v>
      </x:c>
      <x:c r="H1575" s="32" t="str">
        <x:v>1008</x:v>
      </x:c>
      <x:c r="I1575" s="22" t="str">
        <x:v>港口码头用地</x:v>
      </x:c>
      <x:c r="J1575" s="22" t="str">
        <x:v>交通门户</x:v>
      </x:c>
      <x:c r="K1575" s="32" t="str">
        <x:v>203</x:v>
      </x:c>
      <x:c r="L1575" s="22" t="str">
        <x:v>村庄范围</x:v>
      </x:c>
      <x:c r="M1575" s="33" t="n">
        <x:v>886824.21</x:v>
      </x:c>
      <x:c r="N1575" s="33" t="n">
        <x:v>88.68242099999999</x:v>
      </x:c>
      <x:c r="O1575" s="22" t="str">
        <x:v>公顷</x:v>
      </x:c>
      <x:c r="P1575" s="22" t="str">
        <x:v>未提供（单期横截面）</x:v>
      </x:c>
      <x:c r="Q1575" s="23" t="n">
        <x:v>4554</x:v>
      </x:c>
    </x:row>
    <x:row r="1576">
      <x:c r="A1576" s="30" t="n">
        <x:v>350500</x:v>
      </x:c>
      <x:c r="B1576" s="22" t="str">
        <x:v>泉州市</x:v>
      </x:c>
      <x:c r="C1576" s="31" t="n">
        <x:v>350581</x:v>
      </x:c>
      <x:c r="D1576" s="22" t="str">
        <x:v>石狮市</x:v>
      </x:c>
      <x:c r="E1576" s="22" t="str">
        <x:v>建设用地</x:v>
      </x:c>
      <x:c r="F1576" s="22" t="str">
        <x:v>其他建设用地</x:v>
      </x:c>
      <x:c r="G1576" s="32" t="str">
        <x:v>1201</x:v>
      </x:c>
      <x:c r="H1576" s="32" t="str">
        <x:v>1201</x:v>
      </x:c>
      <x:c r="I1576" s="22" t="str">
        <x:v>空闲地</x:v>
      </x:c>
      <x:c r="J1576" s="22" t="str">
        <x:v>其他建设</x:v>
      </x:c>
      <x:c r="K1576" s="32" t="str">
        <x:v>203</x:v>
      </x:c>
      <x:c r="L1576" s="22" t="str">
        <x:v>村庄范围</x:v>
      </x:c>
      <x:c r="M1576" s="33" t="n">
        <x:v>224230.06000000006</x:v>
      </x:c>
      <x:c r="N1576" s="33" t="n">
        <x:v>22.423006000000004</x:v>
      </x:c>
      <x:c r="O1576" s="22" t="str">
        <x:v>公顷</x:v>
      </x:c>
      <x:c r="P1576" s="22" t="str">
        <x:v>未提供（单期横截面）</x:v>
      </x:c>
      <x:c r="Q1576" s="23" t="n">
        <x:v>4555</x:v>
      </x:c>
    </x:row>
    <x:row r="1577">
      <x:c r="A1577" s="30" t="n">
        <x:v>350500</x:v>
      </x:c>
      <x:c r="B1577" s="22" t="str">
        <x:v>泉州市</x:v>
      </x:c>
      <x:c r="C1577" s="31" t="n">
        <x:v>350581</x:v>
      </x:c>
      <x:c r="D1577" s="22" t="str">
        <x:v>石狮市</x:v>
      </x:c>
      <x:c r="E1577" s="22" t="str">
        <x:v>建设用地</x:v>
      </x:c>
      <x:c r="F1577" s="22" t="str">
        <x:v>工矿仓储用地</x:v>
      </x:c>
      <x:c r="G1577" s="32" t="str">
        <x:v>601</x:v>
      </x:c>
      <x:c r="H1577" s="32" t="str">
        <x:v>601</x:v>
      </x:c>
      <x:c r="I1577" s="22" t="str">
        <x:v>工业用地</x:v>
      </x:c>
      <x:c r="J1577" s="22" t="str">
        <x:v>产业功能</x:v>
      </x:c>
      <x:c r="K1577" s="32" t="str">
        <x:v>203A</x:v>
      </x:c>
      <x:c r="L1577" s="22" t="str">
        <x:v>村庄独立工业用地</x:v>
      </x:c>
      <x:c r="M1577" s="33" t="n">
        <x:v>498662.36999999994</x:v>
      </x:c>
      <x:c r="N1577" s="33" t="n">
        <x:v>49.86623699999999</x:v>
      </x:c>
      <x:c r="O1577" s="22" t="str">
        <x:v>公顷</x:v>
      </x:c>
      <x:c r="P1577" s="22" t="str">
        <x:v>未提供（单期横截面）</x:v>
      </x:c>
      <x:c r="Q1577" s="23" t="n">
        <x:v>4556</x:v>
      </x:c>
    </x:row>
    <x:row r="1578">
      <x:c r="A1578" s="30" t="n">
        <x:v>350500</x:v>
      </x:c>
      <x:c r="B1578" s="22" t="str">
        <x:v>泉州市</x:v>
      </x:c>
      <x:c r="C1578" s="31" t="n">
        <x:v>350581</x:v>
      </x:c>
      <x:c r="D1578" s="22" t="str">
        <x:v>石狮市</x:v>
      </x:c>
      <x:c r="E1578" s="22" t="str">
        <x:v>建设用地</x:v>
      </x:c>
      <x:c r="F1578" s="22" t="str">
        <x:v>工矿仓储用地</x:v>
      </x:c>
      <x:c r="G1578" s="32" t="str">
        <x:v>602</x:v>
      </x:c>
      <x:c r="H1578" s="32" t="str">
        <x:v>602</x:v>
      </x:c>
      <x:c r="I1578" s="22" t="str">
        <x:v>采矿用地</x:v>
      </x:c>
      <x:c r="J1578" s="22" t="str">
        <x:v>产业功能</x:v>
      </x:c>
      <x:c r="K1578" s="32" t="str">
        <x:v>204</x:v>
      </x:c>
      <x:c r="L1578" s="22" t="str">
        <x:v>盐田及采矿用地</x:v>
      </x:c>
      <x:c r="M1578" s="33" t="n">
        <x:v>1396359.6800000002</x:v>
      </x:c>
      <x:c r="N1578" s="33" t="n">
        <x:v>139.63596800000002</x:v>
      </x:c>
      <x:c r="O1578" s="22" t="str">
        <x:v>公顷</x:v>
      </x:c>
      <x:c r="P1578" s="22" t="str">
        <x:v>未提供（单期横截面）</x:v>
      </x:c>
      <x:c r="Q1578" s="23" t="n">
        <x:v>4557</x:v>
      </x:c>
    </x:row>
    <x:row r="1579">
      <x:c r="A1579" s="30" t="n">
        <x:v>350500</x:v>
      </x:c>
      <x:c r="B1579" s="22" t="str">
        <x:v>泉州市</x:v>
      </x:c>
      <x:c r="C1579" s="31" t="n">
        <x:v>350581</x:v>
      </x:c>
      <x:c r="D1579" s="22" t="str">
        <x:v>石狮市</x:v>
      </x:c>
      <x:c r="E1579" s="22" t="str">
        <x:v>建设用地</x:v>
      </x:c>
      <x:c r="F1579" s="22" t="str">
        <x:v>特殊用地</x:v>
      </x:c>
      <x:c r="G1579" s="32" t="str">
        <x:v>9</x:v>
      </x:c>
      <x:c r="H1579" s="32" t="str">
        <x:v>9</x:v>
      </x:c>
      <x:c r="I1579" s="22" t="str">
        <x:v>特殊用地</x:v>
      </x:c>
      <x:c r="J1579" s="22" t="str">
        <x:v>其他建设</x:v>
      </x:c>
      <x:c r="K1579" s="32" t="str">
        <x:v>205</x:v>
      </x:c>
      <x:c r="L1579" s="22" t="str">
        <x:v>特殊用地</x:v>
      </x:c>
      <x:c r="M1579" s="33" t="n">
        <x:v>4119638.220000003</x:v>
      </x:c>
      <x:c r="N1579" s="33" t="n">
        <x:v>411.9638220000003</x:v>
      </x:c>
      <x:c r="O1579" s="22" t="str">
        <x:v>公顷</x:v>
      </x:c>
      <x:c r="P1579" s="22" t="str">
        <x:v>未提供（单期横截面）</x:v>
      </x:c>
      <x:c r="Q1579" s="23" t="n">
        <x:v>4558</x:v>
      </x:c>
    </x:row>
    <x:row r="1580">
      <x:c r="A1580" s="30" t="n">
        <x:v>350500</x:v>
      </x:c>
      <x:c r="B1580" s="22" t="str">
        <x:v>泉州市</x:v>
      </x:c>
      <x:c r="C1580" s="31" t="n">
        <x:v>350581</x:v>
      </x:c>
      <x:c r="D1580" s="22" t="str">
        <x:v>石狮市</x:v>
      </x:c>
      <x:c r="E1580" s="22" t="str">
        <x:v>农用地</x:v>
      </x:c>
      <x:c r="F1580" s="22" t="str">
        <x:v>耕地</x:v>
      </x:c>
      <x:c r="G1580" s="32" t="str">
        <x:v>101</x:v>
      </x:c>
      <x:c r="H1580" s="32" t="str">
        <x:v>101</x:v>
      </x:c>
      <x:c r="I1580" s="22" t="str">
        <x:v>水田</x:v>
      </x:c>
      <x:c r="J1580" s="22" t="str">
        <x:v>农业生态</x:v>
      </x:c>
      <x:c r="K1580" s="32" t="str"/>
      <x:c r="L1580" s="22" t="str">
        <x:v>不适用/未标注</x:v>
      </x:c>
      <x:c r="M1580" s="33" t="n">
        <x:v>2457777.619999999</x:v>
      </x:c>
      <x:c r="N1580" s="33" t="n">
        <x:v>245.7777619999999</x:v>
      </x:c>
      <x:c r="O1580" s="22" t="str">
        <x:v>公顷</x:v>
      </x:c>
      <x:c r="P1580" s="22" t="str">
        <x:v>未提供（单期横截面）</x:v>
      </x:c>
      <x:c r="Q1580" s="23" t="n">
        <x:v>4559</x:v>
      </x:c>
    </x:row>
    <x:row r="1581">
      <x:c r="A1581" s="30" t="n">
        <x:v>350500</x:v>
      </x:c>
      <x:c r="B1581" s="22" t="str">
        <x:v>泉州市</x:v>
      </x:c>
      <x:c r="C1581" s="31" t="n">
        <x:v>350581</x:v>
      </x:c>
      <x:c r="D1581" s="22" t="str">
        <x:v>石狮市</x:v>
      </x:c>
      <x:c r="E1581" s="22" t="str">
        <x:v>农用地</x:v>
      </x:c>
      <x:c r="F1581" s="22" t="str">
        <x:v>耕地</x:v>
      </x:c>
      <x:c r="G1581" s="32" t="str">
        <x:v>102</x:v>
      </x:c>
      <x:c r="H1581" s="32" t="str">
        <x:v>102</x:v>
      </x:c>
      <x:c r="I1581" s="22" t="str">
        <x:v>水浇地</x:v>
      </x:c>
      <x:c r="J1581" s="22" t="str">
        <x:v>农业生态</x:v>
      </x:c>
      <x:c r="K1581" s="32" t="str"/>
      <x:c r="L1581" s="22" t="str">
        <x:v>不适用/未标注</x:v>
      </x:c>
      <x:c r="M1581" s="33" t="n">
        <x:v>18300240.59000003</x:v>
      </x:c>
      <x:c r="N1581" s="33" t="n">
        <x:v>1830.024059000003</x:v>
      </x:c>
      <x:c r="O1581" s="22" t="str">
        <x:v>公顷</x:v>
      </x:c>
      <x:c r="P1581" s="22" t="str">
        <x:v>未提供（单期横截面）</x:v>
      </x:c>
      <x:c r="Q1581" s="23" t="n">
        <x:v>4560</x:v>
      </x:c>
    </x:row>
    <x:row r="1582">
      <x:c r="A1582" s="30" t="n">
        <x:v>350500</x:v>
      </x:c>
      <x:c r="B1582" s="22" t="str">
        <x:v>泉州市</x:v>
      </x:c>
      <x:c r="C1582" s="31" t="n">
        <x:v>350581</x:v>
      </x:c>
      <x:c r="D1582" s="22" t="str">
        <x:v>石狮市</x:v>
      </x:c>
      <x:c r="E1582" s="22" t="str">
        <x:v>农用地</x:v>
      </x:c>
      <x:c r="F1582" s="22" t="str">
        <x:v>耕地</x:v>
      </x:c>
      <x:c r="G1582" s="32" t="str">
        <x:v>103</x:v>
      </x:c>
      <x:c r="H1582" s="32" t="str">
        <x:v>103</x:v>
      </x:c>
      <x:c r="I1582" s="22" t="str">
        <x:v>旱地</x:v>
      </x:c>
      <x:c r="J1582" s="22" t="str">
        <x:v>农业生态</x:v>
      </x:c>
      <x:c r="K1582" s="32" t="str"/>
      <x:c r="L1582" s="22" t="str">
        <x:v>不适用/未标注</x:v>
      </x:c>
      <x:c r="M1582" s="33" t="n">
        <x:v>3233666.279999998</x:v>
      </x:c>
      <x:c r="N1582" s="33" t="n">
        <x:v>323.3666279999998</x:v>
      </x:c>
      <x:c r="O1582" s="22" t="str">
        <x:v>公顷</x:v>
      </x:c>
      <x:c r="P1582" s="22" t="str">
        <x:v>未提供（单期横截面）</x:v>
      </x:c>
      <x:c r="Q1582" s="23" t="n">
        <x:v>4561</x:v>
      </x:c>
    </x:row>
    <x:row r="1583">
      <x:c r="A1583" s="30" t="n">
        <x:v>350500</x:v>
      </x:c>
      <x:c r="B1583" s="22" t="str">
        <x:v>泉州市</x:v>
      </x:c>
      <x:c r="C1583" s="31" t="n">
        <x:v>350581</x:v>
      </x:c>
      <x:c r="D1583" s="22" t="str">
        <x:v>石狮市</x:v>
      </x:c>
      <x:c r="E1583" s="22" t="str">
        <x:v>农用地</x:v>
      </x:c>
      <x:c r="F1583" s="22" t="str">
        <x:v>园地</x:v>
      </x:c>
      <x:c r="G1583" s="32" t="str">
        <x:v>201</x:v>
      </x:c>
      <x:c r="H1583" s="32" t="str">
        <x:v>201</x:v>
      </x:c>
      <x:c r="I1583" s="22" t="str">
        <x:v>果园</x:v>
      </x:c>
      <x:c r="J1583" s="22" t="str">
        <x:v>农业生态</x:v>
      </x:c>
      <x:c r="K1583" s="32" t="str"/>
      <x:c r="L1583" s="22" t="str">
        <x:v>不适用/未标注</x:v>
      </x:c>
      <x:c r="M1583" s="33" t="n">
        <x:v>587239.4299999997</x:v>
      </x:c>
      <x:c r="N1583" s="33" t="n">
        <x:v>58.72394299999997</x:v>
      </x:c>
      <x:c r="O1583" s="22" t="str">
        <x:v>公顷</x:v>
      </x:c>
      <x:c r="P1583" s="22" t="str">
        <x:v>未提供（单期横截面）</x:v>
      </x:c>
      <x:c r="Q1583" s="23" t="n">
        <x:v>4562</x:v>
      </x:c>
    </x:row>
    <x:row r="1584">
      <x:c r="A1584" s="30" t="n">
        <x:v>350500</x:v>
      </x:c>
      <x:c r="B1584" s="22" t="str">
        <x:v>泉州市</x:v>
      </x:c>
      <x:c r="C1584" s="31" t="n">
        <x:v>350581</x:v>
      </x:c>
      <x:c r="D1584" s="22" t="str">
        <x:v>石狮市</x:v>
      </x:c>
      <x:c r="E1584" s="22" t="str">
        <x:v>农用地</x:v>
      </x:c>
      <x:c r="F1584" s="22" t="str">
        <x:v>园地</x:v>
      </x:c>
      <x:c r="G1584" s="32" t="str">
        <x:v>0201K</x:v>
      </x:c>
      <x:c r="H1584" s="32" t="str">
        <x:v>201</x:v>
      </x:c>
      <x:c r="I1584" s="22" t="str">
        <x:v>可调整果园</x:v>
      </x:c>
      <x:c r="J1584" s="22" t="str">
        <x:v>农业生态</x:v>
      </x:c>
      <x:c r="K1584" s="32" t="str"/>
      <x:c r="L1584" s="22" t="str">
        <x:v>不适用/未标注</x:v>
      </x:c>
      <x:c r="M1584" s="33" t="n">
        <x:v>36977.31</x:v>
      </x:c>
      <x:c r="N1584" s="33" t="n">
        <x:v>3.6977309999999997</x:v>
      </x:c>
      <x:c r="O1584" s="22" t="str">
        <x:v>公顷</x:v>
      </x:c>
      <x:c r="P1584" s="22" t="str">
        <x:v>未提供（单期横截面）</x:v>
      </x:c>
      <x:c r="Q1584" s="23" t="n">
        <x:v>4563</x:v>
      </x:c>
    </x:row>
    <x:row r="1585">
      <x:c r="A1585" s="30" t="n">
        <x:v>350500</x:v>
      </x:c>
      <x:c r="B1585" s="22" t="str">
        <x:v>泉州市</x:v>
      </x:c>
      <x:c r="C1585" s="31" t="n">
        <x:v>350581</x:v>
      </x:c>
      <x:c r="D1585" s="22" t="str">
        <x:v>石狮市</x:v>
      </x:c>
      <x:c r="E1585" s="22" t="str">
        <x:v>农用地</x:v>
      </x:c>
      <x:c r="F1585" s="22" t="str">
        <x:v>园地</x:v>
      </x:c>
      <x:c r="G1585" s="32" t="str">
        <x:v>204</x:v>
      </x:c>
      <x:c r="H1585" s="32" t="str">
        <x:v>204</x:v>
      </x:c>
      <x:c r="I1585" s="22" t="str">
        <x:v>其他园地</x:v>
      </x:c>
      <x:c r="J1585" s="22" t="str">
        <x:v>农业生态</x:v>
      </x:c>
      <x:c r="K1585" s="32" t="str"/>
      <x:c r="L1585" s="22" t="str">
        <x:v>不适用/未标注</x:v>
      </x:c>
      <x:c r="M1585" s="33" t="n">
        <x:v>78193.18</x:v>
      </x:c>
      <x:c r="N1585" s="33" t="n">
        <x:v>7.819317999999999</x:v>
      </x:c>
      <x:c r="O1585" s="22" t="str">
        <x:v>公顷</x:v>
      </x:c>
      <x:c r="P1585" s="22" t="str">
        <x:v>未提供（单期横截面）</x:v>
      </x:c>
      <x:c r="Q1585" s="23" t="n">
        <x:v>4564</x:v>
      </x:c>
    </x:row>
    <x:row r="1586">
      <x:c r="A1586" s="30" t="n">
        <x:v>350500</x:v>
      </x:c>
      <x:c r="B1586" s="22" t="str">
        <x:v>泉州市</x:v>
      </x:c>
      <x:c r="C1586" s="31" t="n">
        <x:v>350581</x:v>
      </x:c>
      <x:c r="D1586" s="22" t="str">
        <x:v>石狮市</x:v>
      </x:c>
      <x:c r="E1586" s="22" t="str">
        <x:v>农用地</x:v>
      </x:c>
      <x:c r="F1586" s="22" t="str">
        <x:v>林地</x:v>
      </x:c>
      <x:c r="G1586" s="32" t="str">
        <x:v>301</x:v>
      </x:c>
      <x:c r="H1586" s="32" t="str">
        <x:v>301</x:v>
      </x:c>
      <x:c r="I1586" s="22" t="str">
        <x:v>乔木林地</x:v>
      </x:c>
      <x:c r="J1586" s="22" t="str">
        <x:v>农业生态</x:v>
      </x:c>
      <x:c r="K1586" s="32" t="str"/>
      <x:c r="L1586" s="22" t="str">
        <x:v>不适用/未标注</x:v>
      </x:c>
      <x:c r="M1586" s="33" t="n">
        <x:v>20758748.519999977</x:v>
      </x:c>
      <x:c r="N1586" s="33" t="n">
        <x:v>2075.8748519999976</x:v>
      </x:c>
      <x:c r="O1586" s="22" t="str">
        <x:v>公顷</x:v>
      </x:c>
      <x:c r="P1586" s="22" t="str">
        <x:v>未提供（单期横截面）</x:v>
      </x:c>
      <x:c r="Q1586" s="23" t="n">
        <x:v>4565</x:v>
      </x:c>
    </x:row>
    <x:row r="1587">
      <x:c r="A1587" s="30" t="n">
        <x:v>350500</x:v>
      </x:c>
      <x:c r="B1587" s="22" t="str">
        <x:v>泉州市</x:v>
      </x:c>
      <x:c r="C1587" s="31" t="n">
        <x:v>350581</x:v>
      </x:c>
      <x:c r="D1587" s="22" t="str">
        <x:v>石狮市</x:v>
      </x:c>
      <x:c r="E1587" s="22" t="str">
        <x:v>农用地</x:v>
      </x:c>
      <x:c r="F1587" s="22" t="str">
        <x:v>林地</x:v>
      </x:c>
      <x:c r="G1587" s="32" t="str">
        <x:v>0301K</x:v>
      </x:c>
      <x:c r="H1587" s="32" t="str">
        <x:v>0301</x:v>
      </x:c>
      <x:c r="I1587" s="22" t="str">
        <x:v>可调整乔木林地</x:v>
      </x:c>
      <x:c r="J1587" s="22" t="str">
        <x:v>农业生态</x:v>
      </x:c>
      <x:c r="K1587" s="32" t="str"/>
      <x:c r="L1587" s="22" t="str">
        <x:v>不适用/未标注</x:v>
      </x:c>
      <x:c r="M1587" s="33" t="n">
        <x:v>59354.44</x:v>
      </x:c>
      <x:c r="N1587" s="33" t="n">
        <x:v>5.935444</x:v>
      </x:c>
      <x:c r="O1587" s="22" t="str">
        <x:v>公顷</x:v>
      </x:c>
      <x:c r="P1587" s="22" t="str">
        <x:v>未提供（单期横截面）</x:v>
      </x:c>
      <x:c r="Q1587" s="23" t="n">
        <x:v>4566</x:v>
      </x:c>
    </x:row>
    <x:row r="1588">
      <x:c r="A1588" s="30" t="n">
        <x:v>350500</x:v>
      </x:c>
      <x:c r="B1588" s="22" t="str">
        <x:v>泉州市</x:v>
      </x:c>
      <x:c r="C1588" s="31" t="n">
        <x:v>350581</x:v>
      </x:c>
      <x:c r="D1588" s="22" t="str">
        <x:v>石狮市</x:v>
      </x:c>
      <x:c r="E1588" s="22" t="str">
        <x:v>农用地</x:v>
      </x:c>
      <x:c r="F1588" s="22" t="str">
        <x:v>林地</x:v>
      </x:c>
      <x:c r="G1588" s="32" t="str">
        <x:v>305</x:v>
      </x:c>
      <x:c r="H1588" s="32" t="str">
        <x:v>305</x:v>
      </x:c>
      <x:c r="I1588" s="22" t="str">
        <x:v>灌木林地</x:v>
      </x:c>
      <x:c r="J1588" s="22" t="str">
        <x:v>农业生态</x:v>
      </x:c>
      <x:c r="K1588" s="32" t="str"/>
      <x:c r="L1588" s="22" t="str">
        <x:v>不适用/未标注</x:v>
      </x:c>
      <x:c r="M1588" s="33" t="n">
        <x:v>182254.91999999995</x:v>
      </x:c>
      <x:c r="N1588" s="33" t="n">
        <x:v>18.225491999999996</x:v>
      </x:c>
      <x:c r="O1588" s="22" t="str">
        <x:v>公顷</x:v>
      </x:c>
      <x:c r="P1588" s="22" t="str">
        <x:v>未提供（单期横截面）</x:v>
      </x:c>
      <x:c r="Q1588" s="23" t="n">
        <x:v>4567</x:v>
      </x:c>
    </x:row>
    <x:row r="1589">
      <x:c r="A1589" s="30" t="n">
        <x:v>350500</x:v>
      </x:c>
      <x:c r="B1589" s="22" t="str">
        <x:v>泉州市</x:v>
      </x:c>
      <x:c r="C1589" s="31" t="n">
        <x:v>350581</x:v>
      </x:c>
      <x:c r="D1589" s="22" t="str">
        <x:v>石狮市</x:v>
      </x:c>
      <x:c r="E1589" s="22" t="str">
        <x:v>农用地</x:v>
      </x:c>
      <x:c r="F1589" s="22" t="str">
        <x:v>林地</x:v>
      </x:c>
      <x:c r="G1589" s="32" t="str">
        <x:v>307</x:v>
      </x:c>
      <x:c r="H1589" s="32" t="str">
        <x:v>307</x:v>
      </x:c>
      <x:c r="I1589" s="22" t="str">
        <x:v>其他林地</x:v>
      </x:c>
      <x:c r="J1589" s="22" t="str">
        <x:v>农业生态</x:v>
      </x:c>
      <x:c r="K1589" s="32" t="str"/>
      <x:c r="L1589" s="22" t="str">
        <x:v>不适用/未标注</x:v>
      </x:c>
      <x:c r="M1589" s="33" t="n">
        <x:v>2139100.679999999</x:v>
      </x:c>
      <x:c r="N1589" s="33" t="n">
        <x:v>213.91006799999988</x:v>
      </x:c>
      <x:c r="O1589" s="22" t="str">
        <x:v>公顷</x:v>
      </x:c>
      <x:c r="P1589" s="22" t="str">
        <x:v>未提供（单期横截面）</x:v>
      </x:c>
      <x:c r="Q1589" s="23" t="n">
        <x:v>4568</x:v>
      </x:c>
    </x:row>
    <x:row r="1590">
      <x:c r="A1590" s="30" t="n">
        <x:v>350500</x:v>
      </x:c>
      <x:c r="B1590" s="22" t="str">
        <x:v>泉州市</x:v>
      </x:c>
      <x:c r="C1590" s="31" t="n">
        <x:v>350581</x:v>
      </x:c>
      <x:c r="D1590" s="22" t="str">
        <x:v>石狮市</x:v>
      </x:c>
      <x:c r="E1590" s="22" t="str">
        <x:v>农用地</x:v>
      </x:c>
      <x:c r="F1590" s="22" t="str">
        <x:v>林地</x:v>
      </x:c>
      <x:c r="G1590" s="32" t="str">
        <x:v>0307K</x:v>
      </x:c>
      <x:c r="H1590" s="32" t="str">
        <x:v>0307</x:v>
      </x:c>
      <x:c r="I1590" s="22" t="str">
        <x:v>可调整其他林地</x:v>
      </x:c>
      <x:c r="J1590" s="22" t="str">
        <x:v>农业生态</x:v>
      </x:c>
      <x:c r="K1590" s="32" t="str"/>
      <x:c r="L1590" s="22" t="str">
        <x:v>不适用/未标注</x:v>
      </x:c>
      <x:c r="M1590" s="33" t="n">
        <x:v>11479.5</x:v>
      </x:c>
      <x:c r="N1590" s="33" t="n">
        <x:v>1.14795</x:v>
      </x:c>
      <x:c r="O1590" s="22" t="str">
        <x:v>公顷</x:v>
      </x:c>
      <x:c r="P1590" s="22" t="str">
        <x:v>未提供（单期横截面）</x:v>
      </x:c>
      <x:c r="Q1590" s="23" t="n">
        <x:v>4569</x:v>
      </x:c>
    </x:row>
    <x:row r="1591">
      <x:c r="A1591" s="30" t="n">
        <x:v>350500</x:v>
      </x:c>
      <x:c r="B1591" s="22" t="str">
        <x:v>泉州市</x:v>
      </x:c>
      <x:c r="C1591" s="31" t="n">
        <x:v>350581</x:v>
      </x:c>
      <x:c r="D1591" s="22" t="str">
        <x:v>石狮市</x:v>
      </x:c>
      <x:c r="E1591" s="22" t="str">
        <x:v>农用地</x:v>
      </x:c>
      <x:c r="F1591" s="22" t="str">
        <x:v>其他农用地</x:v>
      </x:c>
      <x:c r="G1591" s="32" t="str">
        <x:v>1006</x:v>
      </x:c>
      <x:c r="H1591" s="32" t="str">
        <x:v>1006</x:v>
      </x:c>
      <x:c r="I1591" s="22" t="str">
        <x:v>农村道路</x:v>
      </x:c>
      <x:c r="J1591" s="22" t="str">
        <x:v>农业生态</x:v>
      </x:c>
      <x:c r="K1591" s="32" t="str"/>
      <x:c r="L1591" s="22" t="str">
        <x:v>不适用/未标注</x:v>
      </x:c>
      <x:c r="M1591" s="33" t="n">
        <x:v>1392614.1700000006</x:v>
      </x:c>
      <x:c r="N1591" s="33" t="n">
        <x:v>139.26141700000005</x:v>
      </x:c>
      <x:c r="O1591" s="22" t="str">
        <x:v>公顷</x:v>
      </x:c>
      <x:c r="P1591" s="22" t="str">
        <x:v>未提供（单期横截面）</x:v>
      </x:c>
      <x:c r="Q1591" s="23" t="n">
        <x:v>4570</x:v>
      </x:c>
    </x:row>
    <x:row r="1592">
      <x:c r="A1592" s="30" t="n">
        <x:v>350500</x:v>
      </x:c>
      <x:c r="B1592" s="22" t="str">
        <x:v>泉州市</x:v>
      </x:c>
      <x:c r="C1592" s="31" t="n">
        <x:v>350581</x:v>
      </x:c>
      <x:c r="D1592" s="22" t="str">
        <x:v>石狮市</x:v>
      </x:c>
      <x:c r="E1592" s="22" t="str">
        <x:v>农用地</x:v>
      </x:c>
      <x:c r="F1592" s="22" t="str">
        <x:v>水域及水利设施</x:v>
      </x:c>
      <x:c r="G1592" s="32" t="str">
        <x:v>1103</x:v>
      </x:c>
      <x:c r="H1592" s="32" t="str">
        <x:v>1103</x:v>
      </x:c>
      <x:c r="I1592" s="22" t="str">
        <x:v>水库水面</x:v>
      </x:c>
      <x:c r="J1592" s="22" t="str">
        <x:v>农业生态</x:v>
      </x:c>
      <x:c r="K1592" s="32" t="str"/>
      <x:c r="L1592" s="22" t="str">
        <x:v>不适用/未标注</x:v>
      </x:c>
      <x:c r="M1592" s="33" t="n">
        <x:v>1213479.2100000002</x:v>
      </x:c>
      <x:c r="N1592" s="33" t="n">
        <x:v>121.34792100000001</x:v>
      </x:c>
      <x:c r="O1592" s="22" t="str">
        <x:v>公顷</x:v>
      </x:c>
      <x:c r="P1592" s="22" t="str">
        <x:v>未提供（单期横截面）</x:v>
      </x:c>
      <x:c r="Q1592" s="23" t="n">
        <x:v>4571</x:v>
      </x:c>
    </x:row>
    <x:row r="1593">
      <x:c r="A1593" s="30" t="n">
        <x:v>350500</x:v>
      </x:c>
      <x:c r="B1593" s="22" t="str">
        <x:v>泉州市</x:v>
      </x:c>
      <x:c r="C1593" s="31" t="n">
        <x:v>350581</x:v>
      </x:c>
      <x:c r="D1593" s="22" t="str">
        <x:v>石狮市</x:v>
      </x:c>
      <x:c r="E1593" s="22" t="str">
        <x:v>农用地</x:v>
      </x:c>
      <x:c r="F1593" s="22" t="str">
        <x:v>水域及水利设施</x:v>
      </x:c>
      <x:c r="G1593" s="32" t="str">
        <x:v>1104</x:v>
      </x:c>
      <x:c r="H1593" s="32" t="str">
        <x:v>1104</x:v>
      </x:c>
      <x:c r="I1593" s="22" t="str">
        <x:v>坑塘水面</x:v>
      </x:c>
      <x:c r="J1593" s="22" t="str">
        <x:v>农业生态</x:v>
      </x:c>
      <x:c r="K1593" s="32" t="str"/>
      <x:c r="L1593" s="22" t="str">
        <x:v>不适用/未标注</x:v>
      </x:c>
      <x:c r="M1593" s="33" t="n">
        <x:v>2729072.120000001</x:v>
      </x:c>
      <x:c r="N1593" s="33" t="n">
        <x:v>272.90721200000013</x:v>
      </x:c>
      <x:c r="O1593" s="22" t="str">
        <x:v>公顷</x:v>
      </x:c>
      <x:c r="P1593" s="22" t="str">
        <x:v>未提供（单期横截面）</x:v>
      </x:c>
      <x:c r="Q1593" s="23" t="n">
        <x:v>4572</x:v>
      </x:c>
    </x:row>
    <x:row r="1594">
      <x:c r="A1594" s="30" t="n">
        <x:v>350500</x:v>
      </x:c>
      <x:c r="B1594" s="22" t="str">
        <x:v>泉州市</x:v>
      </x:c>
      <x:c r="C1594" s="31" t="n">
        <x:v>350581</x:v>
      </x:c>
      <x:c r="D1594" s="22" t="str">
        <x:v>石狮市</x:v>
      </x:c>
      <x:c r="E1594" s="22" t="str">
        <x:v>农用地</x:v>
      </x:c>
      <x:c r="F1594" s="22" t="str">
        <x:v>水域及水利设施</x:v>
      </x:c>
      <x:c r="G1594" s="32" t="str">
        <x:v>1104A</x:v>
      </x:c>
      <x:c r="H1594" s="32" t="str">
        <x:v>1104</x:v>
      </x:c>
      <x:c r="I1594" s="22" t="str">
        <x:v>养殖坑塘</x:v>
      </x:c>
      <x:c r="J1594" s="22" t="str">
        <x:v>农业生态</x:v>
      </x:c>
      <x:c r="K1594" s="32" t="str"/>
      <x:c r="L1594" s="22" t="str">
        <x:v>不适用/未标注</x:v>
      </x:c>
      <x:c r="M1594" s="33" t="n">
        <x:v>893057.13</x:v>
      </x:c>
      <x:c r="N1594" s="33" t="n">
        <x:v>89.305713</x:v>
      </x:c>
      <x:c r="O1594" s="22" t="str">
        <x:v>公顷</x:v>
      </x:c>
      <x:c r="P1594" s="22" t="str">
        <x:v>未提供（单期横截面）</x:v>
      </x:c>
      <x:c r="Q1594" s="23" t="n">
        <x:v>4573</x:v>
      </x:c>
    </x:row>
    <x:row r="1595">
      <x:c r="A1595" s="30" t="n">
        <x:v>350500</x:v>
      </x:c>
      <x:c r="B1595" s="22" t="str">
        <x:v>泉州市</x:v>
      </x:c>
      <x:c r="C1595" s="31" t="n">
        <x:v>350581</x:v>
      </x:c>
      <x:c r="D1595" s="22" t="str">
        <x:v>石狮市</x:v>
      </x:c>
      <x:c r="E1595" s="22" t="str">
        <x:v>农用地</x:v>
      </x:c>
      <x:c r="F1595" s="22" t="str">
        <x:v>水域及水利设施</x:v>
      </x:c>
      <x:c r="G1595" s="32" t="str">
        <x:v>1104K</x:v>
      </x:c>
      <x:c r="H1595" s="32" t="str">
        <x:v>1104</x:v>
      </x:c>
      <x:c r="I1595" s="22" t="str">
        <x:v>可调整养殖坑塘</x:v>
      </x:c>
      <x:c r="J1595" s="22" t="str">
        <x:v>农业生态</x:v>
      </x:c>
      <x:c r="K1595" s="32" t="str"/>
      <x:c r="L1595" s="22" t="str">
        <x:v>不适用/未标注</x:v>
      </x:c>
      <x:c r="M1595" s="33" t="n">
        <x:v>8022.7300000000005</x:v>
      </x:c>
      <x:c r="N1595" s="33" t="n">
        <x:v>0.802273</x:v>
      </x:c>
      <x:c r="O1595" s="22" t="str">
        <x:v>公顷</x:v>
      </x:c>
      <x:c r="P1595" s="22" t="str">
        <x:v>未提供（单期横截面）</x:v>
      </x:c>
      <x:c r="Q1595" s="23" t="n">
        <x:v>4574</x:v>
      </x:c>
    </x:row>
    <x:row r="1596">
      <x:c r="A1596" s="30" t="n">
        <x:v>350500</x:v>
      </x:c>
      <x:c r="B1596" s="22" t="str">
        <x:v>泉州市</x:v>
      </x:c>
      <x:c r="C1596" s="31" t="n">
        <x:v>350581</x:v>
      </x:c>
      <x:c r="D1596" s="22" t="str">
        <x:v>石狮市</x:v>
      </x:c>
      <x:c r="E1596" s="22" t="str">
        <x:v>农用地</x:v>
      </x:c>
      <x:c r="F1596" s="22" t="str">
        <x:v>水域及水利设施</x:v>
      </x:c>
      <x:c r="G1596" s="32" t="str">
        <x:v>1107</x:v>
      </x:c>
      <x:c r="H1596" s="32" t="str">
        <x:v>1107</x:v>
      </x:c>
      <x:c r="I1596" s="22" t="str">
        <x:v>沟渠</x:v>
      </x:c>
      <x:c r="J1596" s="22" t="str">
        <x:v>农业生态</x:v>
      </x:c>
      <x:c r="K1596" s="32" t="str"/>
      <x:c r="L1596" s="22" t="str">
        <x:v>不适用/未标注</x:v>
      </x:c>
      <x:c r="M1596" s="33" t="n">
        <x:v>865442.8699999998</x:v>
      </x:c>
      <x:c r="N1596" s="33" t="n">
        <x:v>86.54428699999998</x:v>
      </x:c>
      <x:c r="O1596" s="22" t="str">
        <x:v>公顷</x:v>
      </x:c>
      <x:c r="P1596" s="22" t="str">
        <x:v>未提供（单期横截面）</x:v>
      </x:c>
      <x:c r="Q1596" s="23" t="n">
        <x:v>4575</x:v>
      </x:c>
    </x:row>
    <x:row r="1597">
      <x:c r="A1597" s="30" t="n">
        <x:v>350500</x:v>
      </x:c>
      <x:c r="B1597" s="22" t="str">
        <x:v>泉州市</x:v>
      </x:c>
      <x:c r="C1597" s="31" t="n">
        <x:v>350581</x:v>
      </x:c>
      <x:c r="D1597" s="22" t="str">
        <x:v>石狮市</x:v>
      </x:c>
      <x:c r="E1597" s="22" t="str">
        <x:v>农用地</x:v>
      </x:c>
      <x:c r="F1597" s="22" t="str">
        <x:v>其他农用地</x:v>
      </x:c>
      <x:c r="G1597" s="32" t="str">
        <x:v>1202</x:v>
      </x:c>
      <x:c r="H1597" s="32" t="str">
        <x:v>1202</x:v>
      </x:c>
      <x:c r="I1597" s="22" t="str">
        <x:v>设施农用地</x:v>
      </x:c>
      <x:c r="J1597" s="22" t="str">
        <x:v>农业生态</x:v>
      </x:c>
      <x:c r="K1597" s="32" t="str"/>
      <x:c r="L1597" s="22" t="str">
        <x:v>不适用/未标注</x:v>
      </x:c>
      <x:c r="M1597" s="33" t="n">
        <x:v>756979.1700000004</x:v>
      </x:c>
      <x:c r="N1597" s="33" t="n">
        <x:v>75.69791700000003</x:v>
      </x:c>
      <x:c r="O1597" s="22" t="str">
        <x:v>公顷</x:v>
      </x:c>
      <x:c r="P1597" s="22" t="str">
        <x:v>未提供（单期横截面）</x:v>
      </x:c>
      <x:c r="Q1597" s="23" t="n">
        <x:v>4576</x:v>
      </x:c>
    </x:row>
    <x:row r="1598">
      <x:c r="A1598" s="30" t="n">
        <x:v>350500</x:v>
      </x:c>
      <x:c r="B1598" s="22" t="str">
        <x:v>泉州市</x:v>
      </x:c>
      <x:c r="C1598" s="31" t="n">
        <x:v>350581</x:v>
      </x:c>
      <x:c r="D1598" s="22" t="str">
        <x:v>石狮市</x:v>
      </x:c>
      <x:c r="E1598" s="22" t="str">
        <x:v>农用地</x:v>
      </x:c>
      <x:c r="F1598" s="22" t="str">
        <x:v>耕地</x:v>
      </x:c>
      <x:c r="G1598" s="32" t="str">
        <x:v>101</x:v>
      </x:c>
      <x:c r="H1598" s="32" t="str">
        <x:v>101</x:v>
      </x:c>
      <x:c r="I1598" s="22" t="str">
        <x:v>水田</x:v>
      </x:c>
      <x:c r="J1598" s="22" t="str">
        <x:v>农业生态</x:v>
      </x:c>
      <x:c r="K1598" s="32" t="str">
        <x:v>201</x:v>
      </x:c>
      <x:c r="L1598" s="22" t="str">
        <x:v>城市范围</x:v>
      </x:c>
      <x:c r="M1598" s="33" t="n">
        <x:v>11395.849999999999</x:v>
      </x:c>
      <x:c r="N1598" s="33" t="n">
        <x:v>1.1395849999999998</x:v>
      </x:c>
      <x:c r="O1598" s="22" t="str">
        <x:v>公顷</x:v>
      </x:c>
      <x:c r="P1598" s="22" t="str">
        <x:v>未提供（单期横截面）</x:v>
      </x:c>
      <x:c r="Q1598" s="23" t="n">
        <x:v>4577</x:v>
      </x:c>
    </x:row>
    <x:row r="1599">
      <x:c r="A1599" s="30" t="n">
        <x:v>350500</x:v>
      </x:c>
      <x:c r="B1599" s="22" t="str">
        <x:v>泉州市</x:v>
      </x:c>
      <x:c r="C1599" s="31" t="n">
        <x:v>350581</x:v>
      </x:c>
      <x:c r="D1599" s="22" t="str">
        <x:v>石狮市</x:v>
      </x:c>
      <x:c r="E1599" s="22" t="str">
        <x:v>农用地</x:v>
      </x:c>
      <x:c r="F1599" s="22" t="str">
        <x:v>耕地</x:v>
      </x:c>
      <x:c r="G1599" s="32" t="str">
        <x:v>102</x:v>
      </x:c>
      <x:c r="H1599" s="32" t="str">
        <x:v>102</x:v>
      </x:c>
      <x:c r="I1599" s="22" t="str">
        <x:v>水浇地</x:v>
      </x:c>
      <x:c r="J1599" s="22" t="str">
        <x:v>农业生态</x:v>
      </x:c>
      <x:c r="K1599" s="32" t="str">
        <x:v>201</x:v>
      </x:c>
      <x:c r="L1599" s="22" t="str">
        <x:v>城市范围</x:v>
      </x:c>
      <x:c r="M1599" s="33" t="n">
        <x:v>164642.08999999997</x:v>
      </x:c>
      <x:c r="N1599" s="33" t="n">
        <x:v>16.464208999999997</x:v>
      </x:c>
      <x:c r="O1599" s="22" t="str">
        <x:v>公顷</x:v>
      </x:c>
      <x:c r="P1599" s="22" t="str">
        <x:v>未提供（单期横截面）</x:v>
      </x:c>
      <x:c r="Q1599" s="23" t="n">
        <x:v>4578</x:v>
      </x:c>
    </x:row>
    <x:row r="1600">
      <x:c r="A1600" s="30" t="n">
        <x:v>350500</x:v>
      </x:c>
      <x:c r="B1600" s="22" t="str">
        <x:v>泉州市</x:v>
      </x:c>
      <x:c r="C1600" s="31" t="n">
        <x:v>350581</x:v>
      </x:c>
      <x:c r="D1600" s="22" t="str">
        <x:v>石狮市</x:v>
      </x:c>
      <x:c r="E1600" s="22" t="str">
        <x:v>农用地</x:v>
      </x:c>
      <x:c r="F1600" s="22" t="str">
        <x:v>耕地</x:v>
      </x:c>
      <x:c r="G1600" s="32" t="str">
        <x:v>103</x:v>
      </x:c>
      <x:c r="H1600" s="32" t="str">
        <x:v>103</x:v>
      </x:c>
      <x:c r="I1600" s="22" t="str">
        <x:v>旱地</x:v>
      </x:c>
      <x:c r="J1600" s="22" t="str">
        <x:v>农业生态</x:v>
      </x:c>
      <x:c r="K1600" s="32" t="str">
        <x:v>201</x:v>
      </x:c>
      <x:c r="L1600" s="22" t="str">
        <x:v>城市范围</x:v>
      </x:c>
      <x:c r="M1600" s="33" t="n">
        <x:v>35735.719999999994</x:v>
      </x:c>
      <x:c r="N1600" s="33" t="n">
        <x:v>3.5735719999999995</x:v>
      </x:c>
      <x:c r="O1600" s="22" t="str">
        <x:v>公顷</x:v>
      </x:c>
      <x:c r="P1600" s="22" t="str">
        <x:v>未提供（单期横截面）</x:v>
      </x:c>
      <x:c r="Q1600" s="23" t="n">
        <x:v>4579</x:v>
      </x:c>
    </x:row>
    <x:row r="1601">
      <x:c r="A1601" s="30" t="n">
        <x:v>350500</x:v>
      </x:c>
      <x:c r="B1601" s="22" t="str">
        <x:v>泉州市</x:v>
      </x:c>
      <x:c r="C1601" s="31" t="n">
        <x:v>350581</x:v>
      </x:c>
      <x:c r="D1601" s="22" t="str">
        <x:v>石狮市</x:v>
      </x:c>
      <x:c r="E1601" s="22" t="str">
        <x:v>农用地</x:v>
      </x:c>
      <x:c r="F1601" s="22" t="str">
        <x:v>园地</x:v>
      </x:c>
      <x:c r="G1601" s="32" t="str">
        <x:v>201</x:v>
      </x:c>
      <x:c r="H1601" s="32" t="str">
        <x:v>201</x:v>
      </x:c>
      <x:c r="I1601" s="22" t="str">
        <x:v>果园</x:v>
      </x:c>
      <x:c r="J1601" s="22" t="str">
        <x:v>农业生态</x:v>
      </x:c>
      <x:c r="K1601" s="32" t="str">
        <x:v>201</x:v>
      </x:c>
      <x:c r="L1601" s="22" t="str">
        <x:v>城市范围</x:v>
      </x:c>
      <x:c r="M1601" s="33" t="n">
        <x:v>5326.27</x:v>
      </x:c>
      <x:c r="N1601" s="33" t="n">
        <x:v>0.5326270000000001</x:v>
      </x:c>
      <x:c r="O1601" s="22" t="str">
        <x:v>公顷</x:v>
      </x:c>
      <x:c r="P1601" s="22" t="str">
        <x:v>未提供（单期横截面）</x:v>
      </x:c>
      <x:c r="Q1601" s="23" t="n">
        <x:v>4580</x:v>
      </x:c>
    </x:row>
    <x:row r="1602">
      <x:c r="A1602" s="30" t="n">
        <x:v>350500</x:v>
      </x:c>
      <x:c r="B1602" s="22" t="str">
        <x:v>泉州市</x:v>
      </x:c>
      <x:c r="C1602" s="31" t="n">
        <x:v>350581</x:v>
      </x:c>
      <x:c r="D1602" s="22" t="str">
        <x:v>石狮市</x:v>
      </x:c>
      <x:c r="E1602" s="22" t="str">
        <x:v>农用地</x:v>
      </x:c>
      <x:c r="F1602" s="22" t="str">
        <x:v>园地</x:v>
      </x:c>
      <x:c r="G1602" s="32" t="str">
        <x:v>204</x:v>
      </x:c>
      <x:c r="H1602" s="32" t="str">
        <x:v>204</x:v>
      </x:c>
      <x:c r="I1602" s="22" t="str">
        <x:v>其他园地</x:v>
      </x:c>
      <x:c r="J1602" s="22" t="str">
        <x:v>农业生态</x:v>
      </x:c>
      <x:c r="K1602" s="32" t="str">
        <x:v>201</x:v>
      </x:c>
      <x:c r="L1602" s="22" t="str">
        <x:v>城市范围</x:v>
      </x:c>
      <x:c r="M1602" s="33" t="n">
        <x:v>2476.34</x:v>
      </x:c>
      <x:c r="N1602" s="33" t="n">
        <x:v>0.24763400000000002</x:v>
      </x:c>
      <x:c r="O1602" s="22" t="str">
        <x:v>公顷</x:v>
      </x:c>
      <x:c r="P1602" s="22" t="str">
        <x:v>未提供（单期横截面）</x:v>
      </x:c>
      <x:c r="Q1602" s="23" t="n">
        <x:v>4581</x:v>
      </x:c>
    </x:row>
    <x:row r="1603">
      <x:c r="A1603" s="30" t="n">
        <x:v>350500</x:v>
      </x:c>
      <x:c r="B1603" s="22" t="str">
        <x:v>泉州市</x:v>
      </x:c>
      <x:c r="C1603" s="31" t="n">
        <x:v>350581</x:v>
      </x:c>
      <x:c r="D1603" s="22" t="str">
        <x:v>石狮市</x:v>
      </x:c>
      <x:c r="E1603" s="22" t="str">
        <x:v>农用地</x:v>
      </x:c>
      <x:c r="F1603" s="22" t="str">
        <x:v>林地</x:v>
      </x:c>
      <x:c r="G1603" s="32" t="str">
        <x:v>301</x:v>
      </x:c>
      <x:c r="H1603" s="32" t="str">
        <x:v>301</x:v>
      </x:c>
      <x:c r="I1603" s="22" t="str">
        <x:v>乔木林地</x:v>
      </x:c>
      <x:c r="J1603" s="22" t="str">
        <x:v>农业生态</x:v>
      </x:c>
      <x:c r="K1603" s="32" t="str">
        <x:v>201</x:v>
      </x:c>
      <x:c r="L1603" s="22" t="str">
        <x:v>城市范围</x:v>
      </x:c>
      <x:c r="M1603" s="33" t="n">
        <x:v>90083.56999999999</x:v>
      </x:c>
      <x:c r="N1603" s="33" t="n">
        <x:v>9.008356999999998</x:v>
      </x:c>
      <x:c r="O1603" s="22" t="str">
        <x:v>公顷</x:v>
      </x:c>
      <x:c r="P1603" s="22" t="str">
        <x:v>未提供（单期横截面）</x:v>
      </x:c>
      <x:c r="Q1603" s="23" t="n">
        <x:v>4582</x:v>
      </x:c>
    </x:row>
    <x:row r="1604">
      <x:c r="A1604" s="30" t="n">
        <x:v>350500</x:v>
      </x:c>
      <x:c r="B1604" s="22" t="str">
        <x:v>泉州市</x:v>
      </x:c>
      <x:c r="C1604" s="31" t="n">
        <x:v>350581</x:v>
      </x:c>
      <x:c r="D1604" s="22" t="str">
        <x:v>石狮市</x:v>
      </x:c>
      <x:c r="E1604" s="22" t="str">
        <x:v>农用地</x:v>
      </x:c>
      <x:c r="F1604" s="22" t="str">
        <x:v>林地</x:v>
      </x:c>
      <x:c r="G1604" s="32" t="str">
        <x:v>305</x:v>
      </x:c>
      <x:c r="H1604" s="32" t="str">
        <x:v>305</x:v>
      </x:c>
      <x:c r="I1604" s="22" t="str">
        <x:v>灌木林地</x:v>
      </x:c>
      <x:c r="J1604" s="22" t="str">
        <x:v>农业生态</x:v>
      </x:c>
      <x:c r="K1604" s="32" t="str">
        <x:v>201</x:v>
      </x:c>
      <x:c r="L1604" s="22" t="str">
        <x:v>城市范围</x:v>
      </x:c>
      <x:c r="M1604" s="33" t="n">
        <x:v>14004.13</x:v>
      </x:c>
      <x:c r="N1604" s="33" t="n">
        <x:v>1.400413</x:v>
      </x:c>
      <x:c r="O1604" s="22" t="str">
        <x:v>公顷</x:v>
      </x:c>
      <x:c r="P1604" s="22" t="str">
        <x:v>未提供（单期横截面）</x:v>
      </x:c>
      <x:c r="Q1604" s="23" t="n">
        <x:v>4583</x:v>
      </x:c>
    </x:row>
    <x:row r="1605">
      <x:c r="A1605" s="30" t="n">
        <x:v>350500</x:v>
      </x:c>
      <x:c r="B1605" s="22" t="str">
        <x:v>泉州市</x:v>
      </x:c>
      <x:c r="C1605" s="31" t="n">
        <x:v>350581</x:v>
      </x:c>
      <x:c r="D1605" s="22" t="str">
        <x:v>石狮市</x:v>
      </x:c>
      <x:c r="E1605" s="22" t="str">
        <x:v>农用地</x:v>
      </x:c>
      <x:c r="F1605" s="22" t="str">
        <x:v>林地</x:v>
      </x:c>
      <x:c r="G1605" s="32" t="str">
        <x:v>307</x:v>
      </x:c>
      <x:c r="H1605" s="32" t="str">
        <x:v>307</x:v>
      </x:c>
      <x:c r="I1605" s="22" t="str">
        <x:v>其他林地</x:v>
      </x:c>
      <x:c r="J1605" s="22" t="str">
        <x:v>农业生态</x:v>
      </x:c>
      <x:c r="K1605" s="32" t="str">
        <x:v>201</x:v>
      </x:c>
      <x:c r="L1605" s="22" t="str">
        <x:v>城市范围</x:v>
      </x:c>
      <x:c r="M1605" s="33" t="n">
        <x:v>52157.649999999994</x:v>
      </x:c>
      <x:c r="N1605" s="33" t="n">
        <x:v>5.215764999999999</x:v>
      </x:c>
      <x:c r="O1605" s="22" t="str">
        <x:v>公顷</x:v>
      </x:c>
      <x:c r="P1605" s="22" t="str">
        <x:v>未提供（单期横截面）</x:v>
      </x:c>
      <x:c r="Q1605" s="23" t="n">
        <x:v>4584</x:v>
      </x:c>
    </x:row>
    <x:row r="1606">
      <x:c r="A1606" s="30" t="n">
        <x:v>350500</x:v>
      </x:c>
      <x:c r="B1606" s="22" t="str">
        <x:v>泉州市</x:v>
      </x:c>
      <x:c r="C1606" s="31" t="n">
        <x:v>350581</x:v>
      </x:c>
      <x:c r="D1606" s="22" t="str">
        <x:v>石狮市</x:v>
      </x:c>
      <x:c r="E1606" s="22" t="str">
        <x:v>农用地</x:v>
      </x:c>
      <x:c r="F1606" s="22" t="str">
        <x:v>其他农用地</x:v>
      </x:c>
      <x:c r="G1606" s="32" t="str">
        <x:v>1006</x:v>
      </x:c>
      <x:c r="H1606" s="32" t="str">
        <x:v>1006</x:v>
      </x:c>
      <x:c r="I1606" s="22" t="str">
        <x:v>农村道路</x:v>
      </x:c>
      <x:c r="J1606" s="22" t="str">
        <x:v>农业生态</x:v>
      </x:c>
      <x:c r="K1606" s="32" t="str">
        <x:v>201</x:v>
      </x:c>
      <x:c r="L1606" s="22" t="str">
        <x:v>城市范围</x:v>
      </x:c>
      <x:c r="M1606" s="33" t="n">
        <x:v>488.85</x:v>
      </x:c>
      <x:c r="N1606" s="33" t="n">
        <x:v>0.048885000000000005</x:v>
      </x:c>
      <x:c r="O1606" s="22" t="str">
        <x:v>公顷</x:v>
      </x:c>
      <x:c r="P1606" s="22" t="str">
        <x:v>未提供（单期横截面）</x:v>
      </x:c>
      <x:c r="Q1606" s="23" t="n">
        <x:v>4585</x:v>
      </x:c>
    </x:row>
    <x:row r="1607">
      <x:c r="A1607" s="30" t="n">
        <x:v>350500</x:v>
      </x:c>
      <x:c r="B1607" s="22" t="str">
        <x:v>泉州市</x:v>
      </x:c>
      <x:c r="C1607" s="31" t="n">
        <x:v>350581</x:v>
      </x:c>
      <x:c r="D1607" s="22" t="str">
        <x:v>石狮市</x:v>
      </x:c>
      <x:c r="E1607" s="22" t="str">
        <x:v>农用地</x:v>
      </x:c>
      <x:c r="F1607" s="22" t="str">
        <x:v>水域及水利设施</x:v>
      </x:c>
      <x:c r="G1607" s="32" t="str">
        <x:v>1104</x:v>
      </x:c>
      <x:c r="H1607" s="32" t="str">
        <x:v>1104</x:v>
      </x:c>
      <x:c r="I1607" s="22" t="str">
        <x:v>坑塘水面</x:v>
      </x:c>
      <x:c r="J1607" s="22" t="str">
        <x:v>农业生态</x:v>
      </x:c>
      <x:c r="K1607" s="32" t="str">
        <x:v>201</x:v>
      </x:c>
      <x:c r="L1607" s="22" t="str">
        <x:v>城市范围</x:v>
      </x:c>
      <x:c r="M1607" s="33" t="n">
        <x:v>71952.31</x:v>
      </x:c>
      <x:c r="N1607" s="33" t="n">
        <x:v>7.195231</x:v>
      </x:c>
      <x:c r="O1607" s="22" t="str">
        <x:v>公顷</x:v>
      </x:c>
      <x:c r="P1607" s="22" t="str">
        <x:v>未提供（单期横截面）</x:v>
      </x:c>
      <x:c r="Q1607" s="23" t="n">
        <x:v>4586</x:v>
      </x:c>
    </x:row>
    <x:row r="1608">
      <x:c r="A1608" s="30" t="n">
        <x:v>350500</x:v>
      </x:c>
      <x:c r="B1608" s="22" t="str">
        <x:v>泉州市</x:v>
      </x:c>
      <x:c r="C1608" s="31" t="n">
        <x:v>350581</x:v>
      </x:c>
      <x:c r="D1608" s="22" t="str">
        <x:v>石狮市</x:v>
      </x:c>
      <x:c r="E1608" s="22" t="str">
        <x:v>农用地</x:v>
      </x:c>
      <x:c r="F1608" s="22" t="str">
        <x:v>水域及水利设施</x:v>
      </x:c>
      <x:c r="G1608" s="32" t="str">
        <x:v>1107</x:v>
      </x:c>
      <x:c r="H1608" s="32" t="str">
        <x:v>1107</x:v>
      </x:c>
      <x:c r="I1608" s="22" t="str">
        <x:v>沟渠</x:v>
      </x:c>
      <x:c r="J1608" s="22" t="str">
        <x:v>农业生态</x:v>
      </x:c>
      <x:c r="K1608" s="32" t="str">
        <x:v>201</x:v>
      </x:c>
      <x:c r="L1608" s="22" t="str">
        <x:v>城市范围</x:v>
      </x:c>
      <x:c r="M1608" s="33" t="n">
        <x:v>58644.689999999995</x:v>
      </x:c>
      <x:c r="N1608" s="33" t="n">
        <x:v>5.864469</x:v>
      </x:c>
      <x:c r="O1608" s="22" t="str">
        <x:v>公顷</x:v>
      </x:c>
      <x:c r="P1608" s="22" t="str">
        <x:v>未提供（单期横截面）</x:v>
      </x:c>
      <x:c r="Q1608" s="23" t="n">
        <x:v>4587</x:v>
      </x:c>
    </x:row>
    <x:row r="1609">
      <x:c r="A1609" s="30" t="n">
        <x:v>350500</x:v>
      </x:c>
      <x:c r="B1609" s="22" t="str">
        <x:v>泉州市</x:v>
      </x:c>
      <x:c r="C1609" s="31" t="n">
        <x:v>350581</x:v>
      </x:c>
      <x:c r="D1609" s="22" t="str">
        <x:v>石狮市</x:v>
      </x:c>
      <x:c r="E1609" s="22" t="str">
        <x:v>农用地</x:v>
      </x:c>
      <x:c r="F1609" s="22" t="str">
        <x:v>其他农用地</x:v>
      </x:c>
      <x:c r="G1609" s="32" t="str">
        <x:v>1202</x:v>
      </x:c>
      <x:c r="H1609" s="32" t="str">
        <x:v>1202</x:v>
      </x:c>
      <x:c r="I1609" s="22" t="str">
        <x:v>设施农用地</x:v>
      </x:c>
      <x:c r="J1609" s="22" t="str">
        <x:v>农业生态</x:v>
      </x:c>
      <x:c r="K1609" s="32" t="str">
        <x:v>201</x:v>
      </x:c>
      <x:c r="L1609" s="22" t="str">
        <x:v>城市范围</x:v>
      </x:c>
      <x:c r="M1609" s="33" t="n">
        <x:v>2820.07</x:v>
      </x:c>
      <x:c r="N1609" s="33" t="n">
        <x:v>0.282007</x:v>
      </x:c>
      <x:c r="O1609" s="22" t="str">
        <x:v>公顷</x:v>
      </x:c>
      <x:c r="P1609" s="22" t="str">
        <x:v>未提供（单期横截面）</x:v>
      </x:c>
      <x:c r="Q1609" s="23" t="n">
        <x:v>4588</x:v>
      </x:c>
    </x:row>
    <x:row r="1610">
      <x:c r="A1610" s="30" t="n">
        <x:v>350500</x:v>
      </x:c>
      <x:c r="B1610" s="22" t="str">
        <x:v>泉州市</x:v>
      </x:c>
      <x:c r="C1610" s="31" t="n">
        <x:v>350581</x:v>
      </x:c>
      <x:c r="D1610" s="22" t="str">
        <x:v>石狮市</x:v>
      </x:c>
      <x:c r="E1610" s="22" t="str">
        <x:v>农用地</x:v>
      </x:c>
      <x:c r="F1610" s="22" t="str">
        <x:v>耕地</x:v>
      </x:c>
      <x:c r="G1610" s="32" t="str">
        <x:v>101</x:v>
      </x:c>
      <x:c r="H1610" s="32" t="str">
        <x:v>101</x:v>
      </x:c>
      <x:c r="I1610" s="22" t="str">
        <x:v>水田</x:v>
      </x:c>
      <x:c r="J1610" s="22" t="str">
        <x:v>农业生态</x:v>
      </x:c>
      <x:c r="K1610" s="32" t="str">
        <x:v>202</x:v>
      </x:c>
      <x:c r="L1610" s="22" t="str">
        <x:v>建制镇范围</x:v>
      </x:c>
      <x:c r="M1610" s="33" t="n">
        <x:v>702.14</x:v>
      </x:c>
      <x:c r="N1610" s="33" t="n">
        <x:v>0.070214</x:v>
      </x:c>
      <x:c r="O1610" s="22" t="str">
        <x:v>公顷</x:v>
      </x:c>
      <x:c r="P1610" s="22" t="str">
        <x:v>未提供（单期横截面）</x:v>
      </x:c>
      <x:c r="Q1610" s="23" t="n">
        <x:v>4589</x:v>
      </x:c>
    </x:row>
    <x:row r="1611">
      <x:c r="A1611" s="30" t="n">
        <x:v>350500</x:v>
      </x:c>
      <x:c r="B1611" s="22" t="str">
        <x:v>泉州市</x:v>
      </x:c>
      <x:c r="C1611" s="31" t="n">
        <x:v>350581</x:v>
      </x:c>
      <x:c r="D1611" s="22" t="str">
        <x:v>石狮市</x:v>
      </x:c>
      <x:c r="E1611" s="22" t="str">
        <x:v>农用地</x:v>
      </x:c>
      <x:c r="F1611" s="22" t="str">
        <x:v>耕地</x:v>
      </x:c>
      <x:c r="G1611" s="32" t="str">
        <x:v>102</x:v>
      </x:c>
      <x:c r="H1611" s="32" t="str">
        <x:v>102</x:v>
      </x:c>
      <x:c r="I1611" s="22" t="str">
        <x:v>水浇地</x:v>
      </x:c>
      <x:c r="J1611" s="22" t="str">
        <x:v>农业生态</x:v>
      </x:c>
      <x:c r="K1611" s="32" t="str">
        <x:v>202</x:v>
      </x:c>
      <x:c r="L1611" s="22" t="str">
        <x:v>建制镇范围</x:v>
      </x:c>
      <x:c r="M1611" s="33" t="n">
        <x:v>102076.59999999999</x:v>
      </x:c>
      <x:c r="N1611" s="33" t="n">
        <x:v>10.207659999999999</x:v>
      </x:c>
      <x:c r="O1611" s="22" t="str">
        <x:v>公顷</x:v>
      </x:c>
      <x:c r="P1611" s="22" t="str">
        <x:v>未提供（单期横截面）</x:v>
      </x:c>
      <x:c r="Q1611" s="23" t="n">
        <x:v>4590</x:v>
      </x:c>
    </x:row>
    <x:row r="1612">
      <x:c r="A1612" s="30" t="n">
        <x:v>350500</x:v>
      </x:c>
      <x:c r="B1612" s="22" t="str">
        <x:v>泉州市</x:v>
      </x:c>
      <x:c r="C1612" s="31" t="n">
        <x:v>350581</x:v>
      </x:c>
      <x:c r="D1612" s="22" t="str">
        <x:v>石狮市</x:v>
      </x:c>
      <x:c r="E1612" s="22" t="str">
        <x:v>农用地</x:v>
      </x:c>
      <x:c r="F1612" s="22" t="str">
        <x:v>耕地</x:v>
      </x:c>
      <x:c r="G1612" s="32" t="str">
        <x:v>103</x:v>
      </x:c>
      <x:c r="H1612" s="32" t="str">
        <x:v>103</x:v>
      </x:c>
      <x:c r="I1612" s="22" t="str">
        <x:v>旱地</x:v>
      </x:c>
      <x:c r="J1612" s="22" t="str">
        <x:v>农业生态</x:v>
      </x:c>
      <x:c r="K1612" s="32" t="str">
        <x:v>202</x:v>
      </x:c>
      <x:c r="L1612" s="22" t="str">
        <x:v>建制镇范围</x:v>
      </x:c>
      <x:c r="M1612" s="33" t="n">
        <x:v>43417.88999999999</x:v>
      </x:c>
      <x:c r="N1612" s="33" t="n">
        <x:v>4.3417889999999995</x:v>
      </x:c>
      <x:c r="O1612" s="22" t="str">
        <x:v>公顷</x:v>
      </x:c>
      <x:c r="P1612" s="22" t="str">
        <x:v>未提供（单期横截面）</x:v>
      </x:c>
      <x:c r="Q1612" s="23" t="n">
        <x:v>4591</x:v>
      </x:c>
    </x:row>
    <x:row r="1613">
      <x:c r="A1613" s="30" t="n">
        <x:v>350500</x:v>
      </x:c>
      <x:c r="B1613" s="22" t="str">
        <x:v>泉州市</x:v>
      </x:c>
      <x:c r="C1613" s="31" t="n">
        <x:v>350581</x:v>
      </x:c>
      <x:c r="D1613" s="22" t="str">
        <x:v>石狮市</x:v>
      </x:c>
      <x:c r="E1613" s="22" t="str">
        <x:v>农用地</x:v>
      </x:c>
      <x:c r="F1613" s="22" t="str">
        <x:v>园地</x:v>
      </x:c>
      <x:c r="G1613" s="32" t="str">
        <x:v>201</x:v>
      </x:c>
      <x:c r="H1613" s="32" t="str">
        <x:v>201</x:v>
      </x:c>
      <x:c r="I1613" s="22" t="str">
        <x:v>果园</x:v>
      </x:c>
      <x:c r="J1613" s="22" t="str">
        <x:v>农业生态</x:v>
      </x:c>
      <x:c r="K1613" s="32" t="str">
        <x:v>202</x:v>
      </x:c>
      <x:c r="L1613" s="22" t="str">
        <x:v>建制镇范围</x:v>
      </x:c>
      <x:c r="M1613" s="33" t="n">
        <x:v>1468.92</x:v>
      </x:c>
      <x:c r="N1613" s="33" t="n">
        <x:v>0.146892</x:v>
      </x:c>
      <x:c r="O1613" s="22" t="str">
        <x:v>公顷</x:v>
      </x:c>
      <x:c r="P1613" s="22" t="str">
        <x:v>未提供（单期横截面）</x:v>
      </x:c>
      <x:c r="Q1613" s="23" t="n">
        <x:v>4592</x:v>
      </x:c>
    </x:row>
    <x:row r="1614">
      <x:c r="A1614" s="30" t="n">
        <x:v>350500</x:v>
      </x:c>
      <x:c r="B1614" s="22" t="str">
        <x:v>泉州市</x:v>
      </x:c>
      <x:c r="C1614" s="31" t="n">
        <x:v>350581</x:v>
      </x:c>
      <x:c r="D1614" s="22" t="str">
        <x:v>石狮市</x:v>
      </x:c>
      <x:c r="E1614" s="22" t="str">
        <x:v>农用地</x:v>
      </x:c>
      <x:c r="F1614" s="22" t="str">
        <x:v>林地</x:v>
      </x:c>
      <x:c r="G1614" s="32" t="str">
        <x:v>301</x:v>
      </x:c>
      <x:c r="H1614" s="32" t="str">
        <x:v>301</x:v>
      </x:c>
      <x:c r="I1614" s="22" t="str">
        <x:v>乔木林地</x:v>
      </x:c>
      <x:c r="J1614" s="22" t="str">
        <x:v>农业生态</x:v>
      </x:c>
      <x:c r="K1614" s="32" t="str">
        <x:v>202</x:v>
      </x:c>
      <x:c r="L1614" s="22" t="str">
        <x:v>建制镇范围</x:v>
      </x:c>
      <x:c r="M1614" s="33" t="n">
        <x:v>118825.70999999999</x:v>
      </x:c>
      <x:c r="N1614" s="33" t="n">
        <x:v>11.882570999999999</x:v>
      </x:c>
      <x:c r="O1614" s="22" t="str">
        <x:v>公顷</x:v>
      </x:c>
      <x:c r="P1614" s="22" t="str">
        <x:v>未提供（单期横截面）</x:v>
      </x:c>
      <x:c r="Q1614" s="23" t="n">
        <x:v>4593</x:v>
      </x:c>
    </x:row>
    <x:row r="1615">
      <x:c r="A1615" s="30" t="n">
        <x:v>350500</x:v>
      </x:c>
      <x:c r="B1615" s="22" t="str">
        <x:v>泉州市</x:v>
      </x:c>
      <x:c r="C1615" s="31" t="n">
        <x:v>350581</x:v>
      </x:c>
      <x:c r="D1615" s="22" t="str">
        <x:v>石狮市</x:v>
      </x:c>
      <x:c r="E1615" s="22" t="str">
        <x:v>农用地</x:v>
      </x:c>
      <x:c r="F1615" s="22" t="str">
        <x:v>林地</x:v>
      </x:c>
      <x:c r="G1615" s="32" t="str">
        <x:v>305</x:v>
      </x:c>
      <x:c r="H1615" s="32" t="str">
        <x:v>305</x:v>
      </x:c>
      <x:c r="I1615" s="22" t="str">
        <x:v>灌木林地</x:v>
      </x:c>
      <x:c r="J1615" s="22" t="str">
        <x:v>农业生态</x:v>
      </x:c>
      <x:c r="K1615" s="32" t="str">
        <x:v>202</x:v>
      </x:c>
      <x:c r="L1615" s="22" t="str">
        <x:v>建制镇范围</x:v>
      </x:c>
      <x:c r="M1615" s="33" t="n">
        <x:v>3375.9399999999996</x:v>
      </x:c>
      <x:c r="N1615" s="33" t="n">
        <x:v>0.33759399999999995</x:v>
      </x:c>
      <x:c r="O1615" s="22" t="str">
        <x:v>公顷</x:v>
      </x:c>
      <x:c r="P1615" s="22" t="str">
        <x:v>未提供（单期横截面）</x:v>
      </x:c>
      <x:c r="Q1615" s="23" t="n">
        <x:v>4594</x:v>
      </x:c>
    </x:row>
    <x:row r="1616">
      <x:c r="A1616" s="30" t="n">
        <x:v>350500</x:v>
      </x:c>
      <x:c r="B1616" s="22" t="str">
        <x:v>泉州市</x:v>
      </x:c>
      <x:c r="C1616" s="31" t="n">
        <x:v>350581</x:v>
      </x:c>
      <x:c r="D1616" s="22" t="str">
        <x:v>石狮市</x:v>
      </x:c>
      <x:c r="E1616" s="22" t="str">
        <x:v>农用地</x:v>
      </x:c>
      <x:c r="F1616" s="22" t="str">
        <x:v>林地</x:v>
      </x:c>
      <x:c r="G1616" s="32" t="str">
        <x:v>307</x:v>
      </x:c>
      <x:c r="H1616" s="32" t="str">
        <x:v>307</x:v>
      </x:c>
      <x:c r="I1616" s="22" t="str">
        <x:v>其他林地</x:v>
      </x:c>
      <x:c r="J1616" s="22" t="str">
        <x:v>农业生态</x:v>
      </x:c>
      <x:c r="K1616" s="32" t="str">
        <x:v>202</x:v>
      </x:c>
      <x:c r="L1616" s="22" t="str">
        <x:v>建制镇范围</x:v>
      </x:c>
      <x:c r="M1616" s="33" t="n">
        <x:v>6736.53</x:v>
      </x:c>
      <x:c r="N1616" s="33" t="n">
        <x:v>0.673653</x:v>
      </x:c>
      <x:c r="O1616" s="22" t="str">
        <x:v>公顷</x:v>
      </x:c>
      <x:c r="P1616" s="22" t="str">
        <x:v>未提供（单期横截面）</x:v>
      </x:c>
      <x:c r="Q1616" s="23" t="n">
        <x:v>4595</x:v>
      </x:c>
    </x:row>
    <x:row r="1617">
      <x:c r="A1617" s="30" t="n">
        <x:v>350500</x:v>
      </x:c>
      <x:c r="B1617" s="22" t="str">
        <x:v>泉州市</x:v>
      </x:c>
      <x:c r="C1617" s="31" t="n">
        <x:v>350581</x:v>
      </x:c>
      <x:c r="D1617" s="22" t="str">
        <x:v>石狮市</x:v>
      </x:c>
      <x:c r="E1617" s="22" t="str">
        <x:v>农用地</x:v>
      </x:c>
      <x:c r="F1617" s="22" t="str">
        <x:v>水域及水利设施</x:v>
      </x:c>
      <x:c r="G1617" s="32" t="str">
        <x:v>1104</x:v>
      </x:c>
      <x:c r="H1617" s="32" t="str">
        <x:v>1104</x:v>
      </x:c>
      <x:c r="I1617" s="22" t="str">
        <x:v>坑塘水面</x:v>
      </x:c>
      <x:c r="J1617" s="22" t="str">
        <x:v>农业生态</x:v>
      </x:c>
      <x:c r="K1617" s="32" t="str">
        <x:v>202</x:v>
      </x:c>
      <x:c r="L1617" s="22" t="str">
        <x:v>建制镇范围</x:v>
      </x:c>
      <x:c r="M1617" s="33" t="n">
        <x:v>17165.559999999998</x:v>
      </x:c>
      <x:c r="N1617" s="33" t="n">
        <x:v>1.7165559999999997</x:v>
      </x:c>
      <x:c r="O1617" s="22" t="str">
        <x:v>公顷</x:v>
      </x:c>
      <x:c r="P1617" s="22" t="str">
        <x:v>未提供（单期横截面）</x:v>
      </x:c>
      <x:c r="Q1617" s="23" t="n">
        <x:v>4596</x:v>
      </x:c>
    </x:row>
    <x:row r="1618">
      <x:c r="A1618" s="30" t="n">
        <x:v>350500</x:v>
      </x:c>
      <x:c r="B1618" s="22" t="str">
        <x:v>泉州市</x:v>
      </x:c>
      <x:c r="C1618" s="31" t="n">
        <x:v>350581</x:v>
      </x:c>
      <x:c r="D1618" s="22" t="str">
        <x:v>石狮市</x:v>
      </x:c>
      <x:c r="E1618" s="22" t="str">
        <x:v>农用地</x:v>
      </x:c>
      <x:c r="F1618" s="22" t="str">
        <x:v>水域及水利设施</x:v>
      </x:c>
      <x:c r="G1618" s="32" t="str">
        <x:v>1107</x:v>
      </x:c>
      <x:c r="H1618" s="32" t="str">
        <x:v>1107</x:v>
      </x:c>
      <x:c r="I1618" s="22" t="str">
        <x:v>沟渠</x:v>
      </x:c>
      <x:c r="J1618" s="22" t="str">
        <x:v>农业生态</x:v>
      </x:c>
      <x:c r="K1618" s="32" t="str">
        <x:v>202</x:v>
      </x:c>
      <x:c r="L1618" s="22" t="str">
        <x:v>建制镇范围</x:v>
      </x:c>
      <x:c r="M1618" s="33" t="n">
        <x:v>10766.88</x:v>
      </x:c>
      <x:c r="N1618" s="33" t="n">
        <x:v>1.0766879999999999</x:v>
      </x:c>
      <x:c r="O1618" s="22" t="str">
        <x:v>公顷</x:v>
      </x:c>
      <x:c r="P1618" s="22" t="str">
        <x:v>未提供（单期横截面）</x:v>
      </x:c>
      <x:c r="Q1618" s="23" t="n">
        <x:v>4597</x:v>
      </x:c>
    </x:row>
    <x:row r="1619">
      <x:c r="A1619" s="30" t="n">
        <x:v>350500</x:v>
      </x:c>
      <x:c r="B1619" s="22" t="str">
        <x:v>泉州市</x:v>
      </x:c>
      <x:c r="C1619" s="31" t="n">
        <x:v>350581</x:v>
      </x:c>
      <x:c r="D1619" s="22" t="str">
        <x:v>石狮市</x:v>
      </x:c>
      <x:c r="E1619" s="22" t="str">
        <x:v>农用地</x:v>
      </x:c>
      <x:c r="F1619" s="22" t="str">
        <x:v>其他农用地</x:v>
      </x:c>
      <x:c r="G1619" s="32" t="str">
        <x:v>1202</x:v>
      </x:c>
      <x:c r="H1619" s="32" t="str">
        <x:v>1202</x:v>
      </x:c>
      <x:c r="I1619" s="22" t="str">
        <x:v>设施农用地</x:v>
      </x:c>
      <x:c r="J1619" s="22" t="str">
        <x:v>农业生态</x:v>
      </x:c>
      <x:c r="K1619" s="32" t="str">
        <x:v>202</x:v>
      </x:c>
      <x:c r="L1619" s="22" t="str">
        <x:v>建制镇范围</x:v>
      </x:c>
      <x:c r="M1619" s="33" t="n">
        <x:v>2853.9</x:v>
      </x:c>
      <x:c r="N1619" s="33" t="n">
        <x:v>0.28539000000000003</x:v>
      </x:c>
      <x:c r="O1619" s="22" t="str">
        <x:v>公顷</x:v>
      </x:c>
      <x:c r="P1619" s="22" t="str">
        <x:v>未提供（单期横截面）</x:v>
      </x:c>
      <x:c r="Q1619" s="23" t="n">
        <x:v>4598</x:v>
      </x:c>
    </x:row>
    <x:row r="1620">
      <x:c r="A1620" s="30" t="n">
        <x:v>350500</x:v>
      </x:c>
      <x:c r="B1620" s="22" t="str">
        <x:v>泉州市</x:v>
      </x:c>
      <x:c r="C1620" s="31" t="n">
        <x:v>350581</x:v>
      </x:c>
      <x:c r="D1620" s="22" t="str">
        <x:v>石狮市</x:v>
      </x:c>
      <x:c r="E1620" s="22" t="str">
        <x:v>农用地</x:v>
      </x:c>
      <x:c r="F1620" s="22" t="str">
        <x:v>耕地</x:v>
      </x:c>
      <x:c r="G1620" s="32" t="str">
        <x:v>101</x:v>
      </x:c>
      <x:c r="H1620" s="32" t="str">
        <x:v>101</x:v>
      </x:c>
      <x:c r="I1620" s="22" t="str">
        <x:v>水田</x:v>
      </x:c>
      <x:c r="J1620" s="22" t="str">
        <x:v>农业生态</x:v>
      </x:c>
      <x:c r="K1620" s="32" t="str">
        <x:v>203</x:v>
      </x:c>
      <x:c r="L1620" s="22" t="str">
        <x:v>村庄范围</x:v>
      </x:c>
      <x:c r="M1620" s="33" t="n">
        <x:v>4914.3</x:v>
      </x:c>
      <x:c r="N1620" s="33" t="n">
        <x:v>0.49143000000000003</x:v>
      </x:c>
      <x:c r="O1620" s="22" t="str">
        <x:v>公顷</x:v>
      </x:c>
      <x:c r="P1620" s="22" t="str">
        <x:v>未提供（单期横截面）</x:v>
      </x:c>
      <x:c r="Q1620" s="23" t="n">
        <x:v>4599</x:v>
      </x:c>
    </x:row>
    <x:row r="1621">
      <x:c r="A1621" s="30" t="n">
        <x:v>350500</x:v>
      </x:c>
      <x:c r="B1621" s="22" t="str">
        <x:v>泉州市</x:v>
      </x:c>
      <x:c r="C1621" s="31" t="n">
        <x:v>350581</x:v>
      </x:c>
      <x:c r="D1621" s="22" t="str">
        <x:v>石狮市</x:v>
      </x:c>
      <x:c r="E1621" s="22" t="str">
        <x:v>农用地</x:v>
      </x:c>
      <x:c r="F1621" s="22" t="str">
        <x:v>耕地</x:v>
      </x:c>
      <x:c r="G1621" s="32" t="str">
        <x:v>102</x:v>
      </x:c>
      <x:c r="H1621" s="32" t="str">
        <x:v>102</x:v>
      </x:c>
      <x:c r="I1621" s="22" t="str">
        <x:v>水浇地</x:v>
      </x:c>
      <x:c r="J1621" s="22" t="str">
        <x:v>农业生态</x:v>
      </x:c>
      <x:c r="K1621" s="32" t="str">
        <x:v>203</x:v>
      </x:c>
      <x:c r="L1621" s="22" t="str">
        <x:v>村庄范围</x:v>
      </x:c>
      <x:c r="M1621" s="33" t="n">
        <x:v>67477.34000000001</x:v>
      </x:c>
      <x:c r="N1621" s="33" t="n">
        <x:v>6.747734000000001</x:v>
      </x:c>
      <x:c r="O1621" s="22" t="str">
        <x:v>公顷</x:v>
      </x:c>
      <x:c r="P1621" s="22" t="str">
        <x:v>未提供（单期横截面）</x:v>
      </x:c>
      <x:c r="Q1621" s="23" t="n">
        <x:v>4600</x:v>
      </x:c>
    </x:row>
    <x:row r="1622">
      <x:c r="A1622" s="30" t="n">
        <x:v>350500</x:v>
      </x:c>
      <x:c r="B1622" s="22" t="str">
        <x:v>泉州市</x:v>
      </x:c>
      <x:c r="C1622" s="31" t="n">
        <x:v>350581</x:v>
      </x:c>
      <x:c r="D1622" s="22" t="str">
        <x:v>石狮市</x:v>
      </x:c>
      <x:c r="E1622" s="22" t="str">
        <x:v>农用地</x:v>
      </x:c>
      <x:c r="F1622" s="22" t="str">
        <x:v>耕地</x:v>
      </x:c>
      <x:c r="G1622" s="32" t="str">
        <x:v>103</x:v>
      </x:c>
      <x:c r="H1622" s="32" t="str">
        <x:v>103</x:v>
      </x:c>
      <x:c r="I1622" s="22" t="str">
        <x:v>旱地</x:v>
      </x:c>
      <x:c r="J1622" s="22" t="str">
        <x:v>农业生态</x:v>
      </x:c>
      <x:c r="K1622" s="32" t="str">
        <x:v>203</x:v>
      </x:c>
      <x:c r="L1622" s="22" t="str">
        <x:v>村庄范围</x:v>
      </x:c>
      <x:c r="M1622" s="33" t="n">
        <x:v>19430.480000000003</x:v>
      </x:c>
      <x:c r="N1622" s="33" t="n">
        <x:v>1.9430480000000003</x:v>
      </x:c>
      <x:c r="O1622" s="22" t="str">
        <x:v>公顷</x:v>
      </x:c>
      <x:c r="P1622" s="22" t="str">
        <x:v>未提供（单期横截面）</x:v>
      </x:c>
      <x:c r="Q1622" s="23" t="n">
        <x:v>4601</x:v>
      </x:c>
    </x:row>
    <x:row r="1623">
      <x:c r="A1623" s="30" t="n">
        <x:v>350500</x:v>
      </x:c>
      <x:c r="B1623" s="22" t="str">
        <x:v>泉州市</x:v>
      </x:c>
      <x:c r="C1623" s="31" t="n">
        <x:v>350581</x:v>
      </x:c>
      <x:c r="D1623" s="22" t="str">
        <x:v>石狮市</x:v>
      </x:c>
      <x:c r="E1623" s="22" t="str">
        <x:v>农用地</x:v>
      </x:c>
      <x:c r="F1623" s="22" t="str">
        <x:v>园地</x:v>
      </x:c>
      <x:c r="G1623" s="32" t="str">
        <x:v>201</x:v>
      </x:c>
      <x:c r="H1623" s="32" t="str">
        <x:v>201</x:v>
      </x:c>
      <x:c r="I1623" s="22" t="str">
        <x:v>果园</x:v>
      </x:c>
      <x:c r="J1623" s="22" t="str">
        <x:v>农业生态</x:v>
      </x:c>
      <x:c r="K1623" s="32" t="str">
        <x:v>203</x:v>
      </x:c>
      <x:c r="L1623" s="22" t="str">
        <x:v>村庄范围</x:v>
      </x:c>
      <x:c r="M1623" s="33" t="n">
        <x:v>3594.45</x:v>
      </x:c>
      <x:c r="N1623" s="33" t="n">
        <x:v>0.35944499999999996</x:v>
      </x:c>
      <x:c r="O1623" s="22" t="str">
        <x:v>公顷</x:v>
      </x:c>
      <x:c r="P1623" s="22" t="str">
        <x:v>未提供（单期横截面）</x:v>
      </x:c>
      <x:c r="Q1623" s="23" t="n">
        <x:v>4602</x:v>
      </x:c>
    </x:row>
    <x:row r="1624">
      <x:c r="A1624" s="30" t="n">
        <x:v>350500</x:v>
      </x:c>
      <x:c r="B1624" s="22" t="str">
        <x:v>泉州市</x:v>
      </x:c>
      <x:c r="C1624" s="31" t="n">
        <x:v>350581</x:v>
      </x:c>
      <x:c r="D1624" s="22" t="str">
        <x:v>石狮市</x:v>
      </x:c>
      <x:c r="E1624" s="22" t="str">
        <x:v>农用地</x:v>
      </x:c>
      <x:c r="F1624" s="22" t="str">
        <x:v>林地</x:v>
      </x:c>
      <x:c r="G1624" s="32" t="str">
        <x:v>301</x:v>
      </x:c>
      <x:c r="H1624" s="32" t="str">
        <x:v>301</x:v>
      </x:c>
      <x:c r="I1624" s="22" t="str">
        <x:v>乔木林地</x:v>
      </x:c>
      <x:c r="J1624" s="22" t="str">
        <x:v>农业生态</x:v>
      </x:c>
      <x:c r="K1624" s="32" t="str">
        <x:v>203</x:v>
      </x:c>
      <x:c r="L1624" s="22" t="str">
        <x:v>村庄范围</x:v>
      </x:c>
      <x:c r="M1624" s="33" t="n">
        <x:v>159107.97000000003</x:v>
      </x:c>
      <x:c r="N1624" s="33" t="n">
        <x:v>15.910797000000002</x:v>
      </x:c>
      <x:c r="O1624" s="22" t="str">
        <x:v>公顷</x:v>
      </x:c>
      <x:c r="P1624" s="22" t="str">
        <x:v>未提供（单期横截面）</x:v>
      </x:c>
      <x:c r="Q1624" s="23" t="n">
        <x:v>4603</x:v>
      </x:c>
    </x:row>
    <x:row r="1625">
      <x:c r="A1625" s="30" t="n">
        <x:v>350500</x:v>
      </x:c>
      <x:c r="B1625" s="22" t="str">
        <x:v>泉州市</x:v>
      </x:c>
      <x:c r="C1625" s="31" t="n">
        <x:v>350581</x:v>
      </x:c>
      <x:c r="D1625" s="22" t="str">
        <x:v>石狮市</x:v>
      </x:c>
      <x:c r="E1625" s="22" t="str">
        <x:v>农用地</x:v>
      </x:c>
      <x:c r="F1625" s="22" t="str">
        <x:v>林地</x:v>
      </x:c>
      <x:c r="G1625" s="32" t="str">
        <x:v>305</x:v>
      </x:c>
      <x:c r="H1625" s="32" t="str">
        <x:v>305</x:v>
      </x:c>
      <x:c r="I1625" s="22" t="str">
        <x:v>灌木林地</x:v>
      </x:c>
      <x:c r="J1625" s="22" t="str">
        <x:v>农业生态</x:v>
      </x:c>
      <x:c r="K1625" s="32" t="str">
        <x:v>203</x:v>
      </x:c>
      <x:c r="L1625" s="22" t="str">
        <x:v>村庄范围</x:v>
      </x:c>
      <x:c r="M1625" s="33" t="n">
        <x:v>2180.92</x:v>
      </x:c>
      <x:c r="N1625" s="33" t="n">
        <x:v>0.218092</x:v>
      </x:c>
      <x:c r="O1625" s="22" t="str">
        <x:v>公顷</x:v>
      </x:c>
      <x:c r="P1625" s="22" t="str">
        <x:v>未提供（单期横截面）</x:v>
      </x:c>
      <x:c r="Q1625" s="23" t="n">
        <x:v>4604</x:v>
      </x:c>
    </x:row>
    <x:row r="1626">
      <x:c r="A1626" s="30" t="n">
        <x:v>350500</x:v>
      </x:c>
      <x:c r="B1626" s="22" t="str">
        <x:v>泉州市</x:v>
      </x:c>
      <x:c r="C1626" s="31" t="n">
        <x:v>350581</x:v>
      </x:c>
      <x:c r="D1626" s="22" t="str">
        <x:v>石狮市</x:v>
      </x:c>
      <x:c r="E1626" s="22" t="str">
        <x:v>农用地</x:v>
      </x:c>
      <x:c r="F1626" s="22" t="str">
        <x:v>林地</x:v>
      </x:c>
      <x:c r="G1626" s="32" t="str">
        <x:v>307</x:v>
      </x:c>
      <x:c r="H1626" s="32" t="str">
        <x:v>307</x:v>
      </x:c>
      <x:c r="I1626" s="22" t="str">
        <x:v>其他林地</x:v>
      </x:c>
      <x:c r="J1626" s="22" t="str">
        <x:v>农业生态</x:v>
      </x:c>
      <x:c r="K1626" s="32" t="str">
        <x:v>203</x:v>
      </x:c>
      <x:c r="L1626" s="22" t="str">
        <x:v>村庄范围</x:v>
      </x:c>
      <x:c r="M1626" s="33" t="n">
        <x:v>48001.130000000005</x:v>
      </x:c>
      <x:c r="N1626" s="33" t="n">
        <x:v>4.8001130000000005</x:v>
      </x:c>
      <x:c r="O1626" s="22" t="str">
        <x:v>公顷</x:v>
      </x:c>
      <x:c r="P1626" s="22" t="str">
        <x:v>未提供（单期横截面）</x:v>
      </x:c>
      <x:c r="Q1626" s="23" t="n">
        <x:v>4605</x:v>
      </x:c>
    </x:row>
    <x:row r="1627">
      <x:c r="A1627" s="30" t="n">
        <x:v>350500</x:v>
      </x:c>
      <x:c r="B1627" s="22" t="str">
        <x:v>泉州市</x:v>
      </x:c>
      <x:c r="C1627" s="31" t="n">
        <x:v>350581</x:v>
      </x:c>
      <x:c r="D1627" s="22" t="str">
        <x:v>石狮市</x:v>
      </x:c>
      <x:c r="E1627" s="22" t="str">
        <x:v>农用地</x:v>
      </x:c>
      <x:c r="F1627" s="22" t="str">
        <x:v>其他农用地</x:v>
      </x:c>
      <x:c r="G1627" s="32" t="str">
        <x:v>1006</x:v>
      </x:c>
      <x:c r="H1627" s="32" t="str">
        <x:v>1006</x:v>
      </x:c>
      <x:c r="I1627" s="22" t="str">
        <x:v>农村道路</x:v>
      </x:c>
      <x:c r="J1627" s="22" t="str">
        <x:v>农业生态</x:v>
      </x:c>
      <x:c r="K1627" s="32" t="str">
        <x:v>203</x:v>
      </x:c>
      <x:c r="L1627" s="22" t="str">
        <x:v>村庄范围</x:v>
      </x:c>
      <x:c r="M1627" s="33" t="n">
        <x:v>1423.08</x:v>
      </x:c>
      <x:c r="N1627" s="33" t="n">
        <x:v>0.142308</x:v>
      </x:c>
      <x:c r="O1627" s="22" t="str">
        <x:v>公顷</x:v>
      </x:c>
      <x:c r="P1627" s="22" t="str">
        <x:v>未提供（单期横截面）</x:v>
      </x:c>
      <x:c r="Q1627" s="23" t="n">
        <x:v>4606</x:v>
      </x:c>
    </x:row>
    <x:row r="1628">
      <x:c r="A1628" s="30" t="n">
        <x:v>350500</x:v>
      </x:c>
      <x:c r="B1628" s="22" t="str">
        <x:v>泉州市</x:v>
      </x:c>
      <x:c r="C1628" s="31" t="n">
        <x:v>350581</x:v>
      </x:c>
      <x:c r="D1628" s="22" t="str">
        <x:v>石狮市</x:v>
      </x:c>
      <x:c r="E1628" s="22" t="str">
        <x:v>农用地</x:v>
      </x:c>
      <x:c r="F1628" s="22" t="str">
        <x:v>水域及水利设施</x:v>
      </x:c>
      <x:c r="G1628" s="32" t="str">
        <x:v>1104</x:v>
      </x:c>
      <x:c r="H1628" s="32" t="str">
        <x:v>1104</x:v>
      </x:c>
      <x:c r="I1628" s="22" t="str">
        <x:v>坑塘水面</x:v>
      </x:c>
      <x:c r="J1628" s="22" t="str">
        <x:v>农业生态</x:v>
      </x:c>
      <x:c r="K1628" s="32" t="str">
        <x:v>203</x:v>
      </x:c>
      <x:c r="L1628" s="22" t="str">
        <x:v>村庄范围</x:v>
      </x:c>
      <x:c r="M1628" s="33" t="n">
        <x:v>53625.520000000004</x:v>
      </x:c>
      <x:c r="N1628" s="33" t="n">
        <x:v>5.362552</x:v>
      </x:c>
      <x:c r="O1628" s="22" t="str">
        <x:v>公顷</x:v>
      </x:c>
      <x:c r="P1628" s="22" t="str">
        <x:v>未提供（单期横截面）</x:v>
      </x:c>
      <x:c r="Q1628" s="23" t="n">
        <x:v>4607</x:v>
      </x:c>
    </x:row>
    <x:row r="1629">
      <x:c r="A1629" s="30" t="n">
        <x:v>350500</x:v>
      </x:c>
      <x:c r="B1629" s="22" t="str">
        <x:v>泉州市</x:v>
      </x:c>
      <x:c r="C1629" s="31" t="n">
        <x:v>350581</x:v>
      </x:c>
      <x:c r="D1629" s="22" t="str">
        <x:v>石狮市</x:v>
      </x:c>
      <x:c r="E1629" s="22" t="str">
        <x:v>农用地</x:v>
      </x:c>
      <x:c r="F1629" s="22" t="str">
        <x:v>水域及水利设施</x:v>
      </x:c>
      <x:c r="G1629" s="32" t="str">
        <x:v>1107</x:v>
      </x:c>
      <x:c r="H1629" s="32" t="str">
        <x:v>1107</x:v>
      </x:c>
      <x:c r="I1629" s="22" t="str">
        <x:v>沟渠</x:v>
      </x:c>
      <x:c r="J1629" s="22" t="str">
        <x:v>农业生态</x:v>
      </x:c>
      <x:c r="K1629" s="32" t="str">
        <x:v>203</x:v>
      </x:c>
      <x:c r="L1629" s="22" t="str">
        <x:v>村庄范围</x:v>
      </x:c>
      <x:c r="M1629" s="33" t="n">
        <x:v>5716.98</x:v>
      </x:c>
      <x:c r="N1629" s="33" t="n">
        <x:v>0.5716979999999999</x:v>
      </x:c>
      <x:c r="O1629" s="22" t="str">
        <x:v>公顷</x:v>
      </x:c>
      <x:c r="P1629" s="22" t="str">
        <x:v>未提供（单期横截面）</x:v>
      </x:c>
      <x:c r="Q1629" s="23" t="n">
        <x:v>4608</x:v>
      </x:c>
    </x:row>
    <x:row r="1630">
      <x:c r="A1630" s="30" t="n">
        <x:v>350500</x:v>
      </x:c>
      <x:c r="B1630" s="22" t="str">
        <x:v>泉州市</x:v>
      </x:c>
      <x:c r="C1630" s="31" t="n">
        <x:v>350581</x:v>
      </x:c>
      <x:c r="D1630" s="22" t="str">
        <x:v>石狮市</x:v>
      </x:c>
      <x:c r="E1630" s="22" t="str">
        <x:v>农用地</x:v>
      </x:c>
      <x:c r="F1630" s="22" t="str">
        <x:v>其他农用地</x:v>
      </x:c>
      <x:c r="G1630" s="32" t="str">
        <x:v>1202</x:v>
      </x:c>
      <x:c r="H1630" s="32" t="str">
        <x:v>1202</x:v>
      </x:c>
      <x:c r="I1630" s="22" t="str">
        <x:v>设施农用地</x:v>
      </x:c>
      <x:c r="J1630" s="22" t="str">
        <x:v>农业生态</x:v>
      </x:c>
      <x:c r="K1630" s="32" t="str">
        <x:v>203</x:v>
      </x:c>
      <x:c r="L1630" s="22" t="str">
        <x:v>村庄范围</x:v>
      </x:c>
      <x:c r="M1630" s="33" t="n">
        <x:v>28665.13</x:v>
      </x:c>
      <x:c r="N1630" s="33" t="n">
        <x:v>2.8665130000000003</x:v>
      </x:c>
      <x:c r="O1630" s="22" t="str">
        <x:v>公顷</x:v>
      </x:c>
      <x:c r="P1630" s="22" t="str">
        <x:v>未提供（单期横截面）</x:v>
      </x:c>
      <x:c r="Q1630" s="23" t="n">
        <x:v>4609</x:v>
      </x:c>
    </x:row>
    <x:row r="1631">
      <x:c r="A1631" s="30" t="n">
        <x:v>350500</x:v>
      </x:c>
      <x:c r="B1631" s="22" t="str">
        <x:v>泉州市</x:v>
      </x:c>
      <x:c r="C1631" s="31" t="n">
        <x:v>350581</x:v>
      </x:c>
      <x:c r="D1631" s="22" t="str">
        <x:v>石狮市</x:v>
      </x:c>
      <x:c r="E1631" s="22" t="str">
        <x:v>未利用地</x:v>
      </x:c>
      <x:c r="F1631" s="22" t="str">
        <x:v>草地</x:v>
      </x:c>
      <x:c r="G1631" s="32" t="str">
        <x:v>404</x:v>
      </x:c>
      <x:c r="H1631" s="32" t="str">
        <x:v>404</x:v>
      </x:c>
      <x:c r="I1631" s="22" t="str">
        <x:v>其他草地</x:v>
      </x:c>
      <x:c r="J1631" s="22" t="str">
        <x:v>农业生态</x:v>
      </x:c>
      <x:c r="K1631" s="32" t="str"/>
      <x:c r="L1631" s="22" t="str">
        <x:v>不适用/未标注</x:v>
      </x:c>
      <x:c r="M1631" s="33" t="n">
        <x:v>5460488.6499999985</x:v>
      </x:c>
      <x:c r="N1631" s="33" t="n">
        <x:v>546.0488649999999</x:v>
      </x:c>
      <x:c r="O1631" s="22" t="str">
        <x:v>公顷</x:v>
      </x:c>
      <x:c r="P1631" s="22" t="str">
        <x:v>未提供（单期横截面）</x:v>
      </x:c>
      <x:c r="Q1631" s="23" t="n">
        <x:v>4610</x:v>
      </x:c>
    </x:row>
    <x:row r="1632">
      <x:c r="A1632" s="30" t="n">
        <x:v>350500</x:v>
      </x:c>
      <x:c r="B1632" s="22" t="str">
        <x:v>泉州市</x:v>
      </x:c>
      <x:c r="C1632" s="31" t="n">
        <x:v>350581</x:v>
      </x:c>
      <x:c r="D1632" s="22" t="str">
        <x:v>石狮市</x:v>
      </x:c>
      <x:c r="E1632" s="22" t="str">
        <x:v>未利用地</x:v>
      </x:c>
      <x:c r="F1632" s="22" t="str">
        <x:v>水域及水利设施</x:v>
      </x:c>
      <x:c r="G1632" s="32" t="str">
        <x:v>1101</x:v>
      </x:c>
      <x:c r="H1632" s="32" t="str">
        <x:v>1101</x:v>
      </x:c>
      <x:c r="I1632" s="22" t="str">
        <x:v>河流水面</x:v>
      </x:c>
      <x:c r="J1632" s="22" t="str">
        <x:v>农业生态</x:v>
      </x:c>
      <x:c r="K1632" s="32" t="str"/>
      <x:c r="L1632" s="22" t="str">
        <x:v>不适用/未标注</x:v>
      </x:c>
      <x:c r="M1632" s="33" t="n">
        <x:v>707747.48</x:v>
      </x:c>
      <x:c r="N1632" s="33" t="n">
        <x:v>70.774748</x:v>
      </x:c>
      <x:c r="O1632" s="22" t="str">
        <x:v>公顷</x:v>
      </x:c>
      <x:c r="P1632" s="22" t="str">
        <x:v>未提供（单期横截面）</x:v>
      </x:c>
      <x:c r="Q1632" s="23" t="n">
        <x:v>4611</x:v>
      </x:c>
    </x:row>
    <x:row r="1633">
      <x:c r="A1633" s="30" t="n">
        <x:v>350500</x:v>
      </x:c>
      <x:c r="B1633" s="22" t="str">
        <x:v>泉州市</x:v>
      </x:c>
      <x:c r="C1633" s="31" t="n">
        <x:v>350581</x:v>
      </x:c>
      <x:c r="D1633" s="22" t="str">
        <x:v>石狮市</x:v>
      </x:c>
      <x:c r="E1633" s="22" t="str">
        <x:v>未利用地</x:v>
      </x:c>
      <x:c r="F1633" s="22" t="str">
        <x:v>水域及水利设施</x:v>
      </x:c>
      <x:c r="G1633" s="32" t="str">
        <x:v>1105</x:v>
      </x:c>
      <x:c r="H1633" s="32" t="str">
        <x:v>1105</x:v>
      </x:c>
      <x:c r="I1633" s="22" t="str">
        <x:v>沿海滩涂</x:v>
      </x:c>
      <x:c r="J1633" s="22" t="str">
        <x:v>农业生态</x:v>
      </x:c>
      <x:c r="K1633" s="32" t="str"/>
      <x:c r="L1633" s="22" t="str">
        <x:v>不适用/未标注</x:v>
      </x:c>
      <x:c r="M1633" s="33" t="n">
        <x:v>28299092.330000002</x:v>
      </x:c>
      <x:c r="N1633" s="33" t="n">
        <x:v>2829.9092330000003</x:v>
      </x:c>
      <x:c r="O1633" s="22" t="str">
        <x:v>公顷</x:v>
      </x:c>
      <x:c r="P1633" s="22" t="str">
        <x:v>未提供（单期横截面）</x:v>
      </x:c>
      <x:c r="Q1633" s="23" t="n">
        <x:v>4612</x:v>
      </x:c>
    </x:row>
    <x:row r="1634">
      <x:c r="A1634" s="30" t="n">
        <x:v>350500</x:v>
      </x:c>
      <x:c r="B1634" s="22" t="str">
        <x:v>泉州市</x:v>
      </x:c>
      <x:c r="C1634" s="31" t="n">
        <x:v>350581</x:v>
      </x:c>
      <x:c r="D1634" s="22" t="str">
        <x:v>石狮市</x:v>
      </x:c>
      <x:c r="E1634" s="22" t="str">
        <x:v>未利用地</x:v>
      </x:c>
      <x:c r="F1634" s="22" t="str">
        <x:v>水域及水利设施</x:v>
      </x:c>
      <x:c r="G1634" s="32" t="str">
        <x:v>1106</x:v>
      </x:c>
      <x:c r="H1634" s="32" t="str">
        <x:v>1106</x:v>
      </x:c>
      <x:c r="I1634" s="22" t="str">
        <x:v>内陆滩涂</x:v>
      </x:c>
      <x:c r="J1634" s="22" t="str">
        <x:v>农业生态</x:v>
      </x:c>
      <x:c r="K1634" s="32" t="str"/>
      <x:c r="L1634" s="22" t="str">
        <x:v>不适用/未标注</x:v>
      </x:c>
      <x:c r="M1634" s="33" t="n">
        <x:v>26834.489999999998</x:v>
      </x:c>
      <x:c r="N1634" s="33" t="n">
        <x:v>2.683449</x:v>
      </x:c>
      <x:c r="O1634" s="22" t="str">
        <x:v>公顷</x:v>
      </x:c>
      <x:c r="P1634" s="22" t="str">
        <x:v>未提供（单期横截面）</x:v>
      </x:c>
      <x:c r="Q1634" s="23" t="n">
        <x:v>4613</x:v>
      </x:c>
    </x:row>
    <x:row r="1635">
      <x:c r="A1635" s="30" t="n">
        <x:v>350500</x:v>
      </x:c>
      <x:c r="B1635" s="22" t="str">
        <x:v>泉州市</x:v>
      </x:c>
      <x:c r="C1635" s="31" t="n">
        <x:v>350581</x:v>
      </x:c>
      <x:c r="D1635" s="22" t="str">
        <x:v>石狮市</x:v>
      </x:c>
      <x:c r="E1635" s="22" t="str">
        <x:v>未利用地</x:v>
      </x:c>
      <x:c r="F1635" s="22" t="str">
        <x:v>未利用地</x:v>
      </x:c>
      <x:c r="G1635" s="32" t="str">
        <x:v>1207</x:v>
      </x:c>
      <x:c r="H1635" s="32" t="str">
        <x:v>1207</x:v>
      </x:c>
      <x:c r="I1635" s="22" t="str">
        <x:v>裸岩石砾地</x:v>
      </x:c>
      <x:c r="J1635" s="22" t="str">
        <x:v>未利用地</x:v>
      </x:c>
      <x:c r="K1635" s="32" t="str"/>
      <x:c r="L1635" s="22" t="str">
        <x:v>不适用/未标注</x:v>
      </x:c>
      <x:c r="M1635" s="33" t="n">
        <x:v>1544665.069999999</x:v>
      </x:c>
      <x:c r="N1635" s="33" t="n">
        <x:v>154.4665069999999</x:v>
      </x:c>
      <x:c r="O1635" s="22" t="str">
        <x:v>公顷</x:v>
      </x:c>
      <x:c r="P1635" s="22" t="str">
        <x:v>未提供（单期横截面）</x:v>
      </x:c>
      <x:c r="Q1635" s="23" t="n">
        <x:v>4614</x:v>
      </x:c>
    </x:row>
    <x:row r="1636">
      <x:c r="A1636" s="30" t="n">
        <x:v>350500</x:v>
      </x:c>
      <x:c r="B1636" s="22" t="str">
        <x:v>泉州市</x:v>
      </x:c>
      <x:c r="C1636" s="31" t="n">
        <x:v>350581</x:v>
      </x:c>
      <x:c r="D1636" s="22" t="str">
        <x:v>石狮市</x:v>
      </x:c>
      <x:c r="E1636" s="22" t="str">
        <x:v>未利用地</x:v>
      </x:c>
      <x:c r="F1636" s="22" t="str">
        <x:v>草地</x:v>
      </x:c>
      <x:c r="G1636" s="32" t="str">
        <x:v>404</x:v>
      </x:c>
      <x:c r="H1636" s="32" t="str">
        <x:v>404</x:v>
      </x:c>
      <x:c r="I1636" s="22" t="str">
        <x:v>其他草地</x:v>
      </x:c>
      <x:c r="J1636" s="22" t="str">
        <x:v>农业生态</x:v>
      </x:c>
      <x:c r="K1636" s="32" t="str">
        <x:v>201</x:v>
      </x:c>
      <x:c r="L1636" s="22" t="str">
        <x:v>城市范围</x:v>
      </x:c>
      <x:c r="M1636" s="33" t="n">
        <x:v>129221.43000000001</x:v>
      </x:c>
      <x:c r="N1636" s="33" t="n">
        <x:v>12.922143</x:v>
      </x:c>
      <x:c r="O1636" s="22" t="str">
        <x:v>公顷</x:v>
      </x:c>
      <x:c r="P1636" s="22" t="str">
        <x:v>未提供（单期横截面）</x:v>
      </x:c>
      <x:c r="Q1636" s="23" t="n">
        <x:v>4615</x:v>
      </x:c>
    </x:row>
    <x:row r="1637">
      <x:c r="A1637" s="30" t="n">
        <x:v>350500</x:v>
      </x:c>
      <x:c r="B1637" s="22" t="str">
        <x:v>泉州市</x:v>
      </x:c>
      <x:c r="C1637" s="31" t="n">
        <x:v>350581</x:v>
      </x:c>
      <x:c r="D1637" s="22" t="str">
        <x:v>石狮市</x:v>
      </x:c>
      <x:c r="E1637" s="22" t="str">
        <x:v>未利用地</x:v>
      </x:c>
      <x:c r="F1637" s="22" t="str">
        <x:v>水域及水利设施</x:v>
      </x:c>
      <x:c r="G1637" s="32" t="str">
        <x:v>1101</x:v>
      </x:c>
      <x:c r="H1637" s="32" t="str">
        <x:v>1101</x:v>
      </x:c>
      <x:c r="I1637" s="22" t="str">
        <x:v>河流水面</x:v>
      </x:c>
      <x:c r="J1637" s="22" t="str">
        <x:v>农业生态</x:v>
      </x:c>
      <x:c r="K1637" s="32" t="str">
        <x:v>201</x:v>
      </x:c>
      <x:c r="L1637" s="22" t="str">
        <x:v>城市范围</x:v>
      </x:c>
      <x:c r="M1637" s="33" t="n">
        <x:v>30852.889999999996</x:v>
      </x:c>
      <x:c r="N1637" s="33" t="n">
        <x:v>3.0852889999999995</x:v>
      </x:c>
      <x:c r="O1637" s="22" t="str">
        <x:v>公顷</x:v>
      </x:c>
      <x:c r="P1637" s="22" t="str">
        <x:v>未提供（单期横截面）</x:v>
      </x:c>
      <x:c r="Q1637" s="23" t="n">
        <x:v>4616</x:v>
      </x:c>
    </x:row>
    <x:row r="1638">
      <x:c r="A1638" s="30" t="n">
        <x:v>350500</x:v>
      </x:c>
      <x:c r="B1638" s="22" t="str">
        <x:v>泉州市</x:v>
      </x:c>
      <x:c r="C1638" s="31" t="n">
        <x:v>350581</x:v>
      </x:c>
      <x:c r="D1638" s="22" t="str">
        <x:v>石狮市</x:v>
      </x:c>
      <x:c r="E1638" s="22" t="str">
        <x:v>未利用地</x:v>
      </x:c>
      <x:c r="F1638" s="22" t="str">
        <x:v>草地</x:v>
      </x:c>
      <x:c r="G1638" s="32" t="str">
        <x:v>404</x:v>
      </x:c>
      <x:c r="H1638" s="32" t="str">
        <x:v>404</x:v>
      </x:c>
      <x:c r="I1638" s="22" t="str">
        <x:v>其他草地</x:v>
      </x:c>
      <x:c r="J1638" s="22" t="str">
        <x:v>农业生态</x:v>
      </x:c>
      <x:c r="K1638" s="32" t="str">
        <x:v>202</x:v>
      </x:c>
      <x:c r="L1638" s="22" t="str">
        <x:v>建制镇范围</x:v>
      </x:c>
      <x:c r="M1638" s="33" t="n">
        <x:v>101839.87999999999</x:v>
      </x:c>
      <x:c r="N1638" s="33" t="n">
        <x:v>10.183988</x:v>
      </x:c>
      <x:c r="O1638" s="22" t="str">
        <x:v>公顷</x:v>
      </x:c>
      <x:c r="P1638" s="22" t="str">
        <x:v>未提供（单期横截面）</x:v>
      </x:c>
      <x:c r="Q1638" s="23" t="n">
        <x:v>4617</x:v>
      </x:c>
    </x:row>
    <x:row r="1639">
      <x:c r="A1639" s="30" t="n">
        <x:v>350500</x:v>
      </x:c>
      <x:c r="B1639" s="22" t="str">
        <x:v>泉州市</x:v>
      </x:c>
      <x:c r="C1639" s="31" t="n">
        <x:v>350581</x:v>
      </x:c>
      <x:c r="D1639" s="22" t="str">
        <x:v>石狮市</x:v>
      </x:c>
      <x:c r="E1639" s="22" t="str">
        <x:v>未利用地</x:v>
      </x:c>
      <x:c r="F1639" s="22" t="str">
        <x:v>水域及水利设施</x:v>
      </x:c>
      <x:c r="G1639" s="32" t="str">
        <x:v>1105</x:v>
      </x:c>
      <x:c r="H1639" s="32" t="str">
        <x:v>1105</x:v>
      </x:c>
      <x:c r="I1639" s="22" t="str">
        <x:v>沿海滩涂</x:v>
      </x:c>
      <x:c r="J1639" s="22" t="str">
        <x:v>农业生态</x:v>
      </x:c>
      <x:c r="K1639" s="32" t="str">
        <x:v>202</x:v>
      </x:c>
      <x:c r="L1639" s="22" t="str">
        <x:v>建制镇范围</x:v>
      </x:c>
      <x:c r="M1639" s="33" t="n">
        <x:v>2525.23</x:v>
      </x:c>
      <x:c r="N1639" s="33" t="n">
        <x:v>0.252523</x:v>
      </x:c>
      <x:c r="O1639" s="22" t="str">
        <x:v>公顷</x:v>
      </x:c>
      <x:c r="P1639" s="22" t="str">
        <x:v>未提供（单期横截面）</x:v>
      </x:c>
      <x:c r="Q1639" s="23" t="n">
        <x:v>4618</x:v>
      </x:c>
    </x:row>
    <x:row r="1640">
      <x:c r="A1640" s="30" t="n">
        <x:v>350500</x:v>
      </x:c>
      <x:c r="B1640" s="22" t="str">
        <x:v>泉州市</x:v>
      </x:c>
      <x:c r="C1640" s="31" t="n">
        <x:v>350581</x:v>
      </x:c>
      <x:c r="D1640" s="22" t="str">
        <x:v>石狮市</x:v>
      </x:c>
      <x:c r="E1640" s="22" t="str">
        <x:v>未利用地</x:v>
      </x:c>
      <x:c r="F1640" s="22" t="str">
        <x:v>未利用地</x:v>
      </x:c>
      <x:c r="G1640" s="32" t="str">
        <x:v>1207</x:v>
      </x:c>
      <x:c r="H1640" s="32" t="str">
        <x:v>1207</x:v>
      </x:c>
      <x:c r="I1640" s="22" t="str">
        <x:v>裸岩石砾地</x:v>
      </x:c>
      <x:c r="J1640" s="22" t="str">
        <x:v>未利用地</x:v>
      </x:c>
      <x:c r="K1640" s="32" t="str">
        <x:v>202</x:v>
      </x:c>
      <x:c r="L1640" s="22" t="str">
        <x:v>建制镇范围</x:v>
      </x:c>
      <x:c r="M1640" s="33" t="n">
        <x:v>4544.72</x:v>
      </x:c>
      <x:c r="N1640" s="33" t="n">
        <x:v>0.45447200000000004</x:v>
      </x:c>
      <x:c r="O1640" s="22" t="str">
        <x:v>公顷</x:v>
      </x:c>
      <x:c r="P1640" s="22" t="str">
        <x:v>未提供（单期横截面）</x:v>
      </x:c>
      <x:c r="Q1640" s="23" t="n">
        <x:v>4619</x:v>
      </x:c>
    </x:row>
    <x:row r="1641">
      <x:c r="A1641" s="30" t="n">
        <x:v>350500</x:v>
      </x:c>
      <x:c r="B1641" s="22" t="str">
        <x:v>泉州市</x:v>
      </x:c>
      <x:c r="C1641" s="31" t="n">
        <x:v>350581</x:v>
      </x:c>
      <x:c r="D1641" s="22" t="str">
        <x:v>石狮市</x:v>
      </x:c>
      <x:c r="E1641" s="22" t="str">
        <x:v>未利用地</x:v>
      </x:c>
      <x:c r="F1641" s="22" t="str">
        <x:v>草地</x:v>
      </x:c>
      <x:c r="G1641" s="32" t="str">
        <x:v>404</x:v>
      </x:c>
      <x:c r="H1641" s="32" t="str">
        <x:v>404</x:v>
      </x:c>
      <x:c r="I1641" s="22" t="str">
        <x:v>其他草地</x:v>
      </x:c>
      <x:c r="J1641" s="22" t="str">
        <x:v>农业生态</x:v>
      </x:c>
      <x:c r="K1641" s="32" t="str">
        <x:v>203</x:v>
      </x:c>
      <x:c r="L1641" s="22" t="str">
        <x:v>村庄范围</x:v>
      </x:c>
      <x:c r="M1641" s="33" t="n">
        <x:v>158752.15000000002</x:v>
      </x:c>
      <x:c r="N1641" s="33" t="n">
        <x:v>15.875215000000003</x:v>
      </x:c>
      <x:c r="O1641" s="22" t="str">
        <x:v>公顷</x:v>
      </x:c>
      <x:c r="P1641" s="22" t="str">
        <x:v>未提供（单期横截面）</x:v>
      </x:c>
      <x:c r="Q1641" s="23" t="n">
        <x:v>4620</x:v>
      </x:c>
    </x:row>
    <x:row r="1642">
      <x:c r="A1642" s="30" t="n">
        <x:v>350500</x:v>
      </x:c>
      <x:c r="B1642" s="22" t="str">
        <x:v>泉州市</x:v>
      </x:c>
      <x:c r="C1642" s="31" t="n">
        <x:v>350581</x:v>
      </x:c>
      <x:c r="D1642" s="22" t="str">
        <x:v>石狮市</x:v>
      </x:c>
      <x:c r="E1642" s="22" t="str">
        <x:v>未利用地</x:v>
      </x:c>
      <x:c r="F1642" s="22" t="str">
        <x:v>水域及水利设施</x:v>
      </x:c>
      <x:c r="G1642" s="32" t="str">
        <x:v>1105</x:v>
      </x:c>
      <x:c r="H1642" s="32" t="str">
        <x:v>1105</x:v>
      </x:c>
      <x:c r="I1642" s="22" t="str">
        <x:v>沿海滩涂</x:v>
      </x:c>
      <x:c r="J1642" s="22" t="str">
        <x:v>农业生态</x:v>
      </x:c>
      <x:c r="K1642" s="32" t="str">
        <x:v>203</x:v>
      </x:c>
      <x:c r="L1642" s="22" t="str">
        <x:v>村庄范围</x:v>
      </x:c>
      <x:c r="M1642" s="33" t="n">
        <x:v>1436.47</x:v>
      </x:c>
      <x:c r="N1642" s="33" t="n">
        <x:v>0.143647</x:v>
      </x:c>
      <x:c r="O1642" s="22" t="str">
        <x:v>公顷</x:v>
      </x:c>
      <x:c r="P1642" s="22" t="str">
        <x:v>未提供（单期横截面）</x:v>
      </x:c>
      <x:c r="Q1642" s="23" t="n">
        <x:v>4621</x:v>
      </x:c>
    </x:row>
    <x:row r="1643">
      <x:c r="A1643" s="30" t="n">
        <x:v>350500</x:v>
      </x:c>
      <x:c r="B1643" s="22" t="str">
        <x:v>泉州市</x:v>
      </x:c>
      <x:c r="C1643" s="31" t="n">
        <x:v>350581</x:v>
      </x:c>
      <x:c r="D1643" s="22" t="str">
        <x:v>石狮市</x:v>
      </x:c>
      <x:c r="E1643" s="22" t="str">
        <x:v>未利用地</x:v>
      </x:c>
      <x:c r="F1643" s="22" t="str">
        <x:v>未利用地</x:v>
      </x:c>
      <x:c r="G1643" s="32" t="str">
        <x:v>1207</x:v>
      </x:c>
      <x:c r="H1643" s="32" t="str">
        <x:v>1207</x:v>
      </x:c>
      <x:c r="I1643" s="22" t="str">
        <x:v>裸岩石砾地</x:v>
      </x:c>
      <x:c r="J1643" s="22" t="str">
        <x:v>未利用地</x:v>
      </x:c>
      <x:c r="K1643" s="32" t="str">
        <x:v>203</x:v>
      </x:c>
      <x:c r="L1643" s="22" t="str">
        <x:v>村庄范围</x:v>
      </x:c>
      <x:c r="M1643" s="33" t="n">
        <x:v>31796.330000000005</x:v>
      </x:c>
      <x:c r="N1643" s="33" t="n">
        <x:v>3.1796330000000004</x:v>
      </x:c>
      <x:c r="O1643" s="22" t="str">
        <x:v>公顷</x:v>
      </x:c>
      <x:c r="P1643" s="22" t="str">
        <x:v>未提供（单期横截面）</x:v>
      </x:c>
      <x:c r="Q1643" s="23" t="n">
        <x:v>4622</x:v>
      </x:c>
    </x:row>
    <x:row r="1644">
      <x:c r="A1644" s="30" t="n">
        <x:v>350500</x:v>
      </x:c>
      <x:c r="B1644" s="22" t="str">
        <x:v>泉州市</x:v>
      </x:c>
      <x:c r="C1644" s="31" t="n">
        <x:v>350582</x:v>
      </x:c>
      <x:c r="D1644" s="22" t="str">
        <x:v>晋江市</x:v>
      </x:c>
      <x:c r="E1644" s="22" t="str">
        <x:v>建设用地</x:v>
      </x:c>
      <x:c r="F1644" s="22" t="str">
        <x:v>交通运输用地</x:v>
      </x:c>
      <x:c r="G1644" s="32" t="str">
        <x:v>1001</x:v>
      </x:c>
      <x:c r="H1644" s="32" t="str">
        <x:v>1001</x:v>
      </x:c>
      <x:c r="I1644" s="22" t="str">
        <x:v>铁路用地</x:v>
      </x:c>
      <x:c r="J1644" s="22" t="str">
        <x:v>交通门户</x:v>
      </x:c>
      <x:c r="K1644" s="32" t="str"/>
      <x:c r="L1644" s="22" t="str">
        <x:v>不适用/未标注</x:v>
      </x:c>
      <x:c r="M1644" s="33" t="n">
        <x:v>1347431.339999999</x:v>
      </x:c>
      <x:c r="N1644" s="33" t="n">
        <x:v>134.74313399999988</x:v>
      </x:c>
      <x:c r="O1644" s="22" t="str">
        <x:v>公顷</x:v>
      </x:c>
      <x:c r="P1644" s="22" t="str">
        <x:v>未提供（单期横截面）</x:v>
      </x:c>
      <x:c r="Q1644" s="23" t="n">
        <x:v>4623</x:v>
      </x:c>
    </x:row>
    <x:row r="1645">
      <x:c r="A1645" s="30" t="n">
        <x:v>350500</x:v>
      </x:c>
      <x:c r="B1645" s="22" t="str">
        <x:v>泉州市</x:v>
      </x:c>
      <x:c r="C1645" s="31" t="n">
        <x:v>350582</x:v>
      </x:c>
      <x:c r="D1645" s="22" t="str">
        <x:v>晋江市</x:v>
      </x:c>
      <x:c r="E1645" s="22" t="str">
        <x:v>建设用地</x:v>
      </x:c>
      <x:c r="F1645" s="22" t="str">
        <x:v>交通运输用地</x:v>
      </x:c>
      <x:c r="G1645" s="32" t="str">
        <x:v>1003</x:v>
      </x:c>
      <x:c r="H1645" s="32" t="str">
        <x:v>1003</x:v>
      </x:c>
      <x:c r="I1645" s="22" t="str">
        <x:v>公路用地</x:v>
      </x:c>
      <x:c r="J1645" s="22" t="str">
        <x:v>交通门户</x:v>
      </x:c>
      <x:c r="K1645" s="32" t="str"/>
      <x:c r="L1645" s="22" t="str">
        <x:v>不适用/未标注</x:v>
      </x:c>
      <x:c r="M1645" s="33" t="n">
        <x:v>38435784.14999997</x:v>
      </x:c>
      <x:c r="N1645" s="33" t="n">
        <x:v>3843.5784149999968</x:v>
      </x:c>
      <x:c r="O1645" s="22" t="str">
        <x:v>公顷</x:v>
      </x:c>
      <x:c r="P1645" s="22" t="str">
        <x:v>未提供（单期横截面）</x:v>
      </x:c>
      <x:c r="Q1645" s="23" t="n">
        <x:v>4624</x:v>
      </x:c>
    </x:row>
    <x:row r="1646">
      <x:c r="A1646" s="30" t="n">
        <x:v>350500</x:v>
      </x:c>
      <x:c r="B1646" s="22" t="str">
        <x:v>泉州市</x:v>
      </x:c>
      <x:c r="C1646" s="31" t="n">
        <x:v>350582</x:v>
      </x:c>
      <x:c r="D1646" s="22" t="str">
        <x:v>晋江市</x:v>
      </x:c>
      <x:c r="E1646" s="22" t="str">
        <x:v>建设用地</x:v>
      </x:c>
      <x:c r="F1646" s="22" t="str">
        <x:v>交通运输用地</x:v>
      </x:c>
      <x:c r="G1646" s="32" t="str">
        <x:v>1007</x:v>
      </x:c>
      <x:c r="H1646" s="32" t="str">
        <x:v>1007</x:v>
      </x:c>
      <x:c r="I1646" s="22" t="str">
        <x:v>机场用地</x:v>
      </x:c>
      <x:c r="J1646" s="22" t="str">
        <x:v>交通门户</x:v>
      </x:c>
      <x:c r="K1646" s="32" t="str"/>
      <x:c r="L1646" s="22" t="str">
        <x:v>不适用/未标注</x:v>
      </x:c>
      <x:c r="M1646" s="33" t="n">
        <x:v>2082.6</x:v>
      </x:c>
      <x:c r="N1646" s="33" t="n">
        <x:v>0.20826</x:v>
      </x:c>
      <x:c r="O1646" s="22" t="str">
        <x:v>公顷</x:v>
      </x:c>
      <x:c r="P1646" s="22" t="str">
        <x:v>未提供（单期横截面）</x:v>
      </x:c>
      <x:c r="Q1646" s="23" t="n">
        <x:v>4625</x:v>
      </x:c>
    </x:row>
    <x:row r="1647">
      <x:c r="A1647" s="30" t="n">
        <x:v>350500</x:v>
      </x:c>
      <x:c r="B1647" s="22" t="str">
        <x:v>泉州市</x:v>
      </x:c>
      <x:c r="C1647" s="31" t="n">
        <x:v>350582</x:v>
      </x:c>
      <x:c r="D1647" s="22" t="str">
        <x:v>晋江市</x:v>
      </x:c>
      <x:c r="E1647" s="22" t="str">
        <x:v>建设用地</x:v>
      </x:c>
      <x:c r="F1647" s="22" t="str">
        <x:v>交通运输用地</x:v>
      </x:c>
      <x:c r="G1647" s="32" t="str">
        <x:v>1008</x:v>
      </x:c>
      <x:c r="H1647" s="32" t="str">
        <x:v>1008</x:v>
      </x:c>
      <x:c r="I1647" s="22" t="str">
        <x:v>港口码头用地</x:v>
      </x:c>
      <x:c r="J1647" s="22" t="str">
        <x:v>交通门户</x:v>
      </x:c>
      <x:c r="K1647" s="32" t="str"/>
      <x:c r="L1647" s="22" t="str">
        <x:v>不适用/未标注</x:v>
      </x:c>
      <x:c r="M1647" s="33" t="n">
        <x:v>598529.71</x:v>
      </x:c>
      <x:c r="N1647" s="33" t="n">
        <x:v>59.852971</x:v>
      </x:c>
      <x:c r="O1647" s="22" t="str">
        <x:v>公顷</x:v>
      </x:c>
      <x:c r="P1647" s="22" t="str">
        <x:v>未提供（单期横截面）</x:v>
      </x:c>
      <x:c r="Q1647" s="23" t="n">
        <x:v>4626</x:v>
      </x:c>
    </x:row>
    <x:row r="1648">
      <x:c r="A1648" s="30" t="n">
        <x:v>350500</x:v>
      </x:c>
      <x:c r="B1648" s="22" t="str">
        <x:v>泉州市</x:v>
      </x:c>
      <x:c r="C1648" s="31" t="n">
        <x:v>350582</x:v>
      </x:c>
      <x:c r="D1648" s="22" t="str">
        <x:v>晋江市</x:v>
      </x:c>
      <x:c r="E1648" s="22" t="str">
        <x:v>建设用地</x:v>
      </x:c>
      <x:c r="F1648" s="22" t="str">
        <x:v>水域及水利设施</x:v>
      </x:c>
      <x:c r="G1648" s="32" t="str">
        <x:v>1109</x:v>
      </x:c>
      <x:c r="H1648" s="32" t="str">
        <x:v>1109</x:v>
      </x:c>
      <x:c r="I1648" s="22" t="str">
        <x:v>水工建筑用地</x:v>
      </x:c>
      <x:c r="J1648" s="22" t="str">
        <x:v>其他建设</x:v>
      </x:c>
      <x:c r="K1648" s="32" t="str"/>
      <x:c r="L1648" s="22" t="str">
        <x:v>不适用/未标注</x:v>
      </x:c>
      <x:c r="M1648" s="33" t="n">
        <x:v>1670288.8299999977</x:v>
      </x:c>
      <x:c r="N1648" s="33" t="n">
        <x:v>167.02888299999978</x:v>
      </x:c>
      <x:c r="O1648" s="22" t="str">
        <x:v>公顷</x:v>
      </x:c>
      <x:c r="P1648" s="22" t="str">
        <x:v>未提供（单期横截面）</x:v>
      </x:c>
      <x:c r="Q1648" s="23" t="n">
        <x:v>4627</x:v>
      </x:c>
    </x:row>
    <x:row r="1649">
      <x:c r="A1649" s="30" t="n">
        <x:v>350500</x:v>
      </x:c>
      <x:c r="B1649" s="22" t="str">
        <x:v>泉州市</x:v>
      </x:c>
      <x:c r="C1649" s="31" t="n">
        <x:v>350582</x:v>
      </x:c>
      <x:c r="D1649" s="22" t="str">
        <x:v>晋江市</x:v>
      </x:c>
      <x:c r="E1649" s="22" t="str">
        <x:v>建设用地</x:v>
      </x:c>
      <x:c r="F1649" s="22" t="str">
        <x:v>工矿仓储用地</x:v>
      </x:c>
      <x:c r="G1649" s="32" t="str">
        <x:v>508</x:v>
      </x:c>
      <x:c r="H1649" s="32" t="str">
        <x:v>508</x:v>
      </x:c>
      <x:c r="I1649" s="22" t="str">
        <x:v>物流仓储用地</x:v>
      </x:c>
      <x:c r="J1649" s="22" t="str">
        <x:v>产业功能</x:v>
      </x:c>
      <x:c r="K1649" s="32" t="str">
        <x:v>201</x:v>
      </x:c>
      <x:c r="L1649" s="22" t="str">
        <x:v>城市范围</x:v>
      </x:c>
      <x:c r="M1649" s="33" t="n">
        <x:v>245618.94000000003</x:v>
      </x:c>
      <x:c r="N1649" s="33" t="n">
        <x:v>24.561894000000002</x:v>
      </x:c>
      <x:c r="O1649" s="22" t="str">
        <x:v>公顷</x:v>
      </x:c>
      <x:c r="P1649" s="22" t="str">
        <x:v>未提供（单期横截面）</x:v>
      </x:c>
      <x:c r="Q1649" s="23" t="n">
        <x:v>4628</x:v>
      </x:c>
    </x:row>
    <x:row r="1650">
      <x:c r="A1650" s="30" t="n">
        <x:v>350500</x:v>
      </x:c>
      <x:c r="B1650" s="22" t="str">
        <x:v>泉州市</x:v>
      </x:c>
      <x:c r="C1650" s="31" t="n">
        <x:v>350582</x:v>
      </x:c>
      <x:c r="D1650" s="22" t="str">
        <x:v>晋江市</x:v>
      </x:c>
      <x:c r="E1650" s="22" t="str">
        <x:v>建设用地</x:v>
      </x:c>
      <x:c r="F1650" s="22" t="str">
        <x:v>商业服务业用地</x:v>
      </x:c>
      <x:c r="G1650" s="32" t="str">
        <x:v>05H1</x:v>
      </x:c>
      <x:c r="H1650" s="32" t="str">
        <x:v>05H1</x:v>
      </x:c>
      <x:c r="I1650" s="22" t="str">
        <x:v>商业服务业设施用地</x:v>
      </x:c>
      <x:c r="J1650" s="22" t="str">
        <x:v>商业服务</x:v>
      </x:c>
      <x:c r="K1650" s="32" t="str">
        <x:v>201</x:v>
      </x:c>
      <x:c r="L1650" s="22" t="str">
        <x:v>城市范围</x:v>
      </x:c>
      <x:c r="M1650" s="33" t="n">
        <x:v>3243554.2799999984</x:v>
      </x:c>
      <x:c r="N1650" s="33" t="n">
        <x:v>324.35542799999985</x:v>
      </x:c>
      <x:c r="O1650" s="22" t="str">
        <x:v>公顷</x:v>
      </x:c>
      <x:c r="P1650" s="22" t="str">
        <x:v>未提供（单期横截面）</x:v>
      </x:c>
      <x:c r="Q1650" s="23" t="n">
        <x:v>4629</x:v>
      </x:c>
    </x:row>
    <x:row r="1651">
      <x:c r="A1651" s="30" t="n">
        <x:v>350500</x:v>
      </x:c>
      <x:c r="B1651" s="22" t="str">
        <x:v>泉州市</x:v>
      </x:c>
      <x:c r="C1651" s="31" t="n">
        <x:v>350582</x:v>
      </x:c>
      <x:c r="D1651" s="22" t="str">
        <x:v>晋江市</x:v>
      </x:c>
      <x:c r="E1651" s="22" t="str">
        <x:v>建设用地</x:v>
      </x:c>
      <x:c r="F1651" s="22" t="str">
        <x:v>工矿仓储用地</x:v>
      </x:c>
      <x:c r="G1651" s="32" t="str">
        <x:v>601</x:v>
      </x:c>
      <x:c r="H1651" s="32" t="str">
        <x:v>601</x:v>
      </x:c>
      <x:c r="I1651" s="22" t="str">
        <x:v>工业用地</x:v>
      </x:c>
      <x:c r="J1651" s="22" t="str">
        <x:v>产业功能</x:v>
      </x:c>
      <x:c r="K1651" s="32" t="str">
        <x:v>201</x:v>
      </x:c>
      <x:c r="L1651" s="22" t="str">
        <x:v>城市范围</x:v>
      </x:c>
      <x:c r="M1651" s="33" t="n">
        <x:v>5679945.520000002</x:v>
      </x:c>
      <x:c r="N1651" s="33" t="n">
        <x:v>567.9945520000002</x:v>
      </x:c>
      <x:c r="O1651" s="22" t="str">
        <x:v>公顷</x:v>
      </x:c>
      <x:c r="P1651" s="22" t="str">
        <x:v>未提供（单期横截面）</x:v>
      </x:c>
      <x:c r="Q1651" s="23" t="n">
        <x:v>4630</x:v>
      </x:c>
    </x:row>
    <x:row r="1652">
      <x:c r="A1652" s="30" t="n">
        <x:v>350500</x:v>
      </x:c>
      <x:c r="B1652" s="22" t="str">
        <x:v>泉州市</x:v>
      </x:c>
      <x:c r="C1652" s="31" t="n">
        <x:v>350582</x:v>
      </x:c>
      <x:c r="D1652" s="22" t="str">
        <x:v>晋江市</x:v>
      </x:c>
      <x:c r="E1652" s="22" t="str">
        <x:v>建设用地</x:v>
      </x:c>
      <x:c r="F1652" s="22" t="str">
        <x:v>工矿仓储用地</x:v>
      </x:c>
      <x:c r="G1652" s="32" t="str">
        <x:v>602</x:v>
      </x:c>
      <x:c r="H1652" s="32" t="str">
        <x:v>602</x:v>
      </x:c>
      <x:c r="I1652" s="22" t="str">
        <x:v>采矿用地</x:v>
      </x:c>
      <x:c r="J1652" s="22" t="str">
        <x:v>产业功能</x:v>
      </x:c>
      <x:c r="K1652" s="32" t="str">
        <x:v>201</x:v>
      </x:c>
      <x:c r="L1652" s="22" t="str">
        <x:v>城市范围</x:v>
      </x:c>
      <x:c r="M1652" s="33" t="n">
        <x:v>50773.5</x:v>
      </x:c>
      <x:c r="N1652" s="33" t="n">
        <x:v>5.07735</x:v>
      </x:c>
      <x:c r="O1652" s="22" t="str">
        <x:v>公顷</x:v>
      </x:c>
      <x:c r="P1652" s="22" t="str">
        <x:v>未提供（单期横截面）</x:v>
      </x:c>
      <x:c r="Q1652" s="23" t="n">
        <x:v>4631</x:v>
      </x:c>
    </x:row>
    <x:row r="1653">
      <x:c r="A1653" s="30" t="n">
        <x:v>350500</x:v>
      </x:c>
      <x:c r="B1653" s="22" t="str">
        <x:v>泉州市</x:v>
      </x:c>
      <x:c r="C1653" s="31" t="n">
        <x:v>350582</x:v>
      </x:c>
      <x:c r="D1653" s="22" t="str">
        <x:v>晋江市</x:v>
      </x:c>
      <x:c r="E1653" s="22" t="str">
        <x:v>建设用地</x:v>
      </x:c>
      <x:c r="F1653" s="22" t="str">
        <x:v>居住用地</x:v>
      </x:c>
      <x:c r="G1653" s="32" t="str">
        <x:v>701</x:v>
      </x:c>
      <x:c r="H1653" s="32" t="str">
        <x:v>701</x:v>
      </x:c>
      <x:c r="I1653" s="22" t="str">
        <x:v>城镇住宅用地</x:v>
      </x:c>
      <x:c r="J1653" s="22" t="str">
        <x:v>居住功能</x:v>
      </x:c>
      <x:c r="K1653" s="32" t="str">
        <x:v>201</x:v>
      </x:c>
      <x:c r="L1653" s="22" t="str">
        <x:v>城市范围</x:v>
      </x:c>
      <x:c r="M1653" s="33" t="n">
        <x:v>19241567.520000022</x:v>
      </x:c>
      <x:c r="N1653" s="33" t="n">
        <x:v>1924.1567520000021</x:v>
      </x:c>
      <x:c r="O1653" s="22" t="str">
        <x:v>公顷</x:v>
      </x:c>
      <x:c r="P1653" s="22" t="str">
        <x:v>未提供（单期横截面）</x:v>
      </x:c>
      <x:c r="Q1653" s="23" t="n">
        <x:v>4632</x:v>
      </x:c>
    </x:row>
    <x:row r="1654">
      <x:c r="A1654" s="30" t="n">
        <x:v>350500</x:v>
      </x:c>
      <x:c r="B1654" s="22" t="str">
        <x:v>泉州市</x:v>
      </x:c>
      <x:c r="C1654" s="31" t="n">
        <x:v>350582</x:v>
      </x:c>
      <x:c r="D1654" s="22" t="str">
        <x:v>晋江市</x:v>
      </x:c>
      <x:c r="E1654" s="22" t="str">
        <x:v>建设用地</x:v>
      </x:c>
      <x:c r="F1654" s="22" t="str">
        <x:v>居住用地</x:v>
      </x:c>
      <x:c r="G1654" s="32" t="str">
        <x:v>702</x:v>
      </x:c>
      <x:c r="H1654" s="32" t="str">
        <x:v>702</x:v>
      </x:c>
      <x:c r="I1654" s="22" t="str">
        <x:v>农村宅基地</x:v>
      </x:c>
      <x:c r="J1654" s="22" t="str">
        <x:v>居住功能</x:v>
      </x:c>
      <x:c r="K1654" s="32" t="str">
        <x:v>201</x:v>
      </x:c>
      <x:c r="L1654" s="22" t="str">
        <x:v>城市范围</x:v>
      </x:c>
      <x:c r="M1654" s="33" t="n">
        <x:v>18765.89</x:v>
      </x:c>
      <x:c r="N1654" s="33" t="n">
        <x:v>1.8765889999999998</x:v>
      </x:c>
      <x:c r="O1654" s="22" t="str">
        <x:v>公顷</x:v>
      </x:c>
      <x:c r="P1654" s="22" t="str">
        <x:v>未提供（单期横截面）</x:v>
      </x:c>
      <x:c r="Q1654" s="23" t="n">
        <x:v>4633</x:v>
      </x:c>
    </x:row>
    <x:row r="1655">
      <x:c r="A1655" s="30" t="n">
        <x:v>350500</x:v>
      </x:c>
      <x:c r="B1655" s="22" t="str">
        <x:v>泉州市</x:v>
      </x:c>
      <x:c r="C1655" s="31" t="n">
        <x:v>350582</x:v>
      </x:c>
      <x:c r="D1655" s="22" t="str">
        <x:v>晋江市</x:v>
      </x:c>
      <x:c r="E1655" s="22" t="str">
        <x:v>建设用地</x:v>
      </x:c>
      <x:c r="F1655" s="22" t="str">
        <x:v>公用设施用地</x:v>
      </x:c>
      <x:c r="G1655" s="32" t="str">
        <x:v>809</x:v>
      </x:c>
      <x:c r="H1655" s="32" t="str">
        <x:v>809</x:v>
      </x:c>
      <x:c r="I1655" s="22" t="str">
        <x:v>公用设施用地</x:v>
      </x:c>
      <x:c r="J1655" s="22" t="str">
        <x:v>其他建设</x:v>
      </x:c>
      <x:c r="K1655" s="32" t="str">
        <x:v>201</x:v>
      </x:c>
      <x:c r="L1655" s="22" t="str">
        <x:v>城市范围</x:v>
      </x:c>
      <x:c r="M1655" s="33" t="n">
        <x:v>223408.65000000005</x:v>
      </x:c>
      <x:c r="N1655" s="33" t="n">
        <x:v>22.340865000000004</x:v>
      </x:c>
      <x:c r="O1655" s="22" t="str">
        <x:v>公顷</x:v>
      </x:c>
      <x:c r="P1655" s="22" t="str">
        <x:v>未提供（单期横截面）</x:v>
      </x:c>
      <x:c r="Q1655" s="23" t="n">
        <x:v>4634</x:v>
      </x:c>
    </x:row>
    <x:row r="1656">
      <x:c r="A1656" s="30" t="n">
        <x:v>350500</x:v>
      </x:c>
      <x:c r="B1656" s="22" t="str">
        <x:v>泉州市</x:v>
      </x:c>
      <x:c r="C1656" s="31" t="n">
        <x:v>350582</x:v>
      </x:c>
      <x:c r="D1656" s="22" t="str">
        <x:v>晋江市</x:v>
      </x:c>
      <x:c r="E1656" s="22" t="str">
        <x:v>建设用地</x:v>
      </x:c>
      <x:c r="F1656" s="22" t="str">
        <x:v>绿地与广场用地</x:v>
      </x:c>
      <x:c r="G1656" s="32" t="str">
        <x:v>810</x:v>
      </x:c>
      <x:c r="H1656" s="32" t="str">
        <x:v>810</x:v>
      </x:c>
      <x:c r="I1656" s="22" t="str">
        <x:v>公园与绿地</x:v>
      </x:c>
      <x:c r="J1656" s="22" t="str">
        <x:v>公共空间</x:v>
      </x:c>
      <x:c r="K1656" s="32" t="str">
        <x:v>201</x:v>
      </x:c>
      <x:c r="L1656" s="22" t="str">
        <x:v>城市范围</x:v>
      </x:c>
      <x:c r="M1656" s="33" t="n">
        <x:v>1181627.9200000002</x:v>
      </x:c>
      <x:c r="N1656" s="33" t="n">
        <x:v>118.16279200000001</x:v>
      </x:c>
      <x:c r="O1656" s="22" t="str">
        <x:v>公顷</x:v>
      </x:c>
      <x:c r="P1656" s="22" t="str">
        <x:v>未提供（单期横截面）</x:v>
      </x:c>
      <x:c r="Q1656" s="23" t="n">
        <x:v>4635</x:v>
      </x:c>
    </x:row>
    <x:row r="1657">
      <x:c r="A1657" s="30" t="n">
        <x:v>350500</x:v>
      </x:c>
      <x:c r="B1657" s="22" t="str">
        <x:v>泉州市</x:v>
      </x:c>
      <x:c r="C1657" s="31" t="n">
        <x:v>350582</x:v>
      </x:c>
      <x:c r="D1657" s="22" t="str">
        <x:v>晋江市</x:v>
      </x:c>
      <x:c r="E1657" s="22" t="str">
        <x:v>建设用地</x:v>
      </x:c>
      <x:c r="F1657" s="22" t="str">
        <x:v>绿地与广场用地</x:v>
      </x:c>
      <x:c r="G1657" s="32" t="str">
        <x:v>0810A</x:v>
      </x:c>
      <x:c r="H1657" s="32" t="str">
        <x:v>0810</x:v>
      </x:c>
      <x:c r="I1657" s="22" t="str">
        <x:v>广场用地</x:v>
      </x:c>
      <x:c r="J1657" s="22" t="str">
        <x:v>公共空间</x:v>
      </x:c>
      <x:c r="K1657" s="32" t="str">
        <x:v>201</x:v>
      </x:c>
      <x:c r="L1657" s="22" t="str">
        <x:v>城市范围</x:v>
      </x:c>
      <x:c r="M1657" s="33" t="n">
        <x:v>4874.94</x:v>
      </x:c>
      <x:c r="N1657" s="33" t="n">
        <x:v>0.487494</x:v>
      </x:c>
      <x:c r="O1657" s="22" t="str">
        <x:v>公顷</x:v>
      </x:c>
      <x:c r="P1657" s="22" t="str">
        <x:v>未提供（单期横截面）</x:v>
      </x:c>
      <x:c r="Q1657" s="23" t="n">
        <x:v>4636</x:v>
      </x:c>
    </x:row>
    <x:row r="1658">
      <x:c r="A1658" s="30" t="n">
        <x:v>350500</x:v>
      </x:c>
      <x:c r="B1658" s="22" t="str">
        <x:v>泉州市</x:v>
      </x:c>
      <x:c r="C1658" s="31" t="n">
        <x:v>350582</x:v>
      </x:c>
      <x:c r="D1658" s="22" t="str">
        <x:v>晋江市</x:v>
      </x:c>
      <x:c r="E1658" s="22" t="str">
        <x:v>建设用地</x:v>
      </x:c>
      <x:c r="F1658" s="22" t="str">
        <x:v>公共管理与公共服务用地</x:v>
      </x:c>
      <x:c r="G1658" s="32" t="str">
        <x:v>08H1</x:v>
      </x:c>
      <x:c r="H1658" s="32" t="str">
        <x:v>08H1</x:v>
      </x:c>
      <x:c r="I1658" s="22" t="str">
        <x:v>机关团体新闻出版用地</x:v>
      </x:c>
      <x:c r="J1658" s="22" t="str">
        <x:v>公共服务</x:v>
      </x:c>
      <x:c r="K1658" s="32" t="str">
        <x:v>201</x:v>
      </x:c>
      <x:c r="L1658" s="22" t="str">
        <x:v>城市范围</x:v>
      </x:c>
      <x:c r="M1658" s="33" t="n">
        <x:v>503353.2299999999</x:v>
      </x:c>
      <x:c r="N1658" s="33" t="n">
        <x:v>50.335322999999995</x:v>
      </x:c>
      <x:c r="O1658" s="22" t="str">
        <x:v>公顷</x:v>
      </x:c>
      <x:c r="P1658" s="22" t="str">
        <x:v>未提供（单期横截面）</x:v>
      </x:c>
      <x:c r="Q1658" s="23" t="n">
        <x:v>4637</x:v>
      </x:c>
    </x:row>
    <x:row r="1659">
      <x:c r="A1659" s="30" t="n">
        <x:v>350500</x:v>
      </x:c>
      <x:c r="B1659" s="22" t="str">
        <x:v>泉州市</x:v>
      </x:c>
      <x:c r="C1659" s="31" t="n">
        <x:v>350582</x:v>
      </x:c>
      <x:c r="D1659" s="22" t="str">
        <x:v>晋江市</x:v>
      </x:c>
      <x:c r="E1659" s="22" t="str">
        <x:v>建设用地</x:v>
      </x:c>
      <x:c r="F1659" s="22" t="str">
        <x:v>公共管理与公共服务用地</x:v>
      </x:c>
      <x:c r="G1659" s="32" t="str">
        <x:v>08H2</x:v>
      </x:c>
      <x:c r="H1659" s="32" t="str">
        <x:v>08H2</x:v>
      </x:c>
      <x:c r="I1659" s="22" t="str">
        <x:v>科教文卫用地</x:v>
      </x:c>
      <x:c r="J1659" s="22" t="str">
        <x:v>公共服务</x:v>
      </x:c>
      <x:c r="K1659" s="32" t="str">
        <x:v>201</x:v>
      </x:c>
      <x:c r="L1659" s="22" t="str">
        <x:v>城市范围</x:v>
      </x:c>
      <x:c r="M1659" s="33" t="n">
        <x:v>2193078.57</x:v>
      </x:c>
      <x:c r="N1659" s="33" t="n">
        <x:v>219.30785699999998</x:v>
      </x:c>
      <x:c r="O1659" s="22" t="str">
        <x:v>公顷</x:v>
      </x:c>
      <x:c r="P1659" s="22" t="str">
        <x:v>未提供（单期横截面）</x:v>
      </x:c>
      <x:c r="Q1659" s="23" t="n">
        <x:v>4638</x:v>
      </x:c>
    </x:row>
    <x:row r="1660">
      <x:c r="A1660" s="30" t="n">
        <x:v>350500</x:v>
      </x:c>
      <x:c r="B1660" s="22" t="str">
        <x:v>泉州市</x:v>
      </x:c>
      <x:c r="C1660" s="31" t="n">
        <x:v>350582</x:v>
      </x:c>
      <x:c r="D1660" s="22" t="str">
        <x:v>晋江市</x:v>
      </x:c>
      <x:c r="E1660" s="22" t="str">
        <x:v>建设用地</x:v>
      </x:c>
      <x:c r="F1660" s="22" t="str">
        <x:v>公共管理与公共服务用地</x:v>
      </x:c>
      <x:c r="G1660" s="32" t="str">
        <x:v>08H2A</x:v>
      </x:c>
      <x:c r="H1660" s="32" t="str">
        <x:v>08H2</x:v>
      </x:c>
      <x:c r="I1660" s="22" t="str">
        <x:v>高教用地</x:v>
      </x:c>
      <x:c r="J1660" s="22" t="str">
        <x:v>公共服务</x:v>
      </x:c>
      <x:c r="K1660" s="32" t="str">
        <x:v>201</x:v>
      </x:c>
      <x:c r="L1660" s="22" t="str">
        <x:v>城市范围</x:v>
      </x:c>
      <x:c r="M1660" s="33" t="n">
        <x:v>177468.89</x:v>
      </x:c>
      <x:c r="N1660" s="33" t="n">
        <x:v>17.746889000000003</x:v>
      </x:c>
      <x:c r="O1660" s="22" t="str">
        <x:v>公顷</x:v>
      </x:c>
      <x:c r="P1660" s="22" t="str">
        <x:v>未提供（单期横截面）</x:v>
      </x:c>
      <x:c r="Q1660" s="23" t="n">
        <x:v>4639</x:v>
      </x:c>
    </x:row>
    <x:row r="1661">
      <x:c r="A1661" s="30" t="n">
        <x:v>350500</x:v>
      </x:c>
      <x:c r="B1661" s="22" t="str">
        <x:v>泉州市</x:v>
      </x:c>
      <x:c r="C1661" s="31" t="n">
        <x:v>350582</x:v>
      </x:c>
      <x:c r="D1661" s="22" t="str">
        <x:v>晋江市</x:v>
      </x:c>
      <x:c r="E1661" s="22" t="str">
        <x:v>建设用地</x:v>
      </x:c>
      <x:c r="F1661" s="22" t="str">
        <x:v>特殊用地</x:v>
      </x:c>
      <x:c r="G1661" s="32" t="str">
        <x:v>9</x:v>
      </x:c>
      <x:c r="H1661" s="32" t="str">
        <x:v>9</x:v>
      </x:c>
      <x:c r="I1661" s="22" t="str">
        <x:v>特殊用地</x:v>
      </x:c>
      <x:c r="J1661" s="22" t="str">
        <x:v>其他建设</x:v>
      </x:c>
      <x:c r="K1661" s="32" t="str">
        <x:v>201</x:v>
      </x:c>
      <x:c r="L1661" s="22" t="str">
        <x:v>城市范围</x:v>
      </x:c>
      <x:c r="M1661" s="33" t="n">
        <x:v>336798.71000000014</x:v>
      </x:c>
      <x:c r="N1661" s="33" t="n">
        <x:v>33.67987100000001</x:v>
      </x:c>
      <x:c r="O1661" s="22" t="str">
        <x:v>公顷</x:v>
      </x:c>
      <x:c r="P1661" s="22" t="str">
        <x:v>未提供（单期横截面）</x:v>
      </x:c>
      <x:c r="Q1661" s="23" t="n">
        <x:v>4640</x:v>
      </x:c>
    </x:row>
    <x:row r="1662">
      <x:c r="A1662" s="30" t="n">
        <x:v>350500</x:v>
      </x:c>
      <x:c r="B1662" s="22" t="str">
        <x:v>泉州市</x:v>
      </x:c>
      <x:c r="C1662" s="31" t="n">
        <x:v>350582</x:v>
      </x:c>
      <x:c r="D1662" s="22" t="str">
        <x:v>晋江市</x:v>
      </x:c>
      <x:c r="E1662" s="22" t="str">
        <x:v>建设用地</x:v>
      </x:c>
      <x:c r="F1662" s="22" t="str">
        <x:v>交通运输用地</x:v>
      </x:c>
      <x:c r="G1662" s="32" t="str">
        <x:v>1003</x:v>
      </x:c>
      <x:c r="H1662" s="32" t="str">
        <x:v>1003</x:v>
      </x:c>
      <x:c r="I1662" s="22" t="str">
        <x:v>公路用地</x:v>
      </x:c>
      <x:c r="J1662" s="22" t="str">
        <x:v>交通门户</x:v>
      </x:c>
      <x:c r="K1662" s="32" t="str">
        <x:v>201</x:v>
      </x:c>
      <x:c r="L1662" s="22" t="str">
        <x:v>城市范围</x:v>
      </x:c>
      <x:c r="M1662" s="33" t="n">
        <x:v>103.67</x:v>
      </x:c>
      <x:c r="N1662" s="33" t="n">
        <x:v>0.010367</x:v>
      </x:c>
      <x:c r="O1662" s="22" t="str">
        <x:v>公顷</x:v>
      </x:c>
      <x:c r="P1662" s="22" t="str">
        <x:v>未提供（单期横截面）</x:v>
      </x:c>
      <x:c r="Q1662" s="23" t="n">
        <x:v>4641</x:v>
      </x:c>
    </x:row>
    <x:row r="1663">
      <x:c r="A1663" s="30" t="n">
        <x:v>350500</x:v>
      </x:c>
      <x:c r="B1663" s="22" t="str">
        <x:v>泉州市</x:v>
      </x:c>
      <x:c r="C1663" s="31" t="n">
        <x:v>350582</x:v>
      </x:c>
      <x:c r="D1663" s="22" t="str">
        <x:v>晋江市</x:v>
      </x:c>
      <x:c r="E1663" s="22" t="str">
        <x:v>建设用地</x:v>
      </x:c>
      <x:c r="F1663" s="22" t="str">
        <x:v>交通运输用地</x:v>
      </x:c>
      <x:c r="G1663" s="32" t="str">
        <x:v>1004</x:v>
      </x:c>
      <x:c r="H1663" s="32" t="str">
        <x:v>1004</x:v>
      </x:c>
      <x:c r="I1663" s="22" t="str">
        <x:v>城镇村道路用地</x:v>
      </x:c>
      <x:c r="J1663" s="22" t="str">
        <x:v>交通门户</x:v>
      </x:c>
      <x:c r="K1663" s="32" t="str">
        <x:v>201</x:v>
      </x:c>
      <x:c r="L1663" s="22" t="str">
        <x:v>城市范围</x:v>
      </x:c>
      <x:c r="M1663" s="33" t="n">
        <x:v>3476662.619999998</x:v>
      </x:c>
      <x:c r="N1663" s="33" t="n">
        <x:v>347.6662619999998</x:v>
      </x:c>
      <x:c r="O1663" s="22" t="str">
        <x:v>公顷</x:v>
      </x:c>
      <x:c r="P1663" s="22" t="str">
        <x:v>未提供（单期横截面）</x:v>
      </x:c>
      <x:c r="Q1663" s="23" t="n">
        <x:v>4642</x:v>
      </x:c>
    </x:row>
    <x:row r="1664">
      <x:c r="A1664" s="30" t="n">
        <x:v>350500</x:v>
      </x:c>
      <x:c r="B1664" s="22" t="str">
        <x:v>泉州市</x:v>
      </x:c>
      <x:c r="C1664" s="31" t="n">
        <x:v>350582</x:v>
      </x:c>
      <x:c r="D1664" s="22" t="str">
        <x:v>晋江市</x:v>
      </x:c>
      <x:c r="E1664" s="22" t="str">
        <x:v>建设用地</x:v>
      </x:c>
      <x:c r="F1664" s="22" t="str">
        <x:v>交通运输用地</x:v>
      </x:c>
      <x:c r="G1664" s="32" t="str">
        <x:v>1005</x:v>
      </x:c>
      <x:c r="H1664" s="32" t="str">
        <x:v>1005</x:v>
      </x:c>
      <x:c r="I1664" s="22" t="str">
        <x:v>交通服务场站用地</x:v>
      </x:c>
      <x:c r="J1664" s="22" t="str">
        <x:v>交通门户</x:v>
      </x:c>
      <x:c r="K1664" s="32" t="str">
        <x:v>201</x:v>
      </x:c>
      <x:c r="L1664" s="22" t="str">
        <x:v>城市范围</x:v>
      </x:c>
      <x:c r="M1664" s="33" t="n">
        <x:v>315370.39000000013</x:v>
      </x:c>
      <x:c r="N1664" s="33" t="n">
        <x:v>31.537039000000014</x:v>
      </x:c>
      <x:c r="O1664" s="22" t="str">
        <x:v>公顷</x:v>
      </x:c>
      <x:c r="P1664" s="22" t="str">
        <x:v>未提供（单期横截面）</x:v>
      </x:c>
      <x:c r="Q1664" s="23" t="n">
        <x:v>4643</x:v>
      </x:c>
    </x:row>
    <x:row r="1665">
      <x:c r="A1665" s="30" t="n">
        <x:v>350500</x:v>
      </x:c>
      <x:c r="B1665" s="22" t="str">
        <x:v>泉州市</x:v>
      </x:c>
      <x:c r="C1665" s="31" t="n">
        <x:v>350582</x:v>
      </x:c>
      <x:c r="D1665" s="22" t="str">
        <x:v>晋江市</x:v>
      </x:c>
      <x:c r="E1665" s="22" t="str">
        <x:v>建设用地</x:v>
      </x:c>
      <x:c r="F1665" s="22" t="str">
        <x:v>交通运输用地</x:v>
      </x:c>
      <x:c r="G1665" s="32" t="str">
        <x:v>1007</x:v>
      </x:c>
      <x:c r="H1665" s="32" t="str">
        <x:v>1007</x:v>
      </x:c>
      <x:c r="I1665" s="22" t="str">
        <x:v>机场用地</x:v>
      </x:c>
      <x:c r="J1665" s="22" t="str">
        <x:v>交通门户</x:v>
      </x:c>
      <x:c r="K1665" s="32" t="str">
        <x:v>201</x:v>
      </x:c>
      <x:c r="L1665" s="22" t="str">
        <x:v>城市范围</x:v>
      </x:c>
      <x:c r="M1665" s="33" t="n">
        <x:v>2400653.55</x:v>
      </x:c>
      <x:c r="N1665" s="33" t="n">
        <x:v>240.06535499999998</x:v>
      </x:c>
      <x:c r="O1665" s="22" t="str">
        <x:v>公顷</x:v>
      </x:c>
      <x:c r="P1665" s="22" t="str">
        <x:v>未提供（单期横截面）</x:v>
      </x:c>
      <x:c r="Q1665" s="23" t="n">
        <x:v>4644</x:v>
      </x:c>
    </x:row>
    <x:row r="1666">
      <x:c r="A1666" s="30" t="n">
        <x:v>350500</x:v>
      </x:c>
      <x:c r="B1666" s="22" t="str">
        <x:v>泉州市</x:v>
      </x:c>
      <x:c r="C1666" s="31" t="n">
        <x:v>350582</x:v>
      </x:c>
      <x:c r="D1666" s="22" t="str">
        <x:v>晋江市</x:v>
      </x:c>
      <x:c r="E1666" s="22" t="str">
        <x:v>建设用地</x:v>
      </x:c>
      <x:c r="F1666" s="22" t="str">
        <x:v>其他建设用地</x:v>
      </x:c>
      <x:c r="G1666" s="32" t="str">
        <x:v>1201</x:v>
      </x:c>
      <x:c r="H1666" s="32" t="str">
        <x:v>1201</x:v>
      </x:c>
      <x:c r="I1666" s="22" t="str">
        <x:v>空闲地</x:v>
      </x:c>
      <x:c r="J1666" s="22" t="str">
        <x:v>其他建设</x:v>
      </x:c>
      <x:c r="K1666" s="32" t="str">
        <x:v>201</x:v>
      </x:c>
      <x:c r="L1666" s="22" t="str">
        <x:v>城市范围</x:v>
      </x:c>
      <x:c r="M1666" s="33" t="n">
        <x:v>85696.26000000002</x:v>
      </x:c>
      <x:c r="N1666" s="33" t="n">
        <x:v>8.569626000000003</x:v>
      </x:c>
      <x:c r="O1666" s="22" t="str">
        <x:v>公顷</x:v>
      </x:c>
      <x:c r="P1666" s="22" t="str">
        <x:v>未提供（单期横截面）</x:v>
      </x:c>
      <x:c r="Q1666" s="23" t="n">
        <x:v>4645</x:v>
      </x:c>
    </x:row>
    <x:row r="1667">
      <x:c r="A1667" s="30" t="n">
        <x:v>350500</x:v>
      </x:c>
      <x:c r="B1667" s="22" t="str">
        <x:v>泉州市</x:v>
      </x:c>
      <x:c r="C1667" s="31" t="n">
        <x:v>350582</x:v>
      </x:c>
      <x:c r="D1667" s="22" t="str">
        <x:v>晋江市</x:v>
      </x:c>
      <x:c r="E1667" s="22" t="str">
        <x:v>建设用地</x:v>
      </x:c>
      <x:c r="F1667" s="22" t="str">
        <x:v>工矿仓储用地</x:v>
      </x:c>
      <x:c r="G1667" s="32" t="str">
        <x:v>601</x:v>
      </x:c>
      <x:c r="H1667" s="32" t="str">
        <x:v>601</x:v>
      </x:c>
      <x:c r="I1667" s="22" t="str">
        <x:v>工业用地</x:v>
      </x:c>
      <x:c r="J1667" s="22" t="str">
        <x:v>产业功能</x:v>
      </x:c>
      <x:c r="K1667" s="32" t="str">
        <x:v>201A</x:v>
      </x:c>
      <x:c r="L1667" s="22" t="str">
        <x:v>城市独立工业用地</x:v>
      </x:c>
      <x:c r="M1667" s="33" t="n">
        <x:v>37037.76</x:v>
      </x:c>
      <x:c r="N1667" s="33" t="n">
        <x:v>3.7037760000000004</x:v>
      </x:c>
      <x:c r="O1667" s="22" t="str">
        <x:v>公顷</x:v>
      </x:c>
      <x:c r="P1667" s="22" t="str">
        <x:v>未提供（单期横截面）</x:v>
      </x:c>
      <x:c r="Q1667" s="23" t="n">
        <x:v>4646</x:v>
      </x:c>
    </x:row>
    <x:row r="1668">
      <x:c r="A1668" s="30" t="n">
        <x:v>350500</x:v>
      </x:c>
      <x:c r="B1668" s="22" t="str">
        <x:v>泉州市</x:v>
      </x:c>
      <x:c r="C1668" s="31" t="n">
        <x:v>350582</x:v>
      </x:c>
      <x:c r="D1668" s="22" t="str">
        <x:v>晋江市</x:v>
      </x:c>
      <x:c r="E1668" s="22" t="str">
        <x:v>建设用地</x:v>
      </x:c>
      <x:c r="F1668" s="22" t="str">
        <x:v>工矿仓储用地</x:v>
      </x:c>
      <x:c r="G1668" s="32" t="str">
        <x:v>508</x:v>
      </x:c>
      <x:c r="H1668" s="32" t="str">
        <x:v>508</x:v>
      </x:c>
      <x:c r="I1668" s="22" t="str">
        <x:v>物流仓储用地</x:v>
      </x:c>
      <x:c r="J1668" s="22" t="str">
        <x:v>产业功能</x:v>
      </x:c>
      <x:c r="K1668" s="32" t="str">
        <x:v>202</x:v>
      </x:c>
      <x:c r="L1668" s="22" t="str">
        <x:v>建制镇范围</x:v>
      </x:c>
      <x:c r="M1668" s="33" t="n">
        <x:v>1913086.810000001</x:v>
      </x:c>
      <x:c r="N1668" s="33" t="n">
        <x:v>191.3086810000001</x:v>
      </x:c>
      <x:c r="O1668" s="22" t="str">
        <x:v>公顷</x:v>
      </x:c>
      <x:c r="P1668" s="22" t="str">
        <x:v>未提供（单期横截面）</x:v>
      </x:c>
      <x:c r="Q1668" s="23" t="n">
        <x:v>4647</x:v>
      </x:c>
    </x:row>
    <x:row r="1669">
      <x:c r="A1669" s="30" t="n">
        <x:v>350500</x:v>
      </x:c>
      <x:c r="B1669" s="22" t="str">
        <x:v>泉州市</x:v>
      </x:c>
      <x:c r="C1669" s="31" t="n">
        <x:v>350582</x:v>
      </x:c>
      <x:c r="D1669" s="22" t="str">
        <x:v>晋江市</x:v>
      </x:c>
      <x:c r="E1669" s="22" t="str">
        <x:v>建设用地</x:v>
      </x:c>
      <x:c r="F1669" s="22" t="str">
        <x:v>商业服务业用地</x:v>
      </x:c>
      <x:c r="G1669" s="32" t="str">
        <x:v>05H1</x:v>
      </x:c>
      <x:c r="H1669" s="32" t="str">
        <x:v>05H1</x:v>
      </x:c>
      <x:c r="I1669" s="22" t="str">
        <x:v>商业服务业设施用地</x:v>
      </x:c>
      <x:c r="J1669" s="22" t="str">
        <x:v>商业服务</x:v>
      </x:c>
      <x:c r="K1669" s="32" t="str">
        <x:v>202</x:v>
      </x:c>
      <x:c r="L1669" s="22" t="str">
        <x:v>建制镇范围</x:v>
      </x:c>
      <x:c r="M1669" s="33" t="n">
        <x:v>2739315.9399999995</x:v>
      </x:c>
      <x:c r="N1669" s="33" t="n">
        <x:v>273.93159399999996</x:v>
      </x:c>
      <x:c r="O1669" s="22" t="str">
        <x:v>公顷</x:v>
      </x:c>
      <x:c r="P1669" s="22" t="str">
        <x:v>未提供（单期横截面）</x:v>
      </x:c>
      <x:c r="Q1669" s="23" t="n">
        <x:v>4648</x:v>
      </x:c>
    </x:row>
    <x:row r="1670">
      <x:c r="A1670" s="30" t="n">
        <x:v>350500</x:v>
      </x:c>
      <x:c r="B1670" s="22" t="str">
        <x:v>泉州市</x:v>
      </x:c>
      <x:c r="C1670" s="31" t="n">
        <x:v>350582</x:v>
      </x:c>
      <x:c r="D1670" s="22" t="str">
        <x:v>晋江市</x:v>
      </x:c>
      <x:c r="E1670" s="22" t="str">
        <x:v>建设用地</x:v>
      </x:c>
      <x:c r="F1670" s="22" t="str">
        <x:v>工矿仓储用地</x:v>
      </x:c>
      <x:c r="G1670" s="32" t="str">
        <x:v>601</x:v>
      </x:c>
      <x:c r="H1670" s="32" t="str">
        <x:v>601</x:v>
      </x:c>
      <x:c r="I1670" s="22" t="str">
        <x:v>工业用地</x:v>
      </x:c>
      <x:c r="J1670" s="22" t="str">
        <x:v>产业功能</x:v>
      </x:c>
      <x:c r="K1670" s="32" t="str">
        <x:v>202</x:v>
      </x:c>
      <x:c r="L1670" s="22" t="str">
        <x:v>建制镇范围</x:v>
      </x:c>
      <x:c r="M1670" s="33" t="n">
        <x:v>24748266.949999947</x:v>
      </x:c>
      <x:c r="N1670" s="33" t="n">
        <x:v>2474.8266949999947</x:v>
      </x:c>
      <x:c r="O1670" s="22" t="str">
        <x:v>公顷</x:v>
      </x:c>
      <x:c r="P1670" s="22" t="str">
        <x:v>未提供（单期横截面）</x:v>
      </x:c>
      <x:c r="Q1670" s="23" t="n">
        <x:v>4649</x:v>
      </x:c>
    </x:row>
    <x:row r="1671">
      <x:c r="A1671" s="30" t="n">
        <x:v>350500</x:v>
      </x:c>
      <x:c r="B1671" s="22" t="str">
        <x:v>泉州市</x:v>
      </x:c>
      <x:c r="C1671" s="31" t="n">
        <x:v>350582</x:v>
      </x:c>
      <x:c r="D1671" s="22" t="str">
        <x:v>晋江市</x:v>
      </x:c>
      <x:c r="E1671" s="22" t="str">
        <x:v>建设用地</x:v>
      </x:c>
      <x:c r="F1671" s="22" t="str">
        <x:v>工矿仓储用地</x:v>
      </x:c>
      <x:c r="G1671" s="32" t="str">
        <x:v>602</x:v>
      </x:c>
      <x:c r="H1671" s="32" t="str">
        <x:v>602</x:v>
      </x:c>
      <x:c r="I1671" s="22" t="str">
        <x:v>采矿用地</x:v>
      </x:c>
      <x:c r="J1671" s="22" t="str">
        <x:v>产业功能</x:v>
      </x:c>
      <x:c r="K1671" s="32" t="str">
        <x:v>202</x:v>
      </x:c>
      <x:c r="L1671" s="22" t="str">
        <x:v>建制镇范围</x:v>
      </x:c>
      <x:c r="M1671" s="33" t="n">
        <x:v>80541.9</x:v>
      </x:c>
      <x:c r="N1671" s="33" t="n">
        <x:v>8.05419</x:v>
      </x:c>
      <x:c r="O1671" s="22" t="str">
        <x:v>公顷</x:v>
      </x:c>
      <x:c r="P1671" s="22" t="str">
        <x:v>未提供（单期横截面）</x:v>
      </x:c>
      <x:c r="Q1671" s="23" t="n">
        <x:v>4650</x:v>
      </x:c>
    </x:row>
    <x:row r="1672">
      <x:c r="A1672" s="30" t="n">
        <x:v>350500</x:v>
      </x:c>
      <x:c r="B1672" s="22" t="str">
        <x:v>泉州市</x:v>
      </x:c>
      <x:c r="C1672" s="31" t="n">
        <x:v>350582</x:v>
      </x:c>
      <x:c r="D1672" s="22" t="str">
        <x:v>晋江市</x:v>
      </x:c>
      <x:c r="E1672" s="22" t="str">
        <x:v>建设用地</x:v>
      </x:c>
      <x:c r="F1672" s="22" t="str">
        <x:v>居住用地</x:v>
      </x:c>
      <x:c r="G1672" s="32" t="str">
        <x:v>701</x:v>
      </x:c>
      <x:c r="H1672" s="32" t="str">
        <x:v>701</x:v>
      </x:c>
      <x:c r="I1672" s="22" t="str">
        <x:v>城镇住宅用地</x:v>
      </x:c>
      <x:c r="J1672" s="22" t="str">
        <x:v>居住功能</x:v>
      </x:c>
      <x:c r="K1672" s="32" t="str">
        <x:v>202</x:v>
      </x:c>
      <x:c r="L1672" s="22" t="str">
        <x:v>建制镇范围</x:v>
      </x:c>
      <x:c r="M1672" s="33" t="n">
        <x:v>28759034.610000018</x:v>
      </x:c>
      <x:c r="N1672" s="33" t="n">
        <x:v>2875.9034610000017</x:v>
      </x:c>
      <x:c r="O1672" s="22" t="str">
        <x:v>公顷</x:v>
      </x:c>
      <x:c r="P1672" s="22" t="str">
        <x:v>未提供（单期横截面）</x:v>
      </x:c>
      <x:c r="Q1672" s="23" t="n">
        <x:v>4651</x:v>
      </x:c>
    </x:row>
    <x:row r="1673">
      <x:c r="A1673" s="30" t="n">
        <x:v>350500</x:v>
      </x:c>
      <x:c r="B1673" s="22" t="str">
        <x:v>泉州市</x:v>
      </x:c>
      <x:c r="C1673" s="31" t="n">
        <x:v>350582</x:v>
      </x:c>
      <x:c r="D1673" s="22" t="str">
        <x:v>晋江市</x:v>
      </x:c>
      <x:c r="E1673" s="22" t="str">
        <x:v>建设用地</x:v>
      </x:c>
      <x:c r="F1673" s="22" t="str">
        <x:v>居住用地</x:v>
      </x:c>
      <x:c r="G1673" s="32" t="str">
        <x:v>702</x:v>
      </x:c>
      <x:c r="H1673" s="32" t="str">
        <x:v>702</x:v>
      </x:c>
      <x:c r="I1673" s="22" t="str">
        <x:v>农村宅基地</x:v>
      </x:c>
      <x:c r="J1673" s="22" t="str">
        <x:v>居住功能</x:v>
      </x:c>
      <x:c r="K1673" s="32" t="str">
        <x:v>202</x:v>
      </x:c>
      <x:c r="L1673" s="22" t="str">
        <x:v>建制镇范围</x:v>
      </x:c>
      <x:c r="M1673" s="33" t="n">
        <x:v>301535.7499999999</x:v>
      </x:c>
      <x:c r="N1673" s="33" t="n">
        <x:v>30.15357499999999</x:v>
      </x:c>
      <x:c r="O1673" s="22" t="str">
        <x:v>公顷</x:v>
      </x:c>
      <x:c r="P1673" s="22" t="str">
        <x:v>未提供（单期横截面）</x:v>
      </x:c>
      <x:c r="Q1673" s="23" t="n">
        <x:v>4652</x:v>
      </x:c>
    </x:row>
    <x:row r="1674">
      <x:c r="A1674" s="30" t="n">
        <x:v>350500</x:v>
      </x:c>
      <x:c r="B1674" s="22" t="str">
        <x:v>泉州市</x:v>
      </x:c>
      <x:c r="C1674" s="31" t="n">
        <x:v>350582</x:v>
      </x:c>
      <x:c r="D1674" s="22" t="str">
        <x:v>晋江市</x:v>
      </x:c>
      <x:c r="E1674" s="22" t="str">
        <x:v>建设用地</x:v>
      </x:c>
      <x:c r="F1674" s="22" t="str">
        <x:v>公用设施用地</x:v>
      </x:c>
      <x:c r="G1674" s="32" t="str">
        <x:v>809</x:v>
      </x:c>
      <x:c r="H1674" s="32" t="str">
        <x:v>809</x:v>
      </x:c>
      <x:c r="I1674" s="22" t="str">
        <x:v>公用设施用地</x:v>
      </x:c>
      <x:c r="J1674" s="22" t="str">
        <x:v>其他建设</x:v>
      </x:c>
      <x:c r="K1674" s="32" t="str">
        <x:v>202</x:v>
      </x:c>
      <x:c r="L1674" s="22" t="str">
        <x:v>建制镇范围</x:v>
      </x:c>
      <x:c r="M1674" s="33" t="n">
        <x:v>715506.4899999998</x:v>
      </x:c>
      <x:c r="N1674" s="33" t="n">
        <x:v>71.55064899999998</x:v>
      </x:c>
      <x:c r="O1674" s="22" t="str">
        <x:v>公顷</x:v>
      </x:c>
      <x:c r="P1674" s="22" t="str">
        <x:v>未提供（单期横截面）</x:v>
      </x:c>
      <x:c r="Q1674" s="23" t="n">
        <x:v>4653</x:v>
      </x:c>
    </x:row>
    <x:row r="1675">
      <x:c r="A1675" s="30" t="n">
        <x:v>350500</x:v>
      </x:c>
      <x:c r="B1675" s="22" t="str">
        <x:v>泉州市</x:v>
      </x:c>
      <x:c r="C1675" s="31" t="n">
        <x:v>350582</x:v>
      </x:c>
      <x:c r="D1675" s="22" t="str">
        <x:v>晋江市</x:v>
      </x:c>
      <x:c r="E1675" s="22" t="str">
        <x:v>建设用地</x:v>
      </x:c>
      <x:c r="F1675" s="22" t="str">
        <x:v>绿地与广场用地</x:v>
      </x:c>
      <x:c r="G1675" s="32" t="str">
        <x:v>810</x:v>
      </x:c>
      <x:c r="H1675" s="32" t="str">
        <x:v>810</x:v>
      </x:c>
      <x:c r="I1675" s="22" t="str">
        <x:v>公园与绿地</x:v>
      </x:c>
      <x:c r="J1675" s="22" t="str">
        <x:v>公共空间</x:v>
      </x:c>
      <x:c r="K1675" s="32" t="str">
        <x:v>202</x:v>
      </x:c>
      <x:c r="L1675" s="22" t="str">
        <x:v>建制镇范围</x:v>
      </x:c>
      <x:c r="M1675" s="33" t="n">
        <x:v>1105056.0399999998</x:v>
      </x:c>
      <x:c r="N1675" s="33" t="n">
        <x:v>110.50560399999998</x:v>
      </x:c>
      <x:c r="O1675" s="22" t="str">
        <x:v>公顷</x:v>
      </x:c>
      <x:c r="P1675" s="22" t="str">
        <x:v>未提供（单期横截面）</x:v>
      </x:c>
      <x:c r="Q1675" s="23" t="n">
        <x:v>4654</x:v>
      </x:c>
    </x:row>
    <x:row r="1676">
      <x:c r="A1676" s="30" t="n">
        <x:v>350500</x:v>
      </x:c>
      <x:c r="B1676" s="22" t="str">
        <x:v>泉州市</x:v>
      </x:c>
      <x:c r="C1676" s="31" t="n">
        <x:v>350582</x:v>
      </x:c>
      <x:c r="D1676" s="22" t="str">
        <x:v>晋江市</x:v>
      </x:c>
      <x:c r="E1676" s="22" t="str">
        <x:v>建设用地</x:v>
      </x:c>
      <x:c r="F1676" s="22" t="str">
        <x:v>绿地与广场用地</x:v>
      </x:c>
      <x:c r="G1676" s="32" t="str">
        <x:v>0810A</x:v>
      </x:c>
      <x:c r="H1676" s="32" t="str">
        <x:v>0810</x:v>
      </x:c>
      <x:c r="I1676" s="22" t="str">
        <x:v>广场用地</x:v>
      </x:c>
      <x:c r="J1676" s="22" t="str">
        <x:v>公共空间</x:v>
      </x:c>
      <x:c r="K1676" s="32" t="str">
        <x:v>202</x:v>
      </x:c>
      <x:c r="L1676" s="22" t="str">
        <x:v>建制镇范围</x:v>
      </x:c>
      <x:c r="M1676" s="33" t="n">
        <x:v>33277.19</x:v>
      </x:c>
      <x:c r="N1676" s="33" t="n">
        <x:v>3.327719</x:v>
      </x:c>
      <x:c r="O1676" s="22" t="str">
        <x:v>公顷</x:v>
      </x:c>
      <x:c r="P1676" s="22" t="str">
        <x:v>未提供（单期横截面）</x:v>
      </x:c>
      <x:c r="Q1676" s="23" t="n">
        <x:v>4655</x:v>
      </x:c>
    </x:row>
    <x:row r="1677">
      <x:c r="A1677" s="30" t="n">
        <x:v>350500</x:v>
      </x:c>
      <x:c r="B1677" s="22" t="str">
        <x:v>泉州市</x:v>
      </x:c>
      <x:c r="C1677" s="31" t="n">
        <x:v>350582</x:v>
      </x:c>
      <x:c r="D1677" s="22" t="str">
        <x:v>晋江市</x:v>
      </x:c>
      <x:c r="E1677" s="22" t="str">
        <x:v>建设用地</x:v>
      </x:c>
      <x:c r="F1677" s="22" t="str">
        <x:v>公共管理与公共服务用地</x:v>
      </x:c>
      <x:c r="G1677" s="32" t="str">
        <x:v>08H1</x:v>
      </x:c>
      <x:c r="H1677" s="32" t="str">
        <x:v>08H1</x:v>
      </x:c>
      <x:c r="I1677" s="22" t="str">
        <x:v>机关团体新闻出版用地</x:v>
      </x:c>
      <x:c r="J1677" s="22" t="str">
        <x:v>公共服务</x:v>
      </x:c>
      <x:c r="K1677" s="32" t="str">
        <x:v>202</x:v>
      </x:c>
      <x:c r="L1677" s="22" t="str">
        <x:v>建制镇范围</x:v>
      </x:c>
      <x:c r="M1677" s="33" t="n">
        <x:v>770909.7799999997</x:v>
      </x:c>
      <x:c r="N1677" s="33" t="n">
        <x:v>77.09097799999996</x:v>
      </x:c>
      <x:c r="O1677" s="22" t="str">
        <x:v>公顷</x:v>
      </x:c>
      <x:c r="P1677" s="22" t="str">
        <x:v>未提供（单期横截面）</x:v>
      </x:c>
      <x:c r="Q1677" s="23" t="n">
        <x:v>4656</x:v>
      </x:c>
    </x:row>
    <x:row r="1678">
      <x:c r="A1678" s="30" t="n">
        <x:v>350500</x:v>
      </x:c>
      <x:c r="B1678" s="22" t="str">
        <x:v>泉州市</x:v>
      </x:c>
      <x:c r="C1678" s="31" t="n">
        <x:v>350582</x:v>
      </x:c>
      <x:c r="D1678" s="22" t="str">
        <x:v>晋江市</x:v>
      </x:c>
      <x:c r="E1678" s="22" t="str">
        <x:v>建设用地</x:v>
      </x:c>
      <x:c r="F1678" s="22" t="str">
        <x:v>公共管理与公共服务用地</x:v>
      </x:c>
      <x:c r="G1678" s="32" t="str">
        <x:v>08H2</x:v>
      </x:c>
      <x:c r="H1678" s="32" t="str">
        <x:v>08H2</x:v>
      </x:c>
      <x:c r="I1678" s="22" t="str">
        <x:v>科教文卫用地</x:v>
      </x:c>
      <x:c r="J1678" s="22" t="str">
        <x:v>公共服务</x:v>
      </x:c>
      <x:c r="K1678" s="32" t="str">
        <x:v>202</x:v>
      </x:c>
      <x:c r="L1678" s="22" t="str">
        <x:v>建制镇范围</x:v>
      </x:c>
      <x:c r="M1678" s="33" t="n">
        <x:v>4094204.4200000027</x:v>
      </x:c>
      <x:c r="N1678" s="33" t="n">
        <x:v>409.42044200000026</x:v>
      </x:c>
      <x:c r="O1678" s="22" t="str">
        <x:v>公顷</x:v>
      </x:c>
      <x:c r="P1678" s="22" t="str">
        <x:v>未提供（单期横截面）</x:v>
      </x:c>
      <x:c r="Q1678" s="23" t="n">
        <x:v>4657</x:v>
      </x:c>
    </x:row>
    <x:row r="1679">
      <x:c r="A1679" s="30" t="n">
        <x:v>350500</x:v>
      </x:c>
      <x:c r="B1679" s="22" t="str">
        <x:v>泉州市</x:v>
      </x:c>
      <x:c r="C1679" s="31" t="n">
        <x:v>350582</x:v>
      </x:c>
      <x:c r="D1679" s="22" t="str">
        <x:v>晋江市</x:v>
      </x:c>
      <x:c r="E1679" s="22" t="str">
        <x:v>建设用地</x:v>
      </x:c>
      <x:c r="F1679" s="22" t="str">
        <x:v>公共管理与公共服务用地</x:v>
      </x:c>
      <x:c r="G1679" s="32" t="str">
        <x:v>08H2A</x:v>
      </x:c>
      <x:c r="H1679" s="32" t="str">
        <x:v>08H2</x:v>
      </x:c>
      <x:c r="I1679" s="22" t="str">
        <x:v>高教用地</x:v>
      </x:c>
      <x:c r="J1679" s="22" t="str">
        <x:v>公共服务</x:v>
      </x:c>
      <x:c r="K1679" s="32" t="str">
        <x:v>202</x:v>
      </x:c>
      <x:c r="L1679" s="22" t="str">
        <x:v>建制镇范围</x:v>
      </x:c>
      <x:c r="M1679" s="33" t="n">
        <x:v>494711.72</x:v>
      </x:c>
      <x:c r="N1679" s="33" t="n">
        <x:v>49.471171999999996</x:v>
      </x:c>
      <x:c r="O1679" s="22" t="str">
        <x:v>公顷</x:v>
      </x:c>
      <x:c r="P1679" s="22" t="str">
        <x:v>未提供（单期横截面）</x:v>
      </x:c>
      <x:c r="Q1679" s="23" t="n">
        <x:v>4658</x:v>
      </x:c>
    </x:row>
    <x:row r="1680">
      <x:c r="A1680" s="30" t="n">
        <x:v>350500</x:v>
      </x:c>
      <x:c r="B1680" s="22" t="str">
        <x:v>泉州市</x:v>
      </x:c>
      <x:c r="C1680" s="31" t="n">
        <x:v>350582</x:v>
      </x:c>
      <x:c r="D1680" s="22" t="str">
        <x:v>晋江市</x:v>
      </x:c>
      <x:c r="E1680" s="22" t="str">
        <x:v>建设用地</x:v>
      </x:c>
      <x:c r="F1680" s="22" t="str">
        <x:v>特殊用地</x:v>
      </x:c>
      <x:c r="G1680" s="32" t="str">
        <x:v>9</x:v>
      </x:c>
      <x:c r="H1680" s="32" t="str">
        <x:v>9</x:v>
      </x:c>
      <x:c r="I1680" s="22" t="str">
        <x:v>特殊用地</x:v>
      </x:c>
      <x:c r="J1680" s="22" t="str">
        <x:v>其他建设</x:v>
      </x:c>
      <x:c r="K1680" s="32" t="str">
        <x:v>202</x:v>
      </x:c>
      <x:c r="L1680" s="22" t="str">
        <x:v>建制镇范围</x:v>
      </x:c>
      <x:c r="M1680" s="33" t="n">
        <x:v>523787.65</x:v>
      </x:c>
      <x:c r="N1680" s="33" t="n">
        <x:v>52.378765</x:v>
      </x:c>
      <x:c r="O1680" s="22" t="str">
        <x:v>公顷</x:v>
      </x:c>
      <x:c r="P1680" s="22" t="str">
        <x:v>未提供（单期横截面）</x:v>
      </x:c>
      <x:c r="Q1680" s="23" t="n">
        <x:v>4659</x:v>
      </x:c>
    </x:row>
    <x:row r="1681">
      <x:c r="A1681" s="30" t="n">
        <x:v>350500</x:v>
      </x:c>
      <x:c r="B1681" s="22" t="str">
        <x:v>泉州市</x:v>
      </x:c>
      <x:c r="C1681" s="31" t="n">
        <x:v>350582</x:v>
      </x:c>
      <x:c r="D1681" s="22" t="str">
        <x:v>晋江市</x:v>
      </x:c>
      <x:c r="E1681" s="22" t="str">
        <x:v>建设用地</x:v>
      </x:c>
      <x:c r="F1681" s="22" t="str">
        <x:v>交通运输用地</x:v>
      </x:c>
      <x:c r="G1681" s="32" t="str">
        <x:v>1003</x:v>
      </x:c>
      <x:c r="H1681" s="32" t="str">
        <x:v>1003</x:v>
      </x:c>
      <x:c r="I1681" s="22" t="str">
        <x:v>公路用地</x:v>
      </x:c>
      <x:c r="J1681" s="22" t="str">
        <x:v>交通门户</x:v>
      </x:c>
      <x:c r="K1681" s="32" t="str">
        <x:v>202</x:v>
      </x:c>
      <x:c r="L1681" s="22" t="str">
        <x:v>建制镇范围</x:v>
      </x:c>
      <x:c r="M1681" s="33" t="n">
        <x:v>2477.96</x:v>
      </x:c>
      <x:c r="N1681" s="33" t="n">
        <x:v>0.24779600000000002</x:v>
      </x:c>
      <x:c r="O1681" s="22" t="str">
        <x:v>公顷</x:v>
      </x:c>
      <x:c r="P1681" s="22" t="str">
        <x:v>未提供（单期横截面）</x:v>
      </x:c>
      <x:c r="Q1681" s="23" t="n">
        <x:v>4660</x:v>
      </x:c>
    </x:row>
    <x:row r="1682">
      <x:c r="A1682" s="30" t="n">
        <x:v>350500</x:v>
      </x:c>
      <x:c r="B1682" s="22" t="str">
        <x:v>泉州市</x:v>
      </x:c>
      <x:c r="C1682" s="31" t="n">
        <x:v>350582</x:v>
      </x:c>
      <x:c r="D1682" s="22" t="str">
        <x:v>晋江市</x:v>
      </x:c>
      <x:c r="E1682" s="22" t="str">
        <x:v>建设用地</x:v>
      </x:c>
      <x:c r="F1682" s="22" t="str">
        <x:v>交通运输用地</x:v>
      </x:c>
      <x:c r="G1682" s="32" t="str">
        <x:v>1004</x:v>
      </x:c>
      <x:c r="H1682" s="32" t="str">
        <x:v>1004</x:v>
      </x:c>
      <x:c r="I1682" s="22" t="str">
        <x:v>城镇村道路用地</x:v>
      </x:c>
      <x:c r="J1682" s="22" t="str">
        <x:v>交通门户</x:v>
      </x:c>
      <x:c r="K1682" s="32" t="str">
        <x:v>202</x:v>
      </x:c>
      <x:c r="L1682" s="22" t="str">
        <x:v>建制镇范围</x:v>
      </x:c>
      <x:c r="M1682" s="33" t="n">
        <x:v>4752906.4799999995</x:v>
      </x:c>
      <x:c r="N1682" s="33" t="n">
        <x:v>475.290648</x:v>
      </x:c>
      <x:c r="O1682" s="22" t="str">
        <x:v>公顷</x:v>
      </x:c>
      <x:c r="P1682" s="22" t="str">
        <x:v>未提供（单期横截面）</x:v>
      </x:c>
      <x:c r="Q1682" s="23" t="n">
        <x:v>4661</x:v>
      </x:c>
    </x:row>
    <x:row r="1683">
      <x:c r="A1683" s="30" t="n">
        <x:v>350500</x:v>
      </x:c>
      <x:c r="B1683" s="22" t="str">
        <x:v>泉州市</x:v>
      </x:c>
      <x:c r="C1683" s="31" t="n">
        <x:v>350582</x:v>
      </x:c>
      <x:c r="D1683" s="22" t="str">
        <x:v>晋江市</x:v>
      </x:c>
      <x:c r="E1683" s="22" t="str">
        <x:v>建设用地</x:v>
      </x:c>
      <x:c r="F1683" s="22" t="str">
        <x:v>交通运输用地</x:v>
      </x:c>
      <x:c r="G1683" s="32" t="str">
        <x:v>1005</x:v>
      </x:c>
      <x:c r="H1683" s="32" t="str">
        <x:v>1005</x:v>
      </x:c>
      <x:c r="I1683" s="22" t="str">
        <x:v>交通服务场站用地</x:v>
      </x:c>
      <x:c r="J1683" s="22" t="str">
        <x:v>交通门户</x:v>
      </x:c>
      <x:c r="K1683" s="32" t="str">
        <x:v>202</x:v>
      </x:c>
      <x:c r="L1683" s="22" t="str">
        <x:v>建制镇范围</x:v>
      </x:c>
      <x:c r="M1683" s="33" t="n">
        <x:v>394145.7099999999</x:v>
      </x:c>
      <x:c r="N1683" s="33" t="n">
        <x:v>39.41457099999999</x:v>
      </x:c>
      <x:c r="O1683" s="22" t="str">
        <x:v>公顷</x:v>
      </x:c>
      <x:c r="P1683" s="22" t="str">
        <x:v>未提供（单期横截面）</x:v>
      </x:c>
      <x:c r="Q1683" s="23" t="n">
        <x:v>4662</x:v>
      </x:c>
    </x:row>
    <x:row r="1684">
      <x:c r="A1684" s="30" t="n">
        <x:v>350500</x:v>
      </x:c>
      <x:c r="B1684" s="22" t="str">
        <x:v>泉州市</x:v>
      </x:c>
      <x:c r="C1684" s="31" t="n">
        <x:v>350582</x:v>
      </x:c>
      <x:c r="D1684" s="22" t="str">
        <x:v>晋江市</x:v>
      </x:c>
      <x:c r="E1684" s="22" t="str">
        <x:v>建设用地</x:v>
      </x:c>
      <x:c r="F1684" s="22" t="str">
        <x:v>水域及水利设施</x:v>
      </x:c>
      <x:c r="G1684" s="32" t="str">
        <x:v>1109</x:v>
      </x:c>
      <x:c r="H1684" s="32" t="str">
        <x:v>1109</x:v>
      </x:c>
      <x:c r="I1684" s="22" t="str">
        <x:v>水工建筑用地</x:v>
      </x:c>
      <x:c r="J1684" s="22" t="str">
        <x:v>其他建设</x:v>
      </x:c>
      <x:c r="K1684" s="32" t="str">
        <x:v>202</x:v>
      </x:c>
      <x:c r="L1684" s="22" t="str">
        <x:v>建制镇范围</x:v>
      </x:c>
      <x:c r="M1684" s="33" t="n">
        <x:v>1487.1</x:v>
      </x:c>
      <x:c r="N1684" s="33" t="n">
        <x:v>0.14870999999999998</x:v>
      </x:c>
      <x:c r="O1684" s="22" t="str">
        <x:v>公顷</x:v>
      </x:c>
      <x:c r="P1684" s="22" t="str">
        <x:v>未提供（单期横截面）</x:v>
      </x:c>
      <x:c r="Q1684" s="23" t="n">
        <x:v>4663</x:v>
      </x:c>
    </x:row>
    <x:row r="1685">
      <x:c r="A1685" s="30" t="n">
        <x:v>350500</x:v>
      </x:c>
      <x:c r="B1685" s="22" t="str">
        <x:v>泉州市</x:v>
      </x:c>
      <x:c r="C1685" s="31" t="n">
        <x:v>350582</x:v>
      </x:c>
      <x:c r="D1685" s="22" t="str">
        <x:v>晋江市</x:v>
      </x:c>
      <x:c r="E1685" s="22" t="str">
        <x:v>建设用地</x:v>
      </x:c>
      <x:c r="F1685" s="22" t="str">
        <x:v>其他建设用地</x:v>
      </x:c>
      <x:c r="G1685" s="32" t="str">
        <x:v>1201</x:v>
      </x:c>
      <x:c r="H1685" s="32" t="str">
        <x:v>1201</x:v>
      </x:c>
      <x:c r="I1685" s="22" t="str">
        <x:v>空闲地</x:v>
      </x:c>
      <x:c r="J1685" s="22" t="str">
        <x:v>其他建设</x:v>
      </x:c>
      <x:c r="K1685" s="32" t="str">
        <x:v>202</x:v>
      </x:c>
      <x:c r="L1685" s="22" t="str">
        <x:v>建制镇范围</x:v>
      </x:c>
      <x:c r="M1685" s="33" t="n">
        <x:v>157700.41</x:v>
      </x:c>
      <x:c r="N1685" s="33" t="n">
        <x:v>15.770041</x:v>
      </x:c>
      <x:c r="O1685" s="22" t="str">
        <x:v>公顷</x:v>
      </x:c>
      <x:c r="P1685" s="22" t="str">
        <x:v>未提供（单期横截面）</x:v>
      </x:c>
      <x:c r="Q1685" s="23" t="n">
        <x:v>4664</x:v>
      </x:c>
    </x:row>
    <x:row r="1686">
      <x:c r="A1686" s="30" t="n">
        <x:v>350500</x:v>
      </x:c>
      <x:c r="B1686" s="22" t="str">
        <x:v>泉州市</x:v>
      </x:c>
      <x:c r="C1686" s="31" t="n">
        <x:v>350582</x:v>
      </x:c>
      <x:c r="D1686" s="22" t="str">
        <x:v>晋江市</x:v>
      </x:c>
      <x:c r="E1686" s="22" t="str">
        <x:v>建设用地</x:v>
      </x:c>
      <x:c r="F1686" s="22" t="str">
        <x:v>工矿仓储用地</x:v>
      </x:c>
      <x:c r="G1686" s="32" t="str">
        <x:v>601</x:v>
      </x:c>
      <x:c r="H1686" s="32" t="str">
        <x:v>601</x:v>
      </x:c>
      <x:c r="I1686" s="22" t="str">
        <x:v>工业用地</x:v>
      </x:c>
      <x:c r="J1686" s="22" t="str">
        <x:v>产业功能</x:v>
      </x:c>
      <x:c r="K1686" s="32" t="str">
        <x:v>202A</x:v>
      </x:c>
      <x:c r="L1686" s="22" t="str">
        <x:v>建制镇独立工业用地</x:v>
      </x:c>
      <x:c r="M1686" s="33" t="n">
        <x:v>918541.1799999998</x:v>
      </x:c>
      <x:c r="N1686" s="33" t="n">
        <x:v>91.85411799999999</x:v>
      </x:c>
      <x:c r="O1686" s="22" t="str">
        <x:v>公顷</x:v>
      </x:c>
      <x:c r="P1686" s="22" t="str">
        <x:v>未提供（单期横截面）</x:v>
      </x:c>
      <x:c r="Q1686" s="23" t="n">
        <x:v>4665</x:v>
      </x:c>
    </x:row>
    <x:row r="1687">
      <x:c r="A1687" s="30" t="n">
        <x:v>350500</x:v>
      </x:c>
      <x:c r="B1687" s="22" t="str">
        <x:v>泉州市</x:v>
      </x:c>
      <x:c r="C1687" s="31" t="n">
        <x:v>350582</x:v>
      </x:c>
      <x:c r="D1687" s="22" t="str">
        <x:v>晋江市</x:v>
      </x:c>
      <x:c r="E1687" s="22" t="str">
        <x:v>建设用地</x:v>
      </x:c>
      <x:c r="F1687" s="22" t="str">
        <x:v>工矿仓储用地</x:v>
      </x:c>
      <x:c r="G1687" s="32" t="str">
        <x:v>508</x:v>
      </x:c>
      <x:c r="H1687" s="32" t="str">
        <x:v>508</x:v>
      </x:c>
      <x:c r="I1687" s="22" t="str">
        <x:v>物流仓储用地</x:v>
      </x:c>
      <x:c r="J1687" s="22" t="str">
        <x:v>产业功能</x:v>
      </x:c>
      <x:c r="K1687" s="32" t="str">
        <x:v>203</x:v>
      </x:c>
      <x:c r="L1687" s="22" t="str">
        <x:v>村庄范围</x:v>
      </x:c>
      <x:c r="M1687" s="33" t="n">
        <x:v>3529185.2399999956</x:v>
      </x:c>
      <x:c r="N1687" s="33" t="n">
        <x:v>352.91852399999954</x:v>
      </x:c>
      <x:c r="O1687" s="22" t="str">
        <x:v>公顷</x:v>
      </x:c>
      <x:c r="P1687" s="22" t="str">
        <x:v>未提供（单期横截面）</x:v>
      </x:c>
      <x:c r="Q1687" s="23" t="n">
        <x:v>4666</x:v>
      </x:c>
    </x:row>
    <x:row r="1688">
      <x:c r="A1688" s="30" t="n">
        <x:v>350500</x:v>
      </x:c>
      <x:c r="B1688" s="22" t="str">
        <x:v>泉州市</x:v>
      </x:c>
      <x:c r="C1688" s="31" t="n">
        <x:v>350582</x:v>
      </x:c>
      <x:c r="D1688" s="22" t="str">
        <x:v>晋江市</x:v>
      </x:c>
      <x:c r="E1688" s="22" t="str">
        <x:v>建设用地</x:v>
      </x:c>
      <x:c r="F1688" s="22" t="str">
        <x:v>商业服务业用地</x:v>
      </x:c>
      <x:c r="G1688" s="32" t="str">
        <x:v>05H1</x:v>
      </x:c>
      <x:c r="H1688" s="32" t="str">
        <x:v>05H1</x:v>
      </x:c>
      <x:c r="I1688" s="22" t="str">
        <x:v>商业服务业设施用地</x:v>
      </x:c>
      <x:c r="J1688" s="22" t="str">
        <x:v>商业服务</x:v>
      </x:c>
      <x:c r="K1688" s="32" t="str">
        <x:v>203</x:v>
      </x:c>
      <x:c r="L1688" s="22" t="str">
        <x:v>村庄范围</x:v>
      </x:c>
      <x:c r="M1688" s="33" t="n">
        <x:v>5685757.479999996</x:v>
      </x:c>
      <x:c r="N1688" s="33" t="n">
        <x:v>568.5757479999996</x:v>
      </x:c>
      <x:c r="O1688" s="22" t="str">
        <x:v>公顷</x:v>
      </x:c>
      <x:c r="P1688" s="22" t="str">
        <x:v>未提供（单期横截面）</x:v>
      </x:c>
      <x:c r="Q1688" s="23" t="n">
        <x:v>4667</x:v>
      </x:c>
    </x:row>
    <x:row r="1689">
      <x:c r="A1689" s="30" t="n">
        <x:v>350500</x:v>
      </x:c>
      <x:c r="B1689" s="22" t="str">
        <x:v>泉州市</x:v>
      </x:c>
      <x:c r="C1689" s="31" t="n">
        <x:v>350582</x:v>
      </x:c>
      <x:c r="D1689" s="22" t="str">
        <x:v>晋江市</x:v>
      </x:c>
      <x:c r="E1689" s="22" t="str">
        <x:v>建设用地</x:v>
      </x:c>
      <x:c r="F1689" s="22" t="str">
        <x:v>工矿仓储用地</x:v>
      </x:c>
      <x:c r="G1689" s="32" t="str">
        <x:v>601</x:v>
      </x:c>
      <x:c r="H1689" s="32" t="str">
        <x:v>601</x:v>
      </x:c>
      <x:c r="I1689" s="22" t="str">
        <x:v>工业用地</x:v>
      </x:c>
      <x:c r="J1689" s="22" t="str">
        <x:v>产业功能</x:v>
      </x:c>
      <x:c r="K1689" s="32" t="str">
        <x:v>203</x:v>
      </x:c>
      <x:c r="L1689" s="22" t="str">
        <x:v>村庄范围</x:v>
      </x:c>
      <x:c r="M1689" s="33" t="n">
        <x:v>53918452.550000004</x:v>
      </x:c>
      <x:c r="N1689" s="33" t="n">
        <x:v>5391.845255</x:v>
      </x:c>
      <x:c r="O1689" s="22" t="str">
        <x:v>公顷</x:v>
      </x:c>
      <x:c r="P1689" s="22" t="str">
        <x:v>未提供（单期横截面）</x:v>
      </x:c>
      <x:c r="Q1689" s="23" t="n">
        <x:v>4668</x:v>
      </x:c>
    </x:row>
    <x:row r="1690">
      <x:c r="A1690" s="30" t="n">
        <x:v>350500</x:v>
      </x:c>
      <x:c r="B1690" s="22" t="str">
        <x:v>泉州市</x:v>
      </x:c>
      <x:c r="C1690" s="31" t="n">
        <x:v>350582</x:v>
      </x:c>
      <x:c r="D1690" s="22" t="str">
        <x:v>晋江市</x:v>
      </x:c>
      <x:c r="E1690" s="22" t="str">
        <x:v>建设用地</x:v>
      </x:c>
      <x:c r="F1690" s="22" t="str">
        <x:v>工矿仓储用地</x:v>
      </x:c>
      <x:c r="G1690" s="32" t="str">
        <x:v>602</x:v>
      </x:c>
      <x:c r="H1690" s="32" t="str">
        <x:v>602</x:v>
      </x:c>
      <x:c r="I1690" s="22" t="str">
        <x:v>采矿用地</x:v>
      </x:c>
      <x:c r="J1690" s="22" t="str">
        <x:v>产业功能</x:v>
      </x:c>
      <x:c r="K1690" s="32" t="str">
        <x:v>203</x:v>
      </x:c>
      <x:c r="L1690" s="22" t="str">
        <x:v>村庄范围</x:v>
      </x:c>
      <x:c r="M1690" s="33" t="n">
        <x:v>1494303.890000001</x:v>
      </x:c>
      <x:c r="N1690" s="33" t="n">
        <x:v>149.4303890000001</x:v>
      </x:c>
      <x:c r="O1690" s="22" t="str">
        <x:v>公顷</x:v>
      </x:c>
      <x:c r="P1690" s="22" t="str">
        <x:v>未提供（单期横截面）</x:v>
      </x:c>
      <x:c r="Q1690" s="23" t="n">
        <x:v>4669</x:v>
      </x:c>
    </x:row>
    <x:row r="1691">
      <x:c r="A1691" s="30" t="n">
        <x:v>350500</x:v>
      </x:c>
      <x:c r="B1691" s="22" t="str">
        <x:v>泉州市</x:v>
      </x:c>
      <x:c r="C1691" s="31" t="n">
        <x:v>350582</x:v>
      </x:c>
      <x:c r="D1691" s="22" t="str">
        <x:v>晋江市</x:v>
      </x:c>
      <x:c r="E1691" s="22" t="str">
        <x:v>建设用地</x:v>
      </x:c>
      <x:c r="F1691" s="22" t="str">
        <x:v>居住用地</x:v>
      </x:c>
      <x:c r="G1691" s="32" t="str">
        <x:v>701</x:v>
      </x:c>
      <x:c r="H1691" s="32" t="str">
        <x:v>701</x:v>
      </x:c>
      <x:c r="I1691" s="22" t="str">
        <x:v>城镇住宅用地</x:v>
      </x:c>
      <x:c r="J1691" s="22" t="str">
        <x:v>居住功能</x:v>
      </x:c>
      <x:c r="K1691" s="32" t="str">
        <x:v>203</x:v>
      </x:c>
      <x:c r="L1691" s="22" t="str">
        <x:v>村庄范围</x:v>
      </x:c>
      <x:c r="M1691" s="33" t="n">
        <x:v>3720786.540000002</x:v>
      </x:c>
      <x:c r="N1691" s="33" t="n">
        <x:v>372.0786540000002</x:v>
      </x:c>
      <x:c r="O1691" s="22" t="str">
        <x:v>公顷</x:v>
      </x:c>
      <x:c r="P1691" s="22" t="str">
        <x:v>未提供（单期横截面）</x:v>
      </x:c>
      <x:c r="Q1691" s="23" t="n">
        <x:v>4670</x:v>
      </x:c>
    </x:row>
    <x:row r="1692">
      <x:c r="A1692" s="30" t="n">
        <x:v>350500</x:v>
      </x:c>
      <x:c r="B1692" s="22" t="str">
        <x:v>泉州市</x:v>
      </x:c>
      <x:c r="C1692" s="31" t="n">
        <x:v>350582</x:v>
      </x:c>
      <x:c r="D1692" s="22" t="str">
        <x:v>晋江市</x:v>
      </x:c>
      <x:c r="E1692" s="22" t="str">
        <x:v>建设用地</x:v>
      </x:c>
      <x:c r="F1692" s="22" t="str">
        <x:v>居住用地</x:v>
      </x:c>
      <x:c r="G1692" s="32" t="str">
        <x:v>702</x:v>
      </x:c>
      <x:c r="H1692" s="32" t="str">
        <x:v>702</x:v>
      </x:c>
      <x:c r="I1692" s="22" t="str">
        <x:v>农村宅基地</x:v>
      </x:c>
      <x:c r="J1692" s="22" t="str">
        <x:v>居住功能</x:v>
      </x:c>
      <x:c r="K1692" s="32" t="str">
        <x:v>203</x:v>
      </x:c>
      <x:c r="L1692" s="22" t="str">
        <x:v>村庄范围</x:v>
      </x:c>
      <x:c r="M1692" s="33" t="n">
        <x:v>91728670.1799994</x:v>
      </x:c>
      <x:c r="N1692" s="33" t="n">
        <x:v>9172.867017999939</x:v>
      </x:c>
      <x:c r="O1692" s="22" t="str">
        <x:v>公顷</x:v>
      </x:c>
      <x:c r="P1692" s="22" t="str">
        <x:v>未提供（单期横截面）</x:v>
      </x:c>
      <x:c r="Q1692" s="23" t="n">
        <x:v>4671</x:v>
      </x:c>
    </x:row>
    <x:row r="1693">
      <x:c r="A1693" s="30" t="n">
        <x:v>350500</x:v>
      </x:c>
      <x:c r="B1693" s="22" t="str">
        <x:v>泉州市</x:v>
      </x:c>
      <x:c r="C1693" s="31" t="n">
        <x:v>350582</x:v>
      </x:c>
      <x:c r="D1693" s="22" t="str">
        <x:v>晋江市</x:v>
      </x:c>
      <x:c r="E1693" s="22" t="str">
        <x:v>建设用地</x:v>
      </x:c>
      <x:c r="F1693" s="22" t="str">
        <x:v>公用设施用地</x:v>
      </x:c>
      <x:c r="G1693" s="32" t="str">
        <x:v>809</x:v>
      </x:c>
      <x:c r="H1693" s="32" t="str">
        <x:v>809</x:v>
      </x:c>
      <x:c r="I1693" s="22" t="str">
        <x:v>公用设施用地</x:v>
      </x:c>
      <x:c r="J1693" s="22" t="str">
        <x:v>其他建设</x:v>
      </x:c>
      <x:c r="K1693" s="32" t="str">
        <x:v>203</x:v>
      </x:c>
      <x:c r="L1693" s="22" t="str">
        <x:v>村庄范围</x:v>
      </x:c>
      <x:c r="M1693" s="33" t="n">
        <x:v>1940760.0899999985</x:v>
      </x:c>
      <x:c r="N1693" s="33" t="n">
        <x:v>194.07600899999986</x:v>
      </x:c>
      <x:c r="O1693" s="22" t="str">
        <x:v>公顷</x:v>
      </x:c>
      <x:c r="P1693" s="22" t="str">
        <x:v>未提供（单期横截面）</x:v>
      </x:c>
      <x:c r="Q1693" s="23" t="n">
        <x:v>4672</x:v>
      </x:c>
    </x:row>
    <x:row r="1694">
      <x:c r="A1694" s="30" t="n">
        <x:v>350500</x:v>
      </x:c>
      <x:c r="B1694" s="22" t="str">
        <x:v>泉州市</x:v>
      </x:c>
      <x:c r="C1694" s="31" t="n">
        <x:v>350582</x:v>
      </x:c>
      <x:c r="D1694" s="22" t="str">
        <x:v>晋江市</x:v>
      </x:c>
      <x:c r="E1694" s="22" t="str">
        <x:v>建设用地</x:v>
      </x:c>
      <x:c r="F1694" s="22" t="str">
        <x:v>绿地与广场用地</x:v>
      </x:c>
      <x:c r="G1694" s="32" t="str">
        <x:v>810</x:v>
      </x:c>
      <x:c r="H1694" s="32" t="str">
        <x:v>810</x:v>
      </x:c>
      <x:c r="I1694" s="22" t="str">
        <x:v>公园与绿地</x:v>
      </x:c>
      <x:c r="J1694" s="22" t="str">
        <x:v>公共空间</x:v>
      </x:c>
      <x:c r="K1694" s="32" t="str">
        <x:v>203</x:v>
      </x:c>
      <x:c r="L1694" s="22" t="str">
        <x:v>村庄范围</x:v>
      </x:c>
      <x:c r="M1694" s="33" t="n">
        <x:v>3234855.3100000005</x:v>
      </x:c>
      <x:c r="N1694" s="33" t="n">
        <x:v>323.48553100000004</x:v>
      </x:c>
      <x:c r="O1694" s="22" t="str">
        <x:v>公顷</x:v>
      </x:c>
      <x:c r="P1694" s="22" t="str">
        <x:v>未提供（单期横截面）</x:v>
      </x:c>
      <x:c r="Q1694" s="23" t="n">
        <x:v>4673</x:v>
      </x:c>
    </x:row>
    <x:row r="1695">
      <x:c r="A1695" s="30" t="n">
        <x:v>350500</x:v>
      </x:c>
      <x:c r="B1695" s="22" t="str">
        <x:v>泉州市</x:v>
      </x:c>
      <x:c r="C1695" s="31" t="n">
        <x:v>350582</x:v>
      </x:c>
      <x:c r="D1695" s="22" t="str">
        <x:v>晋江市</x:v>
      </x:c>
      <x:c r="E1695" s="22" t="str">
        <x:v>建设用地</x:v>
      </x:c>
      <x:c r="F1695" s="22" t="str">
        <x:v>绿地与广场用地</x:v>
      </x:c>
      <x:c r="G1695" s="32" t="str">
        <x:v>0810A</x:v>
      </x:c>
      <x:c r="H1695" s="32" t="str">
        <x:v>0810</x:v>
      </x:c>
      <x:c r="I1695" s="22" t="str">
        <x:v>广场用地</x:v>
      </x:c>
      <x:c r="J1695" s="22" t="str">
        <x:v>公共空间</x:v>
      </x:c>
      <x:c r="K1695" s="32" t="str">
        <x:v>203</x:v>
      </x:c>
      <x:c r="L1695" s="22" t="str">
        <x:v>村庄范围</x:v>
      </x:c>
      <x:c r="M1695" s="33" t="n">
        <x:v>95838.09999999999</x:v>
      </x:c>
      <x:c r="N1695" s="33" t="n">
        <x:v>9.58381</x:v>
      </x:c>
      <x:c r="O1695" s="22" t="str">
        <x:v>公顷</x:v>
      </x:c>
      <x:c r="P1695" s="22" t="str">
        <x:v>未提供（单期横截面）</x:v>
      </x:c>
      <x:c r="Q1695" s="23" t="n">
        <x:v>4674</x:v>
      </x:c>
    </x:row>
    <x:row r="1696">
      <x:c r="A1696" s="30" t="n">
        <x:v>350500</x:v>
      </x:c>
      <x:c r="B1696" s="22" t="str">
        <x:v>泉州市</x:v>
      </x:c>
      <x:c r="C1696" s="31" t="n">
        <x:v>350582</x:v>
      </x:c>
      <x:c r="D1696" s="22" t="str">
        <x:v>晋江市</x:v>
      </x:c>
      <x:c r="E1696" s="22" t="str">
        <x:v>建设用地</x:v>
      </x:c>
      <x:c r="F1696" s="22" t="str">
        <x:v>公共管理与公共服务用地</x:v>
      </x:c>
      <x:c r="G1696" s="32" t="str">
        <x:v>08H1</x:v>
      </x:c>
      <x:c r="H1696" s="32" t="str">
        <x:v>08H1</x:v>
      </x:c>
      <x:c r="I1696" s="22" t="str">
        <x:v>机关团体新闻出版用地</x:v>
      </x:c>
      <x:c r="J1696" s="22" t="str">
        <x:v>公共服务</x:v>
      </x:c>
      <x:c r="K1696" s="32" t="str">
        <x:v>203</x:v>
      </x:c>
      <x:c r="L1696" s="22" t="str">
        <x:v>村庄范围</x:v>
      </x:c>
      <x:c r="M1696" s="33" t="n">
        <x:v>508122.21999999974</x:v>
      </x:c>
      <x:c r="N1696" s="33" t="n">
        <x:v>50.81222199999998</x:v>
      </x:c>
      <x:c r="O1696" s="22" t="str">
        <x:v>公顷</x:v>
      </x:c>
      <x:c r="P1696" s="22" t="str">
        <x:v>未提供（单期横截面）</x:v>
      </x:c>
      <x:c r="Q1696" s="23" t="n">
        <x:v>4675</x:v>
      </x:c>
    </x:row>
    <x:row r="1697">
      <x:c r="A1697" s="30" t="n">
        <x:v>350500</x:v>
      </x:c>
      <x:c r="B1697" s="22" t="str">
        <x:v>泉州市</x:v>
      </x:c>
      <x:c r="C1697" s="31" t="n">
        <x:v>350582</x:v>
      </x:c>
      <x:c r="D1697" s="22" t="str">
        <x:v>晋江市</x:v>
      </x:c>
      <x:c r="E1697" s="22" t="str">
        <x:v>建设用地</x:v>
      </x:c>
      <x:c r="F1697" s="22" t="str">
        <x:v>公共管理与公共服务用地</x:v>
      </x:c>
      <x:c r="G1697" s="32" t="str">
        <x:v>08H2</x:v>
      </x:c>
      <x:c r="H1697" s="32" t="str">
        <x:v>08H2</x:v>
      </x:c>
      <x:c r="I1697" s="22" t="str">
        <x:v>科教文卫用地</x:v>
      </x:c>
      <x:c r="J1697" s="22" t="str">
        <x:v>公共服务</x:v>
      </x:c>
      <x:c r="K1697" s="32" t="str">
        <x:v>203</x:v>
      </x:c>
      <x:c r="L1697" s="22" t="str">
        <x:v>村庄范围</x:v>
      </x:c>
      <x:c r="M1697" s="33" t="n">
        <x:v>4756246.830000007</x:v>
      </x:c>
      <x:c r="N1697" s="33" t="n">
        <x:v>475.6246830000007</x:v>
      </x:c>
      <x:c r="O1697" s="22" t="str">
        <x:v>公顷</x:v>
      </x:c>
      <x:c r="P1697" s="22" t="str">
        <x:v>未提供（单期横截面）</x:v>
      </x:c>
      <x:c r="Q1697" s="23" t="n">
        <x:v>4676</x:v>
      </x:c>
    </x:row>
    <x:row r="1698">
      <x:c r="A1698" s="30" t="n">
        <x:v>350500</x:v>
      </x:c>
      <x:c r="B1698" s="22" t="str">
        <x:v>泉州市</x:v>
      </x:c>
      <x:c r="C1698" s="31" t="n">
        <x:v>350582</x:v>
      </x:c>
      <x:c r="D1698" s="22" t="str">
        <x:v>晋江市</x:v>
      </x:c>
      <x:c r="E1698" s="22" t="str">
        <x:v>建设用地</x:v>
      </x:c>
      <x:c r="F1698" s="22" t="str">
        <x:v>公共管理与公共服务用地</x:v>
      </x:c>
      <x:c r="G1698" s="32" t="str">
        <x:v>08H2A</x:v>
      </x:c>
      <x:c r="H1698" s="32" t="str">
        <x:v>08H2</x:v>
      </x:c>
      <x:c r="I1698" s="22" t="str">
        <x:v>高教用地</x:v>
      </x:c>
      <x:c r="J1698" s="22" t="str">
        <x:v>公共服务</x:v>
      </x:c>
      <x:c r="K1698" s="32" t="str">
        <x:v>203</x:v>
      </x:c>
      <x:c r="L1698" s="22" t="str">
        <x:v>村庄范围</x:v>
      </x:c>
      <x:c r="M1698" s="33" t="n">
        <x:v>85204.82999999999</x:v>
      </x:c>
      <x:c r="N1698" s="33" t="n">
        <x:v>8.520482999999999</x:v>
      </x:c>
      <x:c r="O1698" s="22" t="str">
        <x:v>公顷</x:v>
      </x:c>
      <x:c r="P1698" s="22" t="str">
        <x:v>未提供（单期横截面）</x:v>
      </x:c>
      <x:c r="Q1698" s="23" t="n">
        <x:v>4677</x:v>
      </x:c>
    </x:row>
    <x:row r="1699">
      <x:c r="A1699" s="30" t="n">
        <x:v>350500</x:v>
      </x:c>
      <x:c r="B1699" s="22" t="str">
        <x:v>泉州市</x:v>
      </x:c>
      <x:c r="C1699" s="31" t="n">
        <x:v>350582</x:v>
      </x:c>
      <x:c r="D1699" s="22" t="str">
        <x:v>晋江市</x:v>
      </x:c>
      <x:c r="E1699" s="22" t="str">
        <x:v>建设用地</x:v>
      </x:c>
      <x:c r="F1699" s="22" t="str">
        <x:v>特殊用地</x:v>
      </x:c>
      <x:c r="G1699" s="32" t="str">
        <x:v>9</x:v>
      </x:c>
      <x:c r="H1699" s="32" t="str">
        <x:v>9</x:v>
      </x:c>
      <x:c r="I1699" s="22" t="str">
        <x:v>特殊用地</x:v>
      </x:c>
      <x:c r="J1699" s="22" t="str">
        <x:v>其他建设</x:v>
      </x:c>
      <x:c r="K1699" s="32" t="str">
        <x:v>203</x:v>
      </x:c>
      <x:c r="L1699" s="22" t="str">
        <x:v>村庄范围</x:v>
      </x:c>
      <x:c r="M1699" s="33" t="n">
        <x:v>1277790.659999999</x:v>
      </x:c>
      <x:c r="N1699" s="33" t="n">
        <x:v>127.7790659999999</x:v>
      </x:c>
      <x:c r="O1699" s="22" t="str">
        <x:v>公顷</x:v>
      </x:c>
      <x:c r="P1699" s="22" t="str">
        <x:v>未提供（单期横截面）</x:v>
      </x:c>
      <x:c r="Q1699" s="23" t="n">
        <x:v>4678</x:v>
      </x:c>
    </x:row>
    <x:row r="1700">
      <x:c r="A1700" s="30" t="n">
        <x:v>350500</x:v>
      </x:c>
      <x:c r="B1700" s="22" t="str">
        <x:v>泉州市</x:v>
      </x:c>
      <x:c r="C1700" s="31" t="n">
        <x:v>350582</x:v>
      </x:c>
      <x:c r="D1700" s="22" t="str">
        <x:v>晋江市</x:v>
      </x:c>
      <x:c r="E1700" s="22" t="str">
        <x:v>建设用地</x:v>
      </x:c>
      <x:c r="F1700" s="22" t="str">
        <x:v>交通运输用地</x:v>
      </x:c>
      <x:c r="G1700" s="32" t="str">
        <x:v>1003</x:v>
      </x:c>
      <x:c r="H1700" s="32" t="str">
        <x:v>1003</x:v>
      </x:c>
      <x:c r="I1700" s="22" t="str">
        <x:v>公路用地</x:v>
      </x:c>
      <x:c r="J1700" s="22" t="str">
        <x:v>交通门户</x:v>
      </x:c>
      <x:c r="K1700" s="32" t="str">
        <x:v>203</x:v>
      </x:c>
      <x:c r="L1700" s="22" t="str">
        <x:v>村庄范围</x:v>
      </x:c>
      <x:c r="M1700" s="33" t="n">
        <x:v>1994.24</x:v>
      </x:c>
      <x:c r="N1700" s="33" t="n">
        <x:v>0.199424</x:v>
      </x:c>
      <x:c r="O1700" s="22" t="str">
        <x:v>公顷</x:v>
      </x:c>
      <x:c r="P1700" s="22" t="str">
        <x:v>未提供（单期横截面）</x:v>
      </x:c>
      <x:c r="Q1700" s="23" t="n">
        <x:v>4679</x:v>
      </x:c>
    </x:row>
    <x:row r="1701">
      <x:c r="A1701" s="30" t="n">
        <x:v>350500</x:v>
      </x:c>
      <x:c r="B1701" s="22" t="str">
        <x:v>泉州市</x:v>
      </x:c>
      <x:c r="C1701" s="31" t="n">
        <x:v>350582</x:v>
      </x:c>
      <x:c r="D1701" s="22" t="str">
        <x:v>晋江市</x:v>
      </x:c>
      <x:c r="E1701" s="22" t="str">
        <x:v>建设用地</x:v>
      </x:c>
      <x:c r="F1701" s="22" t="str">
        <x:v>交通运输用地</x:v>
      </x:c>
      <x:c r="G1701" s="32" t="str">
        <x:v>1004</x:v>
      </x:c>
      <x:c r="H1701" s="32" t="str">
        <x:v>1004</x:v>
      </x:c>
      <x:c r="I1701" s="22" t="str">
        <x:v>城镇村道路用地</x:v>
      </x:c>
      <x:c r="J1701" s="22" t="str">
        <x:v>交通门户</x:v>
      </x:c>
      <x:c r="K1701" s="32" t="str">
        <x:v>203</x:v>
      </x:c>
      <x:c r="L1701" s="22" t="str">
        <x:v>村庄范围</x:v>
      </x:c>
      <x:c r="M1701" s="33" t="n">
        <x:v>7263076.309999994</x:v>
      </x:c>
      <x:c r="N1701" s="33" t="n">
        <x:v>726.3076309999994</x:v>
      </x:c>
      <x:c r="O1701" s="22" t="str">
        <x:v>公顷</x:v>
      </x:c>
      <x:c r="P1701" s="22" t="str">
        <x:v>未提供（单期横截面）</x:v>
      </x:c>
      <x:c r="Q1701" s="23" t="n">
        <x:v>4680</x:v>
      </x:c>
    </x:row>
    <x:row r="1702">
      <x:c r="A1702" s="30" t="n">
        <x:v>350500</x:v>
      </x:c>
      <x:c r="B1702" s="22" t="str">
        <x:v>泉州市</x:v>
      </x:c>
      <x:c r="C1702" s="31" t="n">
        <x:v>350582</x:v>
      </x:c>
      <x:c r="D1702" s="22" t="str">
        <x:v>晋江市</x:v>
      </x:c>
      <x:c r="E1702" s="22" t="str">
        <x:v>建设用地</x:v>
      </x:c>
      <x:c r="F1702" s="22" t="str">
        <x:v>交通运输用地</x:v>
      </x:c>
      <x:c r="G1702" s="32" t="str">
        <x:v>1005</x:v>
      </x:c>
      <x:c r="H1702" s="32" t="str">
        <x:v>1005</x:v>
      </x:c>
      <x:c r="I1702" s="22" t="str">
        <x:v>交通服务场站用地</x:v>
      </x:c>
      <x:c r="J1702" s="22" t="str">
        <x:v>交通门户</x:v>
      </x:c>
      <x:c r="K1702" s="32" t="str">
        <x:v>203</x:v>
      </x:c>
      <x:c r="L1702" s="22" t="str">
        <x:v>村庄范围</x:v>
      </x:c>
      <x:c r="M1702" s="33" t="n">
        <x:v>994935.0100000002</x:v>
      </x:c>
      <x:c r="N1702" s="33" t="n">
        <x:v>99.49350100000002</x:v>
      </x:c>
      <x:c r="O1702" s="22" t="str">
        <x:v>公顷</x:v>
      </x:c>
      <x:c r="P1702" s="22" t="str">
        <x:v>未提供（单期横截面）</x:v>
      </x:c>
      <x:c r="Q1702" s="23" t="n">
        <x:v>4681</x:v>
      </x:c>
    </x:row>
    <x:row r="1703">
      <x:c r="A1703" s="30" t="n">
        <x:v>350500</x:v>
      </x:c>
      <x:c r="B1703" s="22" t="str">
        <x:v>泉州市</x:v>
      </x:c>
      <x:c r="C1703" s="31" t="n">
        <x:v>350582</x:v>
      </x:c>
      <x:c r="D1703" s="22" t="str">
        <x:v>晋江市</x:v>
      </x:c>
      <x:c r="E1703" s="22" t="str">
        <x:v>建设用地</x:v>
      </x:c>
      <x:c r="F1703" s="22" t="str">
        <x:v>交通运输用地</x:v>
      </x:c>
      <x:c r="G1703" s="32" t="str">
        <x:v>1007</x:v>
      </x:c>
      <x:c r="H1703" s="32" t="str">
        <x:v>1007</x:v>
      </x:c>
      <x:c r="I1703" s="22" t="str">
        <x:v>机场用地</x:v>
      </x:c>
      <x:c r="J1703" s="22" t="str">
        <x:v>交通门户</x:v>
      </x:c>
      <x:c r="K1703" s="32" t="str">
        <x:v>203</x:v>
      </x:c>
      <x:c r="L1703" s="22" t="str">
        <x:v>村庄范围</x:v>
      </x:c>
      <x:c r="M1703" s="33" t="n">
        <x:v>9413.57</x:v>
      </x:c>
      <x:c r="N1703" s="33" t="n">
        <x:v>0.941357</x:v>
      </x:c>
      <x:c r="O1703" s="22" t="str">
        <x:v>公顷</x:v>
      </x:c>
      <x:c r="P1703" s="22" t="str">
        <x:v>未提供（单期横截面）</x:v>
      </x:c>
      <x:c r="Q1703" s="23" t="n">
        <x:v>4682</x:v>
      </x:c>
    </x:row>
    <x:row r="1704">
      <x:c r="A1704" s="30" t="n">
        <x:v>350500</x:v>
      </x:c>
      <x:c r="B1704" s="22" t="str">
        <x:v>泉州市</x:v>
      </x:c>
      <x:c r="C1704" s="31" t="n">
        <x:v>350582</x:v>
      </x:c>
      <x:c r="D1704" s="22" t="str">
        <x:v>晋江市</x:v>
      </x:c>
      <x:c r="E1704" s="22" t="str">
        <x:v>建设用地</x:v>
      </x:c>
      <x:c r="F1704" s="22" t="str">
        <x:v>水域及水利设施</x:v>
      </x:c>
      <x:c r="G1704" s="32" t="str">
        <x:v>1109</x:v>
      </x:c>
      <x:c r="H1704" s="32" t="str">
        <x:v>1109</x:v>
      </x:c>
      <x:c r="I1704" s="22" t="str">
        <x:v>水工建筑用地</x:v>
      </x:c>
      <x:c r="J1704" s="22" t="str">
        <x:v>其他建设</x:v>
      </x:c>
      <x:c r="K1704" s="32" t="str">
        <x:v>203</x:v>
      </x:c>
      <x:c r="L1704" s="22" t="str">
        <x:v>村庄范围</x:v>
      </x:c>
      <x:c r="M1704" s="33" t="n">
        <x:v>2529.9800000000005</x:v>
      </x:c>
      <x:c r="N1704" s="33" t="n">
        <x:v>0.25299800000000006</x:v>
      </x:c>
      <x:c r="O1704" s="22" t="str">
        <x:v>公顷</x:v>
      </x:c>
      <x:c r="P1704" s="22" t="str">
        <x:v>未提供（单期横截面）</x:v>
      </x:c>
      <x:c r="Q1704" s="23" t="n">
        <x:v>4683</x:v>
      </x:c>
    </x:row>
    <x:row r="1705">
      <x:c r="A1705" s="30" t="n">
        <x:v>350500</x:v>
      </x:c>
      <x:c r="B1705" s="22" t="str">
        <x:v>泉州市</x:v>
      </x:c>
      <x:c r="C1705" s="31" t="n">
        <x:v>350582</x:v>
      </x:c>
      <x:c r="D1705" s="22" t="str">
        <x:v>晋江市</x:v>
      </x:c>
      <x:c r="E1705" s="22" t="str">
        <x:v>建设用地</x:v>
      </x:c>
      <x:c r="F1705" s="22" t="str">
        <x:v>其他建设用地</x:v>
      </x:c>
      <x:c r="G1705" s="32" t="str">
        <x:v>1201</x:v>
      </x:c>
      <x:c r="H1705" s="32" t="str">
        <x:v>1201</x:v>
      </x:c>
      <x:c r="I1705" s="22" t="str">
        <x:v>空闲地</x:v>
      </x:c>
      <x:c r="J1705" s="22" t="str">
        <x:v>其他建设</x:v>
      </x:c>
      <x:c r="K1705" s="32" t="str">
        <x:v>203</x:v>
      </x:c>
      <x:c r="L1705" s="22" t="str">
        <x:v>村庄范围</x:v>
      </x:c>
      <x:c r="M1705" s="33" t="n">
        <x:v>263995.2</x:v>
      </x:c>
      <x:c r="N1705" s="33" t="n">
        <x:v>26.399520000000003</x:v>
      </x:c>
      <x:c r="O1705" s="22" t="str">
        <x:v>公顷</x:v>
      </x:c>
      <x:c r="P1705" s="22" t="str">
        <x:v>未提供（单期横截面）</x:v>
      </x:c>
      <x:c r="Q1705" s="23" t="n">
        <x:v>4684</x:v>
      </x:c>
    </x:row>
    <x:row r="1706">
      <x:c r="A1706" s="30" t="n">
        <x:v>350500</x:v>
      </x:c>
      <x:c r="B1706" s="22" t="str">
        <x:v>泉州市</x:v>
      </x:c>
      <x:c r="C1706" s="31" t="n">
        <x:v>350582</x:v>
      </x:c>
      <x:c r="D1706" s="22" t="str">
        <x:v>晋江市</x:v>
      </x:c>
      <x:c r="E1706" s="22" t="str">
        <x:v>建设用地</x:v>
      </x:c>
      <x:c r="F1706" s="22" t="str">
        <x:v>工矿仓储用地</x:v>
      </x:c>
      <x:c r="G1706" s="32" t="str">
        <x:v>601</x:v>
      </x:c>
      <x:c r="H1706" s="32" t="str">
        <x:v>601</x:v>
      </x:c>
      <x:c r="I1706" s="22" t="str">
        <x:v>工业用地</x:v>
      </x:c>
      <x:c r="J1706" s="22" t="str">
        <x:v>产业功能</x:v>
      </x:c>
      <x:c r="K1706" s="32" t="str">
        <x:v>203A</x:v>
      </x:c>
      <x:c r="L1706" s="22" t="str">
        <x:v>村庄独立工业用地</x:v>
      </x:c>
      <x:c r="M1706" s="33" t="n">
        <x:v>2497806.2800000017</x:v>
      </x:c>
      <x:c r="N1706" s="33" t="n">
        <x:v>249.78062800000018</x:v>
      </x:c>
      <x:c r="O1706" s="22" t="str">
        <x:v>公顷</x:v>
      </x:c>
      <x:c r="P1706" s="22" t="str">
        <x:v>未提供（单期横截面）</x:v>
      </x:c>
      <x:c r="Q1706" s="23" t="n">
        <x:v>4685</x:v>
      </x:c>
    </x:row>
    <x:row r="1707">
      <x:c r="A1707" s="30" t="n">
        <x:v>350500</x:v>
      </x:c>
      <x:c r="B1707" s="22" t="str">
        <x:v>泉州市</x:v>
      </x:c>
      <x:c r="C1707" s="31" t="n">
        <x:v>350582</x:v>
      </x:c>
      <x:c r="D1707" s="22" t="str">
        <x:v>晋江市</x:v>
      </x:c>
      <x:c r="E1707" s="22" t="str">
        <x:v>建设用地</x:v>
      </x:c>
      <x:c r="F1707" s="22" t="str">
        <x:v>工矿仓储用地</x:v>
      </x:c>
      <x:c r="G1707" s="32" t="str">
        <x:v>602</x:v>
      </x:c>
      <x:c r="H1707" s="32" t="str">
        <x:v>602</x:v>
      </x:c>
      <x:c r="I1707" s="22" t="str">
        <x:v>采矿用地</x:v>
      </x:c>
      <x:c r="J1707" s="22" t="str">
        <x:v>产业功能</x:v>
      </x:c>
      <x:c r="K1707" s="32" t="str">
        <x:v>204</x:v>
      </x:c>
      <x:c r="L1707" s="22" t="str">
        <x:v>盐田及采矿用地</x:v>
      </x:c>
      <x:c r="M1707" s="33" t="n">
        <x:v>4019687.8400000017</x:v>
      </x:c>
      <x:c r="N1707" s="33" t="n">
        <x:v>401.9687840000002</x:v>
      </x:c>
      <x:c r="O1707" s="22" t="str">
        <x:v>公顷</x:v>
      </x:c>
      <x:c r="P1707" s="22" t="str">
        <x:v>未提供（单期横截面）</x:v>
      </x:c>
      <x:c r="Q1707" s="23" t="n">
        <x:v>4686</x:v>
      </x:c>
    </x:row>
    <x:row r="1708">
      <x:c r="A1708" s="30" t="n">
        <x:v>350500</x:v>
      </x:c>
      <x:c r="B1708" s="22" t="str">
        <x:v>泉州市</x:v>
      </x:c>
      <x:c r="C1708" s="31" t="n">
        <x:v>350582</x:v>
      </x:c>
      <x:c r="D1708" s="22" t="str">
        <x:v>晋江市</x:v>
      </x:c>
      <x:c r="E1708" s="22" t="str">
        <x:v>建设用地</x:v>
      </x:c>
      <x:c r="F1708" s="22" t="str">
        <x:v>特殊用地</x:v>
      </x:c>
      <x:c r="G1708" s="32" t="str">
        <x:v>9</x:v>
      </x:c>
      <x:c r="H1708" s="32" t="str">
        <x:v>9</x:v>
      </x:c>
      <x:c r="I1708" s="22" t="str">
        <x:v>特殊用地</x:v>
      </x:c>
      <x:c r="J1708" s="22" t="str">
        <x:v>其他建设</x:v>
      </x:c>
      <x:c r="K1708" s="32" t="str">
        <x:v>205</x:v>
      </x:c>
      <x:c r="L1708" s="22" t="str">
        <x:v>特殊用地</x:v>
      </x:c>
      <x:c r="M1708" s="33" t="n">
        <x:v>9185431.830000008</x:v>
      </x:c>
      <x:c r="N1708" s="33" t="n">
        <x:v>918.5431830000008</x:v>
      </x:c>
      <x:c r="O1708" s="22" t="str">
        <x:v>公顷</x:v>
      </x:c>
      <x:c r="P1708" s="22" t="str">
        <x:v>未提供（单期横截面）</x:v>
      </x:c>
      <x:c r="Q1708" s="23" t="n">
        <x:v>4687</x:v>
      </x:c>
    </x:row>
    <x:row r="1709">
      <x:c r="A1709" s="30" t="n">
        <x:v>350500</x:v>
      </x:c>
      <x:c r="B1709" s="22" t="str">
        <x:v>泉州市</x:v>
      </x:c>
      <x:c r="C1709" s="31" t="n">
        <x:v>350582</x:v>
      </x:c>
      <x:c r="D1709" s="22" t="str">
        <x:v>晋江市</x:v>
      </x:c>
      <x:c r="E1709" s="22" t="str">
        <x:v>建设用地</x:v>
      </x:c>
      <x:c r="F1709" s="22" t="str">
        <x:v>交通运输用地</x:v>
      </x:c>
      <x:c r="G1709" s="32" t="str">
        <x:v>1007</x:v>
      </x:c>
      <x:c r="H1709" s="32" t="str">
        <x:v>1007</x:v>
      </x:c>
      <x:c r="I1709" s="22" t="str">
        <x:v>机场用地</x:v>
      </x:c>
      <x:c r="J1709" s="22" t="str">
        <x:v>交通门户</x:v>
      </x:c>
      <x:c r="K1709" s="32" t="str">
        <x:v>205</x:v>
      </x:c>
      <x:c r="L1709" s="22" t="str">
        <x:v>特殊用地</x:v>
      </x:c>
      <x:c r="M1709" s="33" t="n">
        <x:v>228.11</x:v>
      </x:c>
      <x:c r="N1709" s="33" t="n">
        <x:v>0.022811</x:v>
      </x:c>
      <x:c r="O1709" s="22" t="str">
        <x:v>公顷</x:v>
      </x:c>
      <x:c r="P1709" s="22" t="str">
        <x:v>未提供（单期横截面）</x:v>
      </x:c>
      <x:c r="Q1709" s="23" t="n">
        <x:v>4688</x:v>
      </x:c>
    </x:row>
    <x:row r="1710">
      <x:c r="A1710" s="30" t="n">
        <x:v>350500</x:v>
      </x:c>
      <x:c r="B1710" s="22" t="str">
        <x:v>泉州市</x:v>
      </x:c>
      <x:c r="C1710" s="31" t="n">
        <x:v>350582</x:v>
      </x:c>
      <x:c r="D1710" s="22" t="str">
        <x:v>晋江市</x:v>
      </x:c>
      <x:c r="E1710" s="22" t="str">
        <x:v>农用地</x:v>
      </x:c>
      <x:c r="F1710" s="22" t="str">
        <x:v>耕地</x:v>
      </x:c>
      <x:c r="G1710" s="32" t="str">
        <x:v>101</x:v>
      </x:c>
      <x:c r="H1710" s="32" t="str">
        <x:v>101</x:v>
      </x:c>
      <x:c r="I1710" s="22" t="str">
        <x:v>水田</x:v>
      </x:c>
      <x:c r="J1710" s="22" t="str">
        <x:v>农业生态</x:v>
      </x:c>
      <x:c r="K1710" s="32" t="str"/>
      <x:c r="L1710" s="22" t="str">
        <x:v>不适用/未标注</x:v>
      </x:c>
      <x:c r="M1710" s="33" t="n">
        <x:v>33995409.220000036</x:v>
      </x:c>
      <x:c r="N1710" s="33" t="n">
        <x:v>3399.540922000004</x:v>
      </x:c>
      <x:c r="O1710" s="22" t="str">
        <x:v>公顷</x:v>
      </x:c>
      <x:c r="P1710" s="22" t="str">
        <x:v>未提供（单期横截面）</x:v>
      </x:c>
      <x:c r="Q1710" s="23" t="n">
        <x:v>4689</x:v>
      </x:c>
    </x:row>
    <x:row r="1711">
      <x:c r="A1711" s="30" t="n">
        <x:v>350500</x:v>
      </x:c>
      <x:c r="B1711" s="22" t="str">
        <x:v>泉州市</x:v>
      </x:c>
      <x:c r="C1711" s="31" t="n">
        <x:v>350582</x:v>
      </x:c>
      <x:c r="D1711" s="22" t="str">
        <x:v>晋江市</x:v>
      </x:c>
      <x:c r="E1711" s="22" t="str">
        <x:v>农用地</x:v>
      </x:c>
      <x:c r="F1711" s="22" t="str">
        <x:v>耕地</x:v>
      </x:c>
      <x:c r="G1711" s="32" t="str">
        <x:v>102</x:v>
      </x:c>
      <x:c r="H1711" s="32" t="str">
        <x:v>102</x:v>
      </x:c>
      <x:c r="I1711" s="22" t="str">
        <x:v>水浇地</x:v>
      </x:c>
      <x:c r="J1711" s="22" t="str">
        <x:v>农业生态</x:v>
      </x:c>
      <x:c r="K1711" s="32" t="str"/>
      <x:c r="L1711" s="22" t="str">
        <x:v>不适用/未标注</x:v>
      </x:c>
      <x:c r="M1711" s="33" t="n">
        <x:v>35439574.37</x:v>
      </x:c>
      <x:c r="N1711" s="33" t="n">
        <x:v>3543.9574369999996</x:v>
      </x:c>
      <x:c r="O1711" s="22" t="str">
        <x:v>公顷</x:v>
      </x:c>
      <x:c r="P1711" s="22" t="str">
        <x:v>未提供（单期横截面）</x:v>
      </x:c>
      <x:c r="Q1711" s="23" t="n">
        <x:v>4690</x:v>
      </x:c>
    </x:row>
    <x:row r="1712">
      <x:c r="A1712" s="30" t="n">
        <x:v>350500</x:v>
      </x:c>
      <x:c r="B1712" s="22" t="str">
        <x:v>泉州市</x:v>
      </x:c>
      <x:c r="C1712" s="31" t="n">
        <x:v>350582</x:v>
      </x:c>
      <x:c r="D1712" s="22" t="str">
        <x:v>晋江市</x:v>
      </x:c>
      <x:c r="E1712" s="22" t="str">
        <x:v>农用地</x:v>
      </x:c>
      <x:c r="F1712" s="22" t="str">
        <x:v>耕地</x:v>
      </x:c>
      <x:c r="G1712" s="32" t="str">
        <x:v>103</x:v>
      </x:c>
      <x:c r="H1712" s="32" t="str">
        <x:v>103</x:v>
      </x:c>
      <x:c r="I1712" s="22" t="str">
        <x:v>旱地</x:v>
      </x:c>
      <x:c r="J1712" s="22" t="str">
        <x:v>农业生态</x:v>
      </x:c>
      <x:c r="K1712" s="32" t="str"/>
      <x:c r="L1712" s="22" t="str">
        <x:v>不适用/未标注</x:v>
      </x:c>
      <x:c r="M1712" s="33" t="n">
        <x:v>68497224.14000037</x:v>
      </x:c>
      <x:c r="N1712" s="33" t="n">
        <x:v>6849.722414000037</x:v>
      </x:c>
      <x:c r="O1712" s="22" t="str">
        <x:v>公顷</x:v>
      </x:c>
      <x:c r="P1712" s="22" t="str">
        <x:v>未提供（单期横截面）</x:v>
      </x:c>
      <x:c r="Q1712" s="23" t="n">
        <x:v>4691</x:v>
      </x:c>
    </x:row>
    <x:row r="1713">
      <x:c r="A1713" s="30" t="n">
        <x:v>350500</x:v>
      </x:c>
      <x:c r="B1713" s="22" t="str">
        <x:v>泉州市</x:v>
      </x:c>
      <x:c r="C1713" s="31" t="n">
        <x:v>350582</x:v>
      </x:c>
      <x:c r="D1713" s="22" t="str">
        <x:v>晋江市</x:v>
      </x:c>
      <x:c r="E1713" s="22" t="str">
        <x:v>农用地</x:v>
      </x:c>
      <x:c r="F1713" s="22" t="str">
        <x:v>园地</x:v>
      </x:c>
      <x:c r="G1713" s="32" t="str">
        <x:v>201</x:v>
      </x:c>
      <x:c r="H1713" s="32" t="str">
        <x:v>201</x:v>
      </x:c>
      <x:c r="I1713" s="22" t="str">
        <x:v>果园</x:v>
      </x:c>
      <x:c r="J1713" s="22" t="str">
        <x:v>农业生态</x:v>
      </x:c>
      <x:c r="K1713" s="32" t="str"/>
      <x:c r="L1713" s="22" t="str">
        <x:v>不适用/未标注</x:v>
      </x:c>
      <x:c r="M1713" s="33" t="n">
        <x:v>10553539.780000005</x:v>
      </x:c>
      <x:c r="N1713" s="33" t="n">
        <x:v>1055.3539780000006</x:v>
      </x:c>
      <x:c r="O1713" s="22" t="str">
        <x:v>公顷</x:v>
      </x:c>
      <x:c r="P1713" s="22" t="str">
        <x:v>未提供（单期横截面）</x:v>
      </x:c>
      <x:c r="Q1713" s="23" t="n">
        <x:v>4692</x:v>
      </x:c>
    </x:row>
    <x:row r="1714">
      <x:c r="A1714" s="30" t="n">
        <x:v>350500</x:v>
      </x:c>
      <x:c r="B1714" s="22" t="str">
        <x:v>泉州市</x:v>
      </x:c>
      <x:c r="C1714" s="31" t="n">
        <x:v>350582</x:v>
      </x:c>
      <x:c r="D1714" s="22" t="str">
        <x:v>晋江市</x:v>
      </x:c>
      <x:c r="E1714" s="22" t="str">
        <x:v>农用地</x:v>
      </x:c>
      <x:c r="F1714" s="22" t="str">
        <x:v>园地</x:v>
      </x:c>
      <x:c r="G1714" s="32" t="str">
        <x:v>0201K</x:v>
      </x:c>
      <x:c r="H1714" s="32" t="str">
        <x:v>201</x:v>
      </x:c>
      <x:c r="I1714" s="22" t="str">
        <x:v>可调整果园</x:v>
      </x:c>
      <x:c r="J1714" s="22" t="str">
        <x:v>农业生态</x:v>
      </x:c>
      <x:c r="K1714" s="32" t="str"/>
      <x:c r="L1714" s="22" t="str">
        <x:v>不适用/未标注</x:v>
      </x:c>
      <x:c r="M1714" s="33" t="n">
        <x:v>1859338.0799999991</x:v>
      </x:c>
      <x:c r="N1714" s="33" t="n">
        <x:v>185.9338079999999</x:v>
      </x:c>
      <x:c r="O1714" s="22" t="str">
        <x:v>公顷</x:v>
      </x:c>
      <x:c r="P1714" s="22" t="str">
        <x:v>未提供（单期横截面）</x:v>
      </x:c>
      <x:c r="Q1714" s="23" t="n">
        <x:v>4693</x:v>
      </x:c>
    </x:row>
    <x:row r="1715">
      <x:c r="A1715" s="30" t="n">
        <x:v>350500</x:v>
      </x:c>
      <x:c r="B1715" s="22" t="str">
        <x:v>泉州市</x:v>
      </x:c>
      <x:c r="C1715" s="31" t="n">
        <x:v>350582</x:v>
      </x:c>
      <x:c r="D1715" s="22" t="str">
        <x:v>晋江市</x:v>
      </x:c>
      <x:c r="E1715" s="22" t="str">
        <x:v>农用地</x:v>
      </x:c>
      <x:c r="F1715" s="22" t="str">
        <x:v>园地</x:v>
      </x:c>
      <x:c r="G1715" s="32" t="str">
        <x:v>202</x:v>
      </x:c>
      <x:c r="H1715" s="32" t="str">
        <x:v>202</x:v>
      </x:c>
      <x:c r="I1715" s="22" t="str">
        <x:v>茶园</x:v>
      </x:c>
      <x:c r="J1715" s="22" t="str">
        <x:v>农业生态</x:v>
      </x:c>
      <x:c r="K1715" s="32" t="str"/>
      <x:c r="L1715" s="22" t="str">
        <x:v>不适用/未标注</x:v>
      </x:c>
      <x:c r="M1715" s="33" t="n">
        <x:v>5957.4400000000005</x:v>
      </x:c>
      <x:c r="N1715" s="33" t="n">
        <x:v>0.595744</x:v>
      </x:c>
      <x:c r="O1715" s="22" t="str">
        <x:v>公顷</x:v>
      </x:c>
      <x:c r="P1715" s="22" t="str">
        <x:v>未提供（单期横截面）</x:v>
      </x:c>
      <x:c r="Q1715" s="23" t="n">
        <x:v>4694</x:v>
      </x:c>
    </x:row>
    <x:row r="1716">
      <x:c r="A1716" s="30" t="n">
        <x:v>350500</x:v>
      </x:c>
      <x:c r="B1716" s="22" t="str">
        <x:v>泉州市</x:v>
      </x:c>
      <x:c r="C1716" s="31" t="n">
        <x:v>350582</x:v>
      </x:c>
      <x:c r="D1716" s="22" t="str">
        <x:v>晋江市</x:v>
      </x:c>
      <x:c r="E1716" s="22" t="str">
        <x:v>农用地</x:v>
      </x:c>
      <x:c r="F1716" s="22" t="str">
        <x:v>园地</x:v>
      </x:c>
      <x:c r="G1716" s="32" t="str">
        <x:v>0202K</x:v>
      </x:c>
      <x:c r="H1716" s="32" t="str">
        <x:v>0202</x:v>
      </x:c>
      <x:c r="I1716" s="22" t="str">
        <x:v>可调整茶园</x:v>
      </x:c>
      <x:c r="J1716" s="22" t="str">
        <x:v>农业生态</x:v>
      </x:c>
      <x:c r="K1716" s="32" t="str"/>
      <x:c r="L1716" s="22" t="str">
        <x:v>不适用/未标注</x:v>
      </x:c>
      <x:c r="M1716" s="33" t="n">
        <x:v>317.76</x:v>
      </x:c>
      <x:c r="N1716" s="33" t="n">
        <x:v>0.031776</x:v>
      </x:c>
      <x:c r="O1716" s="22" t="str">
        <x:v>公顷</x:v>
      </x:c>
      <x:c r="P1716" s="22" t="str">
        <x:v>未提供（单期横截面）</x:v>
      </x:c>
      <x:c r="Q1716" s="23" t="n">
        <x:v>4695</x:v>
      </x:c>
    </x:row>
    <x:row r="1717">
      <x:c r="A1717" s="30" t="n">
        <x:v>350500</x:v>
      </x:c>
      <x:c r="B1717" s="22" t="str">
        <x:v>泉州市</x:v>
      </x:c>
      <x:c r="C1717" s="31" t="n">
        <x:v>350582</x:v>
      </x:c>
      <x:c r="D1717" s="22" t="str">
        <x:v>晋江市</x:v>
      </x:c>
      <x:c r="E1717" s="22" t="str">
        <x:v>农用地</x:v>
      </x:c>
      <x:c r="F1717" s="22" t="str">
        <x:v>园地</x:v>
      </x:c>
      <x:c r="G1717" s="32" t="str">
        <x:v>204</x:v>
      </x:c>
      <x:c r="H1717" s="32" t="str">
        <x:v>204</x:v>
      </x:c>
      <x:c r="I1717" s="22" t="str">
        <x:v>其他园地</x:v>
      </x:c>
      <x:c r="J1717" s="22" t="str">
        <x:v>农业生态</x:v>
      </x:c>
      <x:c r="K1717" s="32" t="str"/>
      <x:c r="L1717" s="22" t="str">
        <x:v>不适用/未标注</x:v>
      </x:c>
      <x:c r="M1717" s="33" t="n">
        <x:v>202190.35000000006</x:v>
      </x:c>
      <x:c r="N1717" s="33" t="n">
        <x:v>20.219035000000005</x:v>
      </x:c>
      <x:c r="O1717" s="22" t="str">
        <x:v>公顷</x:v>
      </x:c>
      <x:c r="P1717" s="22" t="str">
        <x:v>未提供（单期横截面）</x:v>
      </x:c>
      <x:c r="Q1717" s="23" t="n">
        <x:v>4696</x:v>
      </x:c>
    </x:row>
    <x:row r="1718">
      <x:c r="A1718" s="30" t="n">
        <x:v>350500</x:v>
      </x:c>
      <x:c r="B1718" s="22" t="str">
        <x:v>泉州市</x:v>
      </x:c>
      <x:c r="C1718" s="31" t="n">
        <x:v>350582</x:v>
      </x:c>
      <x:c r="D1718" s="22" t="str">
        <x:v>晋江市</x:v>
      </x:c>
      <x:c r="E1718" s="22" t="str">
        <x:v>农用地</x:v>
      </x:c>
      <x:c r="F1718" s="22" t="str">
        <x:v>园地</x:v>
      </x:c>
      <x:c r="G1718" s="32" t="str">
        <x:v>0204K</x:v>
      </x:c>
      <x:c r="H1718" s="32" t="str">
        <x:v>0204</x:v>
      </x:c>
      <x:c r="I1718" s="22" t="str">
        <x:v>可调整其他园地</x:v>
      </x:c>
      <x:c r="J1718" s="22" t="str">
        <x:v>农业生态</x:v>
      </x:c>
      <x:c r="K1718" s="32" t="str"/>
      <x:c r="L1718" s="22" t="str">
        <x:v>不适用/未标注</x:v>
      </x:c>
      <x:c r="M1718" s="33" t="n">
        <x:v>26847.58</x:v>
      </x:c>
      <x:c r="N1718" s="33" t="n">
        <x:v>2.684758</x:v>
      </x:c>
      <x:c r="O1718" s="22" t="str">
        <x:v>公顷</x:v>
      </x:c>
      <x:c r="P1718" s="22" t="str">
        <x:v>未提供（单期横截面）</x:v>
      </x:c>
      <x:c r="Q1718" s="23" t="n">
        <x:v>4697</x:v>
      </x:c>
    </x:row>
    <x:row r="1719">
      <x:c r="A1719" s="30" t="n">
        <x:v>350500</x:v>
      </x:c>
      <x:c r="B1719" s="22" t="str">
        <x:v>泉州市</x:v>
      </x:c>
      <x:c r="C1719" s="31" t="n">
        <x:v>350582</x:v>
      </x:c>
      <x:c r="D1719" s="22" t="str">
        <x:v>晋江市</x:v>
      </x:c>
      <x:c r="E1719" s="22" t="str">
        <x:v>农用地</x:v>
      </x:c>
      <x:c r="F1719" s="22" t="str">
        <x:v>林地</x:v>
      </x:c>
      <x:c r="G1719" s="32" t="str">
        <x:v>301</x:v>
      </x:c>
      <x:c r="H1719" s="32" t="str">
        <x:v>301</x:v>
      </x:c>
      <x:c r="I1719" s="22" t="str">
        <x:v>乔木林地</x:v>
      </x:c>
      <x:c r="J1719" s="22" t="str">
        <x:v>农业生态</x:v>
      </x:c>
      <x:c r="K1719" s="32" t="str"/>
      <x:c r="L1719" s="22" t="str">
        <x:v>不适用/未标注</x:v>
      </x:c>
      <x:c r="M1719" s="33" t="n">
        <x:v>63856181.920000255</x:v>
      </x:c>
      <x:c r="N1719" s="33" t="n">
        <x:v>6385.618192000025</x:v>
      </x:c>
      <x:c r="O1719" s="22" t="str">
        <x:v>公顷</x:v>
      </x:c>
      <x:c r="P1719" s="22" t="str">
        <x:v>未提供（单期横截面）</x:v>
      </x:c>
      <x:c r="Q1719" s="23" t="n">
        <x:v>4698</x:v>
      </x:c>
    </x:row>
    <x:row r="1720">
      <x:c r="A1720" s="30" t="n">
        <x:v>350500</x:v>
      </x:c>
      <x:c r="B1720" s="22" t="str">
        <x:v>泉州市</x:v>
      </x:c>
      <x:c r="C1720" s="31" t="n">
        <x:v>350582</x:v>
      </x:c>
      <x:c r="D1720" s="22" t="str">
        <x:v>晋江市</x:v>
      </x:c>
      <x:c r="E1720" s="22" t="str">
        <x:v>农用地</x:v>
      </x:c>
      <x:c r="F1720" s="22" t="str">
        <x:v>林地</x:v>
      </x:c>
      <x:c r="G1720" s="32" t="str">
        <x:v>0301K</x:v>
      </x:c>
      <x:c r="H1720" s="32" t="str">
        <x:v>0301</x:v>
      </x:c>
      <x:c r="I1720" s="22" t="str">
        <x:v>可调整乔木林地</x:v>
      </x:c>
      <x:c r="J1720" s="22" t="str">
        <x:v>农业生态</x:v>
      </x:c>
      <x:c r="K1720" s="32" t="str"/>
      <x:c r="L1720" s="22" t="str">
        <x:v>不适用/未标注</x:v>
      </x:c>
      <x:c r="M1720" s="33" t="n">
        <x:v>2571901.9399999976</x:v>
      </x:c>
      <x:c r="N1720" s="33" t="n">
        <x:v>257.19019399999974</x:v>
      </x:c>
      <x:c r="O1720" s="22" t="str">
        <x:v>公顷</x:v>
      </x:c>
      <x:c r="P1720" s="22" t="str">
        <x:v>未提供（单期横截面）</x:v>
      </x:c>
      <x:c r="Q1720" s="23" t="n">
        <x:v>4699</x:v>
      </x:c>
    </x:row>
    <x:row r="1721">
      <x:c r="A1721" s="30" t="n">
        <x:v>350500</x:v>
      </x:c>
      <x:c r="B1721" s="22" t="str">
        <x:v>泉州市</x:v>
      </x:c>
      <x:c r="C1721" s="31" t="n">
        <x:v>350582</x:v>
      </x:c>
      <x:c r="D1721" s="22" t="str">
        <x:v>晋江市</x:v>
      </x:c>
      <x:c r="E1721" s="22" t="str">
        <x:v>农用地</x:v>
      </x:c>
      <x:c r="F1721" s="22" t="str">
        <x:v>林地</x:v>
      </x:c>
      <x:c r="G1721" s="32" t="str">
        <x:v>303</x:v>
      </x:c>
      <x:c r="H1721" s="32" t="str">
        <x:v>303</x:v>
      </x:c>
      <x:c r="I1721" s="22" t="str">
        <x:v>红树林地</x:v>
      </x:c>
      <x:c r="J1721" s="22" t="str">
        <x:v>农业生态</x:v>
      </x:c>
      <x:c r="K1721" s="32" t="str"/>
      <x:c r="L1721" s="22" t="str">
        <x:v>不适用/未标注</x:v>
      </x:c>
      <x:c r="M1721" s="33" t="n">
        <x:v>159687.96</x:v>
      </x:c>
      <x:c r="N1721" s="33" t="n">
        <x:v>15.968796</x:v>
      </x:c>
      <x:c r="O1721" s="22" t="str">
        <x:v>公顷</x:v>
      </x:c>
      <x:c r="P1721" s="22" t="str">
        <x:v>未提供（单期横截面）</x:v>
      </x:c>
      <x:c r="Q1721" s="23" t="n">
        <x:v>4700</x:v>
      </x:c>
    </x:row>
    <x:row r="1722">
      <x:c r="A1722" s="30" t="n">
        <x:v>350500</x:v>
      </x:c>
      <x:c r="B1722" s="22" t="str">
        <x:v>泉州市</x:v>
      </x:c>
      <x:c r="C1722" s="31" t="n">
        <x:v>350582</x:v>
      </x:c>
      <x:c r="D1722" s="22" t="str">
        <x:v>晋江市</x:v>
      </x:c>
      <x:c r="E1722" s="22" t="str">
        <x:v>农用地</x:v>
      </x:c>
      <x:c r="F1722" s="22" t="str">
        <x:v>林地</x:v>
      </x:c>
      <x:c r="G1722" s="32" t="str">
        <x:v>305</x:v>
      </x:c>
      <x:c r="H1722" s="32" t="str">
        <x:v>305</x:v>
      </x:c>
      <x:c r="I1722" s="22" t="str">
        <x:v>灌木林地</x:v>
      </x:c>
      <x:c r="J1722" s="22" t="str">
        <x:v>农业生态</x:v>
      </x:c>
      <x:c r="K1722" s="32" t="str"/>
      <x:c r="L1722" s="22" t="str">
        <x:v>不适用/未标注</x:v>
      </x:c>
      <x:c r="M1722" s="33" t="n">
        <x:v>1932575.4599999997</x:v>
      </x:c>
      <x:c r="N1722" s="33" t="n">
        <x:v>193.25754599999996</x:v>
      </x:c>
      <x:c r="O1722" s="22" t="str">
        <x:v>公顷</x:v>
      </x:c>
      <x:c r="P1722" s="22" t="str">
        <x:v>未提供（单期横截面）</x:v>
      </x:c>
      <x:c r="Q1722" s="23" t="n">
        <x:v>4701</x:v>
      </x:c>
    </x:row>
    <x:row r="1723">
      <x:c r="A1723" s="30" t="n">
        <x:v>350500</x:v>
      </x:c>
      <x:c r="B1723" s="22" t="str">
        <x:v>泉州市</x:v>
      </x:c>
      <x:c r="C1723" s="31" t="n">
        <x:v>350582</x:v>
      </x:c>
      <x:c r="D1723" s="22" t="str">
        <x:v>晋江市</x:v>
      </x:c>
      <x:c r="E1723" s="22" t="str">
        <x:v>农用地</x:v>
      </x:c>
      <x:c r="F1723" s="22" t="str">
        <x:v>林地</x:v>
      </x:c>
      <x:c r="G1723" s="32" t="str">
        <x:v>307</x:v>
      </x:c>
      <x:c r="H1723" s="32" t="str">
        <x:v>307</x:v>
      </x:c>
      <x:c r="I1723" s="22" t="str">
        <x:v>其他林地</x:v>
      </x:c>
      <x:c r="J1723" s="22" t="str">
        <x:v>农业生态</x:v>
      </x:c>
      <x:c r="K1723" s="32" t="str"/>
      <x:c r="L1723" s="22" t="str">
        <x:v>不适用/未标注</x:v>
      </x:c>
      <x:c r="M1723" s="33" t="n">
        <x:v>9603990.269999996</x:v>
      </x:c>
      <x:c r="N1723" s="33" t="n">
        <x:v>960.3990269999996</x:v>
      </x:c>
      <x:c r="O1723" s="22" t="str">
        <x:v>公顷</x:v>
      </x:c>
      <x:c r="P1723" s="22" t="str">
        <x:v>未提供（单期横截面）</x:v>
      </x:c>
      <x:c r="Q1723" s="23" t="n">
        <x:v>4702</x:v>
      </x:c>
    </x:row>
    <x:row r="1724">
      <x:c r="A1724" s="30" t="n">
        <x:v>350500</x:v>
      </x:c>
      <x:c r="B1724" s="22" t="str">
        <x:v>泉州市</x:v>
      </x:c>
      <x:c r="C1724" s="31" t="n">
        <x:v>350582</x:v>
      </x:c>
      <x:c r="D1724" s="22" t="str">
        <x:v>晋江市</x:v>
      </x:c>
      <x:c r="E1724" s="22" t="str">
        <x:v>农用地</x:v>
      </x:c>
      <x:c r="F1724" s="22" t="str">
        <x:v>林地</x:v>
      </x:c>
      <x:c r="G1724" s="32" t="str">
        <x:v>0307K</x:v>
      </x:c>
      <x:c r="H1724" s="32" t="str">
        <x:v>0307</x:v>
      </x:c>
      <x:c r="I1724" s="22" t="str">
        <x:v>可调整其他林地</x:v>
      </x:c>
      <x:c r="J1724" s="22" t="str">
        <x:v>农业生态</x:v>
      </x:c>
      <x:c r="K1724" s="32" t="str"/>
      <x:c r="L1724" s="22" t="str">
        <x:v>不适用/未标注</x:v>
      </x:c>
      <x:c r="M1724" s="33" t="n">
        <x:v>45697.19</x:v>
      </x:c>
      <x:c r="N1724" s="33" t="n">
        <x:v>4.569719</x:v>
      </x:c>
      <x:c r="O1724" s="22" t="str">
        <x:v>公顷</x:v>
      </x:c>
      <x:c r="P1724" s="22" t="str">
        <x:v>未提供（单期横截面）</x:v>
      </x:c>
      <x:c r="Q1724" s="23" t="n">
        <x:v>4703</x:v>
      </x:c>
    </x:row>
    <x:row r="1725">
      <x:c r="A1725" s="30" t="n">
        <x:v>350500</x:v>
      </x:c>
      <x:c r="B1725" s="22" t="str">
        <x:v>泉州市</x:v>
      </x:c>
      <x:c r="C1725" s="31" t="n">
        <x:v>350582</x:v>
      </x:c>
      <x:c r="D1725" s="22" t="str">
        <x:v>晋江市</x:v>
      </x:c>
      <x:c r="E1725" s="22" t="str">
        <x:v>农用地</x:v>
      </x:c>
      <x:c r="F1725" s="22" t="str">
        <x:v>其他农用地</x:v>
      </x:c>
      <x:c r="G1725" s="32" t="str">
        <x:v>1006</x:v>
      </x:c>
      <x:c r="H1725" s="32" t="str">
        <x:v>1006</x:v>
      </x:c>
      <x:c r="I1725" s="22" t="str">
        <x:v>农村道路</x:v>
      </x:c>
      <x:c r="J1725" s="22" t="str">
        <x:v>农业生态</x:v>
      </x:c>
      <x:c r="K1725" s="32" t="str"/>
      <x:c r="L1725" s="22" t="str">
        <x:v>不适用/未标注</x:v>
      </x:c>
      <x:c r="M1725" s="33" t="n">
        <x:v>6435736.599999996</x:v>
      </x:c>
      <x:c r="N1725" s="33" t="n">
        <x:v>643.5736599999996</x:v>
      </x:c>
      <x:c r="O1725" s="22" t="str">
        <x:v>公顷</x:v>
      </x:c>
      <x:c r="P1725" s="22" t="str">
        <x:v>未提供（单期横截面）</x:v>
      </x:c>
      <x:c r="Q1725" s="23" t="n">
        <x:v>4704</x:v>
      </x:c>
    </x:row>
    <x:row r="1726">
      <x:c r="A1726" s="30" t="n">
        <x:v>350500</x:v>
      </x:c>
      <x:c r="B1726" s="22" t="str">
        <x:v>泉州市</x:v>
      </x:c>
      <x:c r="C1726" s="31" t="n">
        <x:v>350582</x:v>
      </x:c>
      <x:c r="D1726" s="22" t="str">
        <x:v>晋江市</x:v>
      </x:c>
      <x:c r="E1726" s="22" t="str">
        <x:v>农用地</x:v>
      </x:c>
      <x:c r="F1726" s="22" t="str">
        <x:v>水域及水利设施</x:v>
      </x:c>
      <x:c r="G1726" s="32" t="str">
        <x:v>1103</x:v>
      </x:c>
      <x:c r="H1726" s="32" t="str">
        <x:v>1103</x:v>
      </x:c>
      <x:c r="I1726" s="22" t="str">
        <x:v>水库水面</x:v>
      </x:c>
      <x:c r="J1726" s="22" t="str">
        <x:v>农业生态</x:v>
      </x:c>
      <x:c r="K1726" s="32" t="str"/>
      <x:c r="L1726" s="22" t="str">
        <x:v>不适用/未标注</x:v>
      </x:c>
      <x:c r="M1726" s="33" t="n">
        <x:v>4228082.209999998</x:v>
      </x:c>
      <x:c r="N1726" s="33" t="n">
        <x:v>422.80822099999983</x:v>
      </x:c>
      <x:c r="O1726" s="22" t="str">
        <x:v>公顷</x:v>
      </x:c>
      <x:c r="P1726" s="22" t="str">
        <x:v>未提供（单期横截面）</x:v>
      </x:c>
      <x:c r="Q1726" s="23" t="n">
        <x:v>4705</x:v>
      </x:c>
    </x:row>
    <x:row r="1727">
      <x:c r="A1727" s="30" t="n">
        <x:v>350500</x:v>
      </x:c>
      <x:c r="B1727" s="22" t="str">
        <x:v>泉州市</x:v>
      </x:c>
      <x:c r="C1727" s="31" t="n">
        <x:v>350582</x:v>
      </x:c>
      <x:c r="D1727" s="22" t="str">
        <x:v>晋江市</x:v>
      </x:c>
      <x:c r="E1727" s="22" t="str">
        <x:v>农用地</x:v>
      </x:c>
      <x:c r="F1727" s="22" t="str">
        <x:v>水域及水利设施</x:v>
      </x:c>
      <x:c r="G1727" s="32" t="str">
        <x:v>1104</x:v>
      </x:c>
      <x:c r="H1727" s="32" t="str">
        <x:v>1104</x:v>
      </x:c>
      <x:c r="I1727" s="22" t="str">
        <x:v>坑塘水面</x:v>
      </x:c>
      <x:c r="J1727" s="22" t="str">
        <x:v>农业生态</x:v>
      </x:c>
      <x:c r="K1727" s="32" t="str"/>
      <x:c r="L1727" s="22" t="str">
        <x:v>不适用/未标注</x:v>
      </x:c>
      <x:c r="M1727" s="33" t="n">
        <x:v>10676739.38999999</x:v>
      </x:c>
      <x:c r="N1727" s="33" t="n">
        <x:v>1067.6739389999989</x:v>
      </x:c>
      <x:c r="O1727" s="22" t="str">
        <x:v>公顷</x:v>
      </x:c>
      <x:c r="P1727" s="22" t="str">
        <x:v>未提供（单期横截面）</x:v>
      </x:c>
      <x:c r="Q1727" s="23" t="n">
        <x:v>4706</x:v>
      </x:c>
    </x:row>
    <x:row r="1728">
      <x:c r="A1728" s="30" t="n">
        <x:v>350500</x:v>
      </x:c>
      <x:c r="B1728" s="22" t="str">
        <x:v>泉州市</x:v>
      </x:c>
      <x:c r="C1728" s="31" t="n">
        <x:v>350582</x:v>
      </x:c>
      <x:c r="D1728" s="22" t="str">
        <x:v>晋江市</x:v>
      </x:c>
      <x:c r="E1728" s="22" t="str">
        <x:v>农用地</x:v>
      </x:c>
      <x:c r="F1728" s="22" t="str">
        <x:v>水域及水利设施</x:v>
      </x:c>
      <x:c r="G1728" s="32" t="str">
        <x:v>1104A</x:v>
      </x:c>
      <x:c r="H1728" s="32" t="str">
        <x:v>1104</x:v>
      </x:c>
      <x:c r="I1728" s="22" t="str">
        <x:v>养殖坑塘</x:v>
      </x:c>
      <x:c r="J1728" s="22" t="str">
        <x:v>农业生态</x:v>
      </x:c>
      <x:c r="K1728" s="32" t="str"/>
      <x:c r="L1728" s="22" t="str">
        <x:v>不适用/未标注</x:v>
      </x:c>
      <x:c r="M1728" s="33" t="n">
        <x:v>3597699.0999999996</x:v>
      </x:c>
      <x:c r="N1728" s="33" t="n">
        <x:v>359.76991</x:v>
      </x:c>
      <x:c r="O1728" s="22" t="str">
        <x:v>公顷</x:v>
      </x:c>
      <x:c r="P1728" s="22" t="str">
        <x:v>未提供（单期横截面）</x:v>
      </x:c>
      <x:c r="Q1728" s="23" t="n">
        <x:v>4707</x:v>
      </x:c>
    </x:row>
    <x:row r="1729">
      <x:c r="A1729" s="30" t="n">
        <x:v>350500</x:v>
      </x:c>
      <x:c r="B1729" s="22" t="str">
        <x:v>泉州市</x:v>
      </x:c>
      <x:c r="C1729" s="31" t="n">
        <x:v>350582</x:v>
      </x:c>
      <x:c r="D1729" s="22" t="str">
        <x:v>晋江市</x:v>
      </x:c>
      <x:c r="E1729" s="22" t="str">
        <x:v>农用地</x:v>
      </x:c>
      <x:c r="F1729" s="22" t="str">
        <x:v>水域及水利设施</x:v>
      </x:c>
      <x:c r="G1729" s="32" t="str">
        <x:v>1104K</x:v>
      </x:c>
      <x:c r="H1729" s="32" t="str">
        <x:v>1104</x:v>
      </x:c>
      <x:c r="I1729" s="22" t="str">
        <x:v>可调整养殖坑塘</x:v>
      </x:c>
      <x:c r="J1729" s="22" t="str">
        <x:v>农业生态</x:v>
      </x:c>
      <x:c r="K1729" s="32" t="str"/>
      <x:c r="L1729" s="22" t="str">
        <x:v>不适用/未标注</x:v>
      </x:c>
      <x:c r="M1729" s="33" t="n">
        <x:v>691202.7600000002</x:v>
      </x:c>
      <x:c r="N1729" s="33" t="n">
        <x:v>69.12027600000002</x:v>
      </x:c>
      <x:c r="O1729" s="22" t="str">
        <x:v>公顷</x:v>
      </x:c>
      <x:c r="P1729" s="22" t="str">
        <x:v>未提供（单期横截面）</x:v>
      </x:c>
      <x:c r="Q1729" s="23" t="n">
        <x:v>4708</x:v>
      </x:c>
    </x:row>
    <x:row r="1730">
      <x:c r="A1730" s="30" t="n">
        <x:v>350500</x:v>
      </x:c>
      <x:c r="B1730" s="22" t="str">
        <x:v>泉州市</x:v>
      </x:c>
      <x:c r="C1730" s="31" t="n">
        <x:v>350582</x:v>
      </x:c>
      <x:c r="D1730" s="22" t="str">
        <x:v>晋江市</x:v>
      </x:c>
      <x:c r="E1730" s="22" t="str">
        <x:v>农用地</x:v>
      </x:c>
      <x:c r="F1730" s="22" t="str">
        <x:v>水域及水利设施</x:v>
      </x:c>
      <x:c r="G1730" s="32" t="str">
        <x:v>1107</x:v>
      </x:c>
      <x:c r="H1730" s="32" t="str">
        <x:v>1107</x:v>
      </x:c>
      <x:c r="I1730" s="22" t="str">
        <x:v>沟渠</x:v>
      </x:c>
      <x:c r="J1730" s="22" t="str">
        <x:v>农业生态</x:v>
      </x:c>
      <x:c r="K1730" s="32" t="str"/>
      <x:c r="L1730" s="22" t="str">
        <x:v>不适用/未标注</x:v>
      </x:c>
      <x:c r="M1730" s="33" t="n">
        <x:v>5909006.070000003</x:v>
      </x:c>
      <x:c r="N1730" s="33" t="n">
        <x:v>590.9006070000003</x:v>
      </x:c>
      <x:c r="O1730" s="22" t="str">
        <x:v>公顷</x:v>
      </x:c>
      <x:c r="P1730" s="22" t="str">
        <x:v>未提供（单期横截面）</x:v>
      </x:c>
      <x:c r="Q1730" s="23" t="n">
        <x:v>4709</x:v>
      </x:c>
    </x:row>
    <x:row r="1731">
      <x:c r="A1731" s="30" t="n">
        <x:v>350500</x:v>
      </x:c>
      <x:c r="B1731" s="22" t="str">
        <x:v>泉州市</x:v>
      </x:c>
      <x:c r="C1731" s="31" t="n">
        <x:v>350582</x:v>
      </x:c>
      <x:c r="D1731" s="22" t="str">
        <x:v>晋江市</x:v>
      </x:c>
      <x:c r="E1731" s="22" t="str">
        <x:v>农用地</x:v>
      </x:c>
      <x:c r="F1731" s="22" t="str">
        <x:v>其他农用地</x:v>
      </x:c>
      <x:c r="G1731" s="32" t="str">
        <x:v>1202</x:v>
      </x:c>
      <x:c r="H1731" s="32" t="str">
        <x:v>1202</x:v>
      </x:c>
      <x:c r="I1731" s="22" t="str">
        <x:v>设施农用地</x:v>
      </x:c>
      <x:c r="J1731" s="22" t="str">
        <x:v>农业生态</x:v>
      </x:c>
      <x:c r="K1731" s="32" t="str"/>
      <x:c r="L1731" s="22" t="str">
        <x:v>不适用/未标注</x:v>
      </x:c>
      <x:c r="M1731" s="33" t="n">
        <x:v>3550735.0899999915</x:v>
      </x:c>
      <x:c r="N1731" s="33" t="n">
        <x:v>355.07350899999915</x:v>
      </x:c>
      <x:c r="O1731" s="22" t="str">
        <x:v>公顷</x:v>
      </x:c>
      <x:c r="P1731" s="22" t="str">
        <x:v>未提供（单期横截面）</x:v>
      </x:c>
      <x:c r="Q1731" s="23" t="n">
        <x:v>4710</x:v>
      </x:c>
    </x:row>
    <x:row r="1732">
      <x:c r="A1732" s="30" t="n">
        <x:v>350500</x:v>
      </x:c>
      <x:c r="B1732" s="22" t="str">
        <x:v>泉州市</x:v>
      </x:c>
      <x:c r="C1732" s="31" t="n">
        <x:v>350582</x:v>
      </x:c>
      <x:c r="D1732" s="22" t="str">
        <x:v>晋江市</x:v>
      </x:c>
      <x:c r="E1732" s="22" t="str">
        <x:v>农用地</x:v>
      </x:c>
      <x:c r="F1732" s="22" t="str">
        <x:v>耕地</x:v>
      </x:c>
      <x:c r="G1732" s="32" t="str">
        <x:v>101</x:v>
      </x:c>
      <x:c r="H1732" s="32" t="str">
        <x:v>101</x:v>
      </x:c>
      <x:c r="I1732" s="22" t="str">
        <x:v>水田</x:v>
      </x:c>
      <x:c r="J1732" s="22" t="str">
        <x:v>农业生态</x:v>
      </x:c>
      <x:c r="K1732" s="32" t="str">
        <x:v>201</x:v>
      </x:c>
      <x:c r="L1732" s="22" t="str">
        <x:v>城市范围</x:v>
      </x:c>
      <x:c r="M1732" s="33" t="n">
        <x:v>119017.27</x:v>
      </x:c>
      <x:c r="N1732" s="33" t="n">
        <x:v>11.901727000000001</x:v>
      </x:c>
      <x:c r="O1732" s="22" t="str">
        <x:v>公顷</x:v>
      </x:c>
      <x:c r="P1732" s="22" t="str">
        <x:v>未提供（单期横截面）</x:v>
      </x:c>
      <x:c r="Q1732" s="23" t="n">
        <x:v>4711</x:v>
      </x:c>
    </x:row>
    <x:row r="1733">
      <x:c r="A1733" s="30" t="n">
        <x:v>350500</x:v>
      </x:c>
      <x:c r="B1733" s="22" t="str">
        <x:v>泉州市</x:v>
      </x:c>
      <x:c r="C1733" s="31" t="n">
        <x:v>350582</x:v>
      </x:c>
      <x:c r="D1733" s="22" t="str">
        <x:v>晋江市</x:v>
      </x:c>
      <x:c r="E1733" s="22" t="str">
        <x:v>农用地</x:v>
      </x:c>
      <x:c r="F1733" s="22" t="str">
        <x:v>耕地</x:v>
      </x:c>
      <x:c r="G1733" s="32" t="str">
        <x:v>102</x:v>
      </x:c>
      <x:c r="H1733" s="32" t="str">
        <x:v>102</x:v>
      </x:c>
      <x:c r="I1733" s="22" t="str">
        <x:v>水浇地</x:v>
      </x:c>
      <x:c r="J1733" s="22" t="str">
        <x:v>农业生态</x:v>
      </x:c>
      <x:c r="K1733" s="32" t="str">
        <x:v>201</x:v>
      </x:c>
      <x:c r="L1733" s="22" t="str">
        <x:v>城市范围</x:v>
      </x:c>
      <x:c r="M1733" s="33" t="n">
        <x:v>99971.85000000002</x:v>
      </x:c>
      <x:c r="N1733" s="33" t="n">
        <x:v>9.997185000000002</x:v>
      </x:c>
      <x:c r="O1733" s="22" t="str">
        <x:v>公顷</x:v>
      </x:c>
      <x:c r="P1733" s="22" t="str">
        <x:v>未提供（单期横截面）</x:v>
      </x:c>
      <x:c r="Q1733" s="23" t="n">
        <x:v>4712</x:v>
      </x:c>
    </x:row>
    <x:row r="1734">
      <x:c r="A1734" s="30" t="n">
        <x:v>350500</x:v>
      </x:c>
      <x:c r="B1734" s="22" t="str">
        <x:v>泉州市</x:v>
      </x:c>
      <x:c r="C1734" s="31" t="n">
        <x:v>350582</x:v>
      </x:c>
      <x:c r="D1734" s="22" t="str">
        <x:v>晋江市</x:v>
      </x:c>
      <x:c r="E1734" s="22" t="str">
        <x:v>农用地</x:v>
      </x:c>
      <x:c r="F1734" s="22" t="str">
        <x:v>耕地</x:v>
      </x:c>
      <x:c r="G1734" s="32" t="str">
        <x:v>103</x:v>
      </x:c>
      <x:c r="H1734" s="32" t="str">
        <x:v>103</x:v>
      </x:c>
      <x:c r="I1734" s="22" t="str">
        <x:v>旱地</x:v>
      </x:c>
      <x:c r="J1734" s="22" t="str">
        <x:v>农业生态</x:v>
      </x:c>
      <x:c r="K1734" s="32" t="str">
        <x:v>201</x:v>
      </x:c>
      <x:c r="L1734" s="22" t="str">
        <x:v>城市范围</x:v>
      </x:c>
      <x:c r="M1734" s="33" t="n">
        <x:v>179308.21999999997</x:v>
      </x:c>
      <x:c r="N1734" s="33" t="n">
        <x:v>17.930821999999996</x:v>
      </x:c>
      <x:c r="O1734" s="22" t="str">
        <x:v>公顷</x:v>
      </x:c>
      <x:c r="P1734" s="22" t="str">
        <x:v>未提供（单期横截面）</x:v>
      </x:c>
      <x:c r="Q1734" s="23" t="n">
        <x:v>4713</x:v>
      </x:c>
    </x:row>
    <x:row r="1735">
      <x:c r="A1735" s="30" t="n">
        <x:v>350500</x:v>
      </x:c>
      <x:c r="B1735" s="22" t="str">
        <x:v>泉州市</x:v>
      </x:c>
      <x:c r="C1735" s="31" t="n">
        <x:v>350582</x:v>
      </x:c>
      <x:c r="D1735" s="22" t="str">
        <x:v>晋江市</x:v>
      </x:c>
      <x:c r="E1735" s="22" t="str">
        <x:v>农用地</x:v>
      </x:c>
      <x:c r="F1735" s="22" t="str">
        <x:v>园地</x:v>
      </x:c>
      <x:c r="G1735" s="32" t="str">
        <x:v>201</x:v>
      </x:c>
      <x:c r="H1735" s="32" t="str">
        <x:v>201</x:v>
      </x:c>
      <x:c r="I1735" s="22" t="str">
        <x:v>果园</x:v>
      </x:c>
      <x:c r="J1735" s="22" t="str">
        <x:v>农业生态</x:v>
      </x:c>
      <x:c r="K1735" s="32" t="str">
        <x:v>201</x:v>
      </x:c>
      <x:c r="L1735" s="22" t="str">
        <x:v>城市范围</x:v>
      </x:c>
      <x:c r="M1735" s="33" t="n">
        <x:v>35622.579999999994</x:v>
      </x:c>
      <x:c r="N1735" s="33" t="n">
        <x:v>3.5622579999999995</x:v>
      </x:c>
      <x:c r="O1735" s="22" t="str">
        <x:v>公顷</x:v>
      </x:c>
      <x:c r="P1735" s="22" t="str">
        <x:v>未提供（单期横截面）</x:v>
      </x:c>
      <x:c r="Q1735" s="23" t="n">
        <x:v>4714</x:v>
      </x:c>
    </x:row>
    <x:row r="1736">
      <x:c r="A1736" s="30" t="n">
        <x:v>350500</x:v>
      </x:c>
      <x:c r="B1736" s="22" t="str">
        <x:v>泉州市</x:v>
      </x:c>
      <x:c r="C1736" s="31" t="n">
        <x:v>350582</x:v>
      </x:c>
      <x:c r="D1736" s="22" t="str">
        <x:v>晋江市</x:v>
      </x:c>
      <x:c r="E1736" s="22" t="str">
        <x:v>农用地</x:v>
      </x:c>
      <x:c r="F1736" s="22" t="str">
        <x:v>园地</x:v>
      </x:c>
      <x:c r="G1736" s="32" t="str">
        <x:v>0204K</x:v>
      </x:c>
      <x:c r="H1736" s="32" t="str">
        <x:v>0204</x:v>
      </x:c>
      <x:c r="I1736" s="22" t="str">
        <x:v>可调整其他园地</x:v>
      </x:c>
      <x:c r="J1736" s="22" t="str">
        <x:v>农业生态</x:v>
      </x:c>
      <x:c r="K1736" s="32" t="str">
        <x:v>201</x:v>
      </x:c>
      <x:c r="L1736" s="22" t="str">
        <x:v>城市范围</x:v>
      </x:c>
      <x:c r="M1736" s="33" t="n">
        <x:v>925.7</x:v>
      </x:c>
      <x:c r="N1736" s="33" t="n">
        <x:v>0.09257</x:v>
      </x:c>
      <x:c r="O1736" s="22" t="str">
        <x:v>公顷</x:v>
      </x:c>
      <x:c r="P1736" s="22" t="str">
        <x:v>未提供（单期横截面）</x:v>
      </x:c>
      <x:c r="Q1736" s="23" t="n">
        <x:v>4715</x:v>
      </x:c>
    </x:row>
    <x:row r="1737">
      <x:c r="A1737" s="30" t="n">
        <x:v>350500</x:v>
      </x:c>
      <x:c r="B1737" s="22" t="str">
        <x:v>泉州市</x:v>
      </x:c>
      <x:c r="C1737" s="31" t="n">
        <x:v>350582</x:v>
      </x:c>
      <x:c r="D1737" s="22" t="str">
        <x:v>晋江市</x:v>
      </x:c>
      <x:c r="E1737" s="22" t="str">
        <x:v>农用地</x:v>
      </x:c>
      <x:c r="F1737" s="22" t="str">
        <x:v>林地</x:v>
      </x:c>
      <x:c r="G1737" s="32" t="str">
        <x:v>301</x:v>
      </x:c>
      <x:c r="H1737" s="32" t="str">
        <x:v>301</x:v>
      </x:c>
      <x:c r="I1737" s="22" t="str">
        <x:v>乔木林地</x:v>
      </x:c>
      <x:c r="J1737" s="22" t="str">
        <x:v>农业生态</x:v>
      </x:c>
      <x:c r="K1737" s="32" t="str">
        <x:v>201</x:v>
      </x:c>
      <x:c r="L1737" s="22" t="str">
        <x:v>城市范围</x:v>
      </x:c>
      <x:c r="M1737" s="33" t="n">
        <x:v>203193.09999999998</x:v>
      </x:c>
      <x:c r="N1737" s="33" t="n">
        <x:v>20.319309999999998</x:v>
      </x:c>
      <x:c r="O1737" s="22" t="str">
        <x:v>公顷</x:v>
      </x:c>
      <x:c r="P1737" s="22" t="str">
        <x:v>未提供（单期横截面）</x:v>
      </x:c>
      <x:c r="Q1737" s="23" t="n">
        <x:v>4716</x:v>
      </x:c>
    </x:row>
    <x:row r="1738">
      <x:c r="A1738" s="30" t="n">
        <x:v>350500</x:v>
      </x:c>
      <x:c r="B1738" s="22" t="str">
        <x:v>泉州市</x:v>
      </x:c>
      <x:c r="C1738" s="31" t="n">
        <x:v>350582</x:v>
      </x:c>
      <x:c r="D1738" s="22" t="str">
        <x:v>晋江市</x:v>
      </x:c>
      <x:c r="E1738" s="22" t="str">
        <x:v>农用地</x:v>
      </x:c>
      <x:c r="F1738" s="22" t="str">
        <x:v>林地</x:v>
      </x:c>
      <x:c r="G1738" s="32" t="str">
        <x:v>305</x:v>
      </x:c>
      <x:c r="H1738" s="32" t="str">
        <x:v>305</x:v>
      </x:c>
      <x:c r="I1738" s="22" t="str">
        <x:v>灌木林地</x:v>
      </x:c>
      <x:c r="J1738" s="22" t="str">
        <x:v>农业生态</x:v>
      </x:c>
      <x:c r="K1738" s="32" t="str">
        <x:v>201</x:v>
      </x:c>
      <x:c r="L1738" s="22" t="str">
        <x:v>城市范围</x:v>
      </x:c>
      <x:c r="M1738" s="33" t="n">
        <x:v>14471.25</x:v>
      </x:c>
      <x:c r="N1738" s="33" t="n">
        <x:v>1.447125</x:v>
      </x:c>
      <x:c r="O1738" s="22" t="str">
        <x:v>公顷</x:v>
      </x:c>
      <x:c r="P1738" s="22" t="str">
        <x:v>未提供（单期横截面）</x:v>
      </x:c>
      <x:c r="Q1738" s="23" t="n">
        <x:v>4717</x:v>
      </x:c>
    </x:row>
    <x:row r="1739">
      <x:c r="A1739" s="30" t="n">
        <x:v>350500</x:v>
      </x:c>
      <x:c r="B1739" s="22" t="str">
        <x:v>泉州市</x:v>
      </x:c>
      <x:c r="C1739" s="31" t="n">
        <x:v>350582</x:v>
      </x:c>
      <x:c r="D1739" s="22" t="str">
        <x:v>晋江市</x:v>
      </x:c>
      <x:c r="E1739" s="22" t="str">
        <x:v>农用地</x:v>
      </x:c>
      <x:c r="F1739" s="22" t="str">
        <x:v>林地</x:v>
      </x:c>
      <x:c r="G1739" s="32" t="str">
        <x:v>307</x:v>
      </x:c>
      <x:c r="H1739" s="32" t="str">
        <x:v>307</x:v>
      </x:c>
      <x:c r="I1739" s="22" t="str">
        <x:v>其他林地</x:v>
      </x:c>
      <x:c r="J1739" s="22" t="str">
        <x:v>农业生态</x:v>
      </x:c>
      <x:c r="K1739" s="32" t="str">
        <x:v>201</x:v>
      </x:c>
      <x:c r="L1739" s="22" t="str">
        <x:v>城市范围</x:v>
      </x:c>
      <x:c r="M1739" s="33" t="n">
        <x:v>78799.74999999999</x:v>
      </x:c>
      <x:c r="N1739" s="33" t="n">
        <x:v>7.879974999999998</x:v>
      </x:c>
      <x:c r="O1739" s="22" t="str">
        <x:v>公顷</x:v>
      </x:c>
      <x:c r="P1739" s="22" t="str">
        <x:v>未提供（单期横截面）</x:v>
      </x:c>
      <x:c r="Q1739" s="23" t="n">
        <x:v>4718</x:v>
      </x:c>
    </x:row>
    <x:row r="1740">
      <x:c r="A1740" s="30" t="n">
        <x:v>350500</x:v>
      </x:c>
      <x:c r="B1740" s="22" t="str">
        <x:v>泉州市</x:v>
      </x:c>
      <x:c r="C1740" s="31" t="n">
        <x:v>350582</x:v>
      </x:c>
      <x:c r="D1740" s="22" t="str">
        <x:v>晋江市</x:v>
      </x:c>
      <x:c r="E1740" s="22" t="str">
        <x:v>农用地</x:v>
      </x:c>
      <x:c r="F1740" s="22" t="str">
        <x:v>水域及水利设施</x:v>
      </x:c>
      <x:c r="G1740" s="32" t="str">
        <x:v>1104</x:v>
      </x:c>
      <x:c r="H1740" s="32" t="str">
        <x:v>1104</x:v>
      </x:c>
      <x:c r="I1740" s="22" t="str">
        <x:v>坑塘水面</x:v>
      </x:c>
      <x:c r="J1740" s="22" t="str">
        <x:v>农业生态</x:v>
      </x:c>
      <x:c r="K1740" s="32" t="str">
        <x:v>201</x:v>
      </x:c>
      <x:c r="L1740" s="22" t="str">
        <x:v>城市范围</x:v>
      </x:c>
      <x:c r="M1740" s="33" t="n">
        <x:v>28974.64</x:v>
      </x:c>
      <x:c r="N1740" s="33" t="n">
        <x:v>2.897464</x:v>
      </x:c>
      <x:c r="O1740" s="22" t="str">
        <x:v>公顷</x:v>
      </x:c>
      <x:c r="P1740" s="22" t="str">
        <x:v>未提供（单期横截面）</x:v>
      </x:c>
      <x:c r="Q1740" s="23" t="n">
        <x:v>4719</x:v>
      </x:c>
    </x:row>
    <x:row r="1741">
      <x:c r="A1741" s="30" t="n">
        <x:v>350500</x:v>
      </x:c>
      <x:c r="B1741" s="22" t="str">
        <x:v>泉州市</x:v>
      </x:c>
      <x:c r="C1741" s="31" t="n">
        <x:v>350582</x:v>
      </x:c>
      <x:c r="D1741" s="22" t="str">
        <x:v>晋江市</x:v>
      </x:c>
      <x:c r="E1741" s="22" t="str">
        <x:v>农用地</x:v>
      </x:c>
      <x:c r="F1741" s="22" t="str">
        <x:v>水域及水利设施</x:v>
      </x:c>
      <x:c r="G1741" s="32" t="str">
        <x:v>1107</x:v>
      </x:c>
      <x:c r="H1741" s="32" t="str">
        <x:v>1107</x:v>
      </x:c>
      <x:c r="I1741" s="22" t="str">
        <x:v>沟渠</x:v>
      </x:c>
      <x:c r="J1741" s="22" t="str">
        <x:v>农业生态</x:v>
      </x:c>
      <x:c r="K1741" s="32" t="str">
        <x:v>201</x:v>
      </x:c>
      <x:c r="L1741" s="22" t="str">
        <x:v>城市范围</x:v>
      </x:c>
      <x:c r="M1741" s="33" t="n">
        <x:v>137919.35999999996</x:v>
      </x:c>
      <x:c r="N1741" s="33" t="n">
        <x:v>13.791935999999996</x:v>
      </x:c>
      <x:c r="O1741" s="22" t="str">
        <x:v>公顷</x:v>
      </x:c>
      <x:c r="P1741" s="22" t="str">
        <x:v>未提供（单期横截面）</x:v>
      </x:c>
      <x:c r="Q1741" s="23" t="n">
        <x:v>4720</x:v>
      </x:c>
    </x:row>
    <x:row r="1742">
      <x:c r="A1742" s="30" t="n">
        <x:v>350500</x:v>
      </x:c>
      <x:c r="B1742" s="22" t="str">
        <x:v>泉州市</x:v>
      </x:c>
      <x:c r="C1742" s="31" t="n">
        <x:v>350582</x:v>
      </x:c>
      <x:c r="D1742" s="22" t="str">
        <x:v>晋江市</x:v>
      </x:c>
      <x:c r="E1742" s="22" t="str">
        <x:v>农用地</x:v>
      </x:c>
      <x:c r="F1742" s="22" t="str">
        <x:v>其他农用地</x:v>
      </x:c>
      <x:c r="G1742" s="32" t="str">
        <x:v>1202</x:v>
      </x:c>
      <x:c r="H1742" s="32" t="str">
        <x:v>1202</x:v>
      </x:c>
      <x:c r="I1742" s="22" t="str">
        <x:v>设施农用地</x:v>
      </x:c>
      <x:c r="J1742" s="22" t="str">
        <x:v>农业生态</x:v>
      </x:c>
      <x:c r="K1742" s="32" t="str">
        <x:v>201</x:v>
      </x:c>
      <x:c r="L1742" s="22" t="str">
        <x:v>城市范围</x:v>
      </x:c>
      <x:c r="M1742" s="33" t="n">
        <x:v>31519.10999999999</x:v>
      </x:c>
      <x:c r="N1742" s="33" t="n">
        <x:v>3.151910999999999</x:v>
      </x:c>
      <x:c r="O1742" s="22" t="str">
        <x:v>公顷</x:v>
      </x:c>
      <x:c r="P1742" s="22" t="str">
        <x:v>未提供（单期横截面）</x:v>
      </x:c>
      <x:c r="Q1742" s="23" t="n">
        <x:v>4721</x:v>
      </x:c>
    </x:row>
    <x:row r="1743">
      <x:c r="A1743" s="30" t="n">
        <x:v>350500</x:v>
      </x:c>
      <x:c r="B1743" s="22" t="str">
        <x:v>泉州市</x:v>
      </x:c>
      <x:c r="C1743" s="31" t="n">
        <x:v>350582</x:v>
      </x:c>
      <x:c r="D1743" s="22" t="str">
        <x:v>晋江市</x:v>
      </x:c>
      <x:c r="E1743" s="22" t="str">
        <x:v>农用地</x:v>
      </x:c>
      <x:c r="F1743" s="22" t="str">
        <x:v>耕地</x:v>
      </x:c>
      <x:c r="G1743" s="32" t="str">
        <x:v>101</x:v>
      </x:c>
      <x:c r="H1743" s="32" t="str">
        <x:v>101</x:v>
      </x:c>
      <x:c r="I1743" s="22" t="str">
        <x:v>水田</x:v>
      </x:c>
      <x:c r="J1743" s="22" t="str">
        <x:v>农业生态</x:v>
      </x:c>
      <x:c r="K1743" s="32" t="str">
        <x:v>202</x:v>
      </x:c>
      <x:c r="L1743" s="22" t="str">
        <x:v>建制镇范围</x:v>
      </x:c>
      <x:c r="M1743" s="33" t="n">
        <x:v>267391.31999999995</x:v>
      </x:c>
      <x:c r="N1743" s="33" t="n">
        <x:v>26.739131999999994</x:v>
      </x:c>
      <x:c r="O1743" s="22" t="str">
        <x:v>公顷</x:v>
      </x:c>
      <x:c r="P1743" s="22" t="str">
        <x:v>未提供（单期横截面）</x:v>
      </x:c>
      <x:c r="Q1743" s="23" t="n">
        <x:v>4722</x:v>
      </x:c>
    </x:row>
    <x:row r="1744">
      <x:c r="A1744" s="30" t="n">
        <x:v>350500</x:v>
      </x:c>
      <x:c r="B1744" s="22" t="str">
        <x:v>泉州市</x:v>
      </x:c>
      <x:c r="C1744" s="31" t="n">
        <x:v>350582</x:v>
      </x:c>
      <x:c r="D1744" s="22" t="str">
        <x:v>晋江市</x:v>
      </x:c>
      <x:c r="E1744" s="22" t="str">
        <x:v>农用地</x:v>
      </x:c>
      <x:c r="F1744" s="22" t="str">
        <x:v>耕地</x:v>
      </x:c>
      <x:c r="G1744" s="32" t="str">
        <x:v>102</x:v>
      </x:c>
      <x:c r="H1744" s="32" t="str">
        <x:v>102</x:v>
      </x:c>
      <x:c r="I1744" s="22" t="str">
        <x:v>水浇地</x:v>
      </x:c>
      <x:c r="J1744" s="22" t="str">
        <x:v>农业生态</x:v>
      </x:c>
      <x:c r="K1744" s="32" t="str">
        <x:v>202</x:v>
      </x:c>
      <x:c r="L1744" s="22" t="str">
        <x:v>建制镇范围</x:v>
      </x:c>
      <x:c r="M1744" s="33" t="n">
        <x:v>121805.34999999999</x:v>
      </x:c>
      <x:c r="N1744" s="33" t="n">
        <x:v>12.180534999999999</x:v>
      </x:c>
      <x:c r="O1744" s="22" t="str">
        <x:v>公顷</x:v>
      </x:c>
      <x:c r="P1744" s="22" t="str">
        <x:v>未提供（单期横截面）</x:v>
      </x:c>
      <x:c r="Q1744" s="23" t="n">
        <x:v>4723</x:v>
      </x:c>
    </x:row>
    <x:row r="1745">
      <x:c r="A1745" s="30" t="n">
        <x:v>350500</x:v>
      </x:c>
      <x:c r="B1745" s="22" t="str">
        <x:v>泉州市</x:v>
      </x:c>
      <x:c r="C1745" s="31" t="n">
        <x:v>350582</x:v>
      </x:c>
      <x:c r="D1745" s="22" t="str">
        <x:v>晋江市</x:v>
      </x:c>
      <x:c r="E1745" s="22" t="str">
        <x:v>农用地</x:v>
      </x:c>
      <x:c r="F1745" s="22" t="str">
        <x:v>耕地</x:v>
      </x:c>
      <x:c r="G1745" s="32" t="str">
        <x:v>103</x:v>
      </x:c>
      <x:c r="H1745" s="32" t="str">
        <x:v>103</x:v>
      </x:c>
      <x:c r="I1745" s="22" t="str">
        <x:v>旱地</x:v>
      </x:c>
      <x:c r="J1745" s="22" t="str">
        <x:v>农业生态</x:v>
      </x:c>
      <x:c r="K1745" s="32" t="str">
        <x:v>202</x:v>
      </x:c>
      <x:c r="L1745" s="22" t="str">
        <x:v>建制镇范围</x:v>
      </x:c>
      <x:c r="M1745" s="33" t="n">
        <x:v>463329.1699999998</x:v>
      </x:c>
      <x:c r="N1745" s="33" t="n">
        <x:v>46.33291699999998</x:v>
      </x:c>
      <x:c r="O1745" s="22" t="str">
        <x:v>公顷</x:v>
      </x:c>
      <x:c r="P1745" s="22" t="str">
        <x:v>未提供（单期横截面）</x:v>
      </x:c>
      <x:c r="Q1745" s="23" t="n">
        <x:v>4724</x:v>
      </x:c>
    </x:row>
    <x:row r="1746">
      <x:c r="A1746" s="30" t="n">
        <x:v>350500</x:v>
      </x:c>
      <x:c r="B1746" s="22" t="str">
        <x:v>泉州市</x:v>
      </x:c>
      <x:c r="C1746" s="31" t="n">
        <x:v>350582</x:v>
      </x:c>
      <x:c r="D1746" s="22" t="str">
        <x:v>晋江市</x:v>
      </x:c>
      <x:c r="E1746" s="22" t="str">
        <x:v>农用地</x:v>
      </x:c>
      <x:c r="F1746" s="22" t="str">
        <x:v>园地</x:v>
      </x:c>
      <x:c r="G1746" s="32" t="str">
        <x:v>201</x:v>
      </x:c>
      <x:c r="H1746" s="32" t="str">
        <x:v>201</x:v>
      </x:c>
      <x:c r="I1746" s="22" t="str">
        <x:v>果园</x:v>
      </x:c>
      <x:c r="J1746" s="22" t="str">
        <x:v>农业生态</x:v>
      </x:c>
      <x:c r="K1746" s="32" t="str">
        <x:v>202</x:v>
      </x:c>
      <x:c r="L1746" s="22" t="str">
        <x:v>建制镇范围</x:v>
      </x:c>
      <x:c r="M1746" s="33" t="n">
        <x:v>179053.53999999998</x:v>
      </x:c>
      <x:c r="N1746" s="33" t="n">
        <x:v>17.905354</x:v>
      </x:c>
      <x:c r="O1746" s="22" t="str">
        <x:v>公顷</x:v>
      </x:c>
      <x:c r="P1746" s="22" t="str">
        <x:v>未提供（单期横截面）</x:v>
      </x:c>
      <x:c r="Q1746" s="23" t="n">
        <x:v>4725</x:v>
      </x:c>
    </x:row>
    <x:row r="1747">
      <x:c r="A1747" s="30" t="n">
        <x:v>350500</x:v>
      </x:c>
      <x:c r="B1747" s="22" t="str">
        <x:v>泉州市</x:v>
      </x:c>
      <x:c r="C1747" s="31" t="n">
        <x:v>350582</x:v>
      </x:c>
      <x:c r="D1747" s="22" t="str">
        <x:v>晋江市</x:v>
      </x:c>
      <x:c r="E1747" s="22" t="str">
        <x:v>农用地</x:v>
      </x:c>
      <x:c r="F1747" s="22" t="str">
        <x:v>园地</x:v>
      </x:c>
      <x:c r="G1747" s="32" t="str">
        <x:v>0201K</x:v>
      </x:c>
      <x:c r="H1747" s="32" t="str">
        <x:v>201</x:v>
      </x:c>
      <x:c r="I1747" s="22" t="str">
        <x:v>可调整果园</x:v>
      </x:c>
      <x:c r="J1747" s="22" t="str">
        <x:v>农业生态</x:v>
      </x:c>
      <x:c r="K1747" s="32" t="str">
        <x:v>202</x:v>
      </x:c>
      <x:c r="L1747" s="22" t="str">
        <x:v>建制镇范围</x:v>
      </x:c>
      <x:c r="M1747" s="33" t="n">
        <x:v>881.29</x:v>
      </x:c>
      <x:c r="N1747" s="33" t="n">
        <x:v>0.088129</x:v>
      </x:c>
      <x:c r="O1747" s="22" t="str">
        <x:v>公顷</x:v>
      </x:c>
      <x:c r="P1747" s="22" t="str">
        <x:v>未提供（单期横截面）</x:v>
      </x:c>
      <x:c r="Q1747" s="23" t="n">
        <x:v>4726</x:v>
      </x:c>
    </x:row>
    <x:row r="1748">
      <x:c r="A1748" s="30" t="n">
        <x:v>350500</x:v>
      </x:c>
      <x:c r="B1748" s="22" t="str">
        <x:v>泉州市</x:v>
      </x:c>
      <x:c r="C1748" s="31" t="n">
        <x:v>350582</x:v>
      </x:c>
      <x:c r="D1748" s="22" t="str">
        <x:v>晋江市</x:v>
      </x:c>
      <x:c r="E1748" s="22" t="str">
        <x:v>农用地</x:v>
      </x:c>
      <x:c r="F1748" s="22" t="str">
        <x:v>林地</x:v>
      </x:c>
      <x:c r="G1748" s="32" t="str">
        <x:v>301</x:v>
      </x:c>
      <x:c r="H1748" s="32" t="str">
        <x:v>301</x:v>
      </x:c>
      <x:c r="I1748" s="22" t="str">
        <x:v>乔木林地</x:v>
      </x:c>
      <x:c r="J1748" s="22" t="str">
        <x:v>农业生态</x:v>
      </x:c>
      <x:c r="K1748" s="32" t="str">
        <x:v>202</x:v>
      </x:c>
      <x:c r="L1748" s="22" t="str">
        <x:v>建制镇范围</x:v>
      </x:c>
      <x:c r="M1748" s="33" t="n">
        <x:v>638599.9300000003</x:v>
      </x:c>
      <x:c r="N1748" s="33" t="n">
        <x:v>63.85999300000003</x:v>
      </x:c>
      <x:c r="O1748" s="22" t="str">
        <x:v>公顷</x:v>
      </x:c>
      <x:c r="P1748" s="22" t="str">
        <x:v>未提供（单期横截面）</x:v>
      </x:c>
      <x:c r="Q1748" s="23" t="n">
        <x:v>4727</x:v>
      </x:c>
    </x:row>
    <x:row r="1749">
      <x:c r="A1749" s="30" t="n">
        <x:v>350500</x:v>
      </x:c>
      <x:c r="B1749" s="22" t="str">
        <x:v>泉州市</x:v>
      </x:c>
      <x:c r="C1749" s="31" t="n">
        <x:v>350582</x:v>
      </x:c>
      <x:c r="D1749" s="22" t="str">
        <x:v>晋江市</x:v>
      </x:c>
      <x:c r="E1749" s="22" t="str">
        <x:v>农用地</x:v>
      </x:c>
      <x:c r="F1749" s="22" t="str">
        <x:v>林地</x:v>
      </x:c>
      <x:c r="G1749" s="32" t="str">
        <x:v>0301K</x:v>
      </x:c>
      <x:c r="H1749" s="32" t="str">
        <x:v>0301</x:v>
      </x:c>
      <x:c r="I1749" s="22" t="str">
        <x:v>可调整乔木林地</x:v>
      </x:c>
      <x:c r="J1749" s="22" t="str">
        <x:v>农业生态</x:v>
      </x:c>
      <x:c r="K1749" s="32" t="str">
        <x:v>202</x:v>
      </x:c>
      <x:c r="L1749" s="22" t="str">
        <x:v>建制镇范围</x:v>
      </x:c>
      <x:c r="M1749" s="33" t="n">
        <x:v>194.59</x:v>
      </x:c>
      <x:c r="N1749" s="33" t="n">
        <x:v>0.019459</x:v>
      </x:c>
      <x:c r="O1749" s="22" t="str">
        <x:v>公顷</x:v>
      </x:c>
      <x:c r="P1749" s="22" t="str">
        <x:v>未提供（单期横截面）</x:v>
      </x:c>
      <x:c r="Q1749" s="23" t="n">
        <x:v>4728</x:v>
      </x:c>
    </x:row>
    <x:row r="1750">
      <x:c r="A1750" s="30" t="n">
        <x:v>350500</x:v>
      </x:c>
      <x:c r="B1750" s="22" t="str">
        <x:v>泉州市</x:v>
      </x:c>
      <x:c r="C1750" s="31" t="n">
        <x:v>350582</x:v>
      </x:c>
      <x:c r="D1750" s="22" t="str">
        <x:v>晋江市</x:v>
      </x:c>
      <x:c r="E1750" s="22" t="str">
        <x:v>农用地</x:v>
      </x:c>
      <x:c r="F1750" s="22" t="str">
        <x:v>林地</x:v>
      </x:c>
      <x:c r="G1750" s="32" t="str">
        <x:v>305</x:v>
      </x:c>
      <x:c r="H1750" s="32" t="str">
        <x:v>305</x:v>
      </x:c>
      <x:c r="I1750" s="22" t="str">
        <x:v>灌木林地</x:v>
      </x:c>
      <x:c r="J1750" s="22" t="str">
        <x:v>农业生态</x:v>
      </x:c>
      <x:c r="K1750" s="32" t="str">
        <x:v>202</x:v>
      </x:c>
      <x:c r="L1750" s="22" t="str">
        <x:v>建制镇范围</x:v>
      </x:c>
      <x:c r="M1750" s="33" t="n">
        <x:v>55470.93</x:v>
      </x:c>
      <x:c r="N1750" s="33" t="n">
        <x:v>5.547093</x:v>
      </x:c>
      <x:c r="O1750" s="22" t="str">
        <x:v>公顷</x:v>
      </x:c>
      <x:c r="P1750" s="22" t="str">
        <x:v>未提供（单期横截面）</x:v>
      </x:c>
      <x:c r="Q1750" s="23" t="n">
        <x:v>4729</x:v>
      </x:c>
    </x:row>
    <x:row r="1751">
      <x:c r="A1751" s="30" t="n">
        <x:v>350500</x:v>
      </x:c>
      <x:c r="B1751" s="22" t="str">
        <x:v>泉州市</x:v>
      </x:c>
      <x:c r="C1751" s="31" t="n">
        <x:v>350582</x:v>
      </x:c>
      <x:c r="D1751" s="22" t="str">
        <x:v>晋江市</x:v>
      </x:c>
      <x:c r="E1751" s="22" t="str">
        <x:v>农用地</x:v>
      </x:c>
      <x:c r="F1751" s="22" t="str">
        <x:v>林地</x:v>
      </x:c>
      <x:c r="G1751" s="32" t="str">
        <x:v>307</x:v>
      </x:c>
      <x:c r="H1751" s="32" t="str">
        <x:v>307</x:v>
      </x:c>
      <x:c r="I1751" s="22" t="str">
        <x:v>其他林地</x:v>
      </x:c>
      <x:c r="J1751" s="22" t="str">
        <x:v>农业生态</x:v>
      </x:c>
      <x:c r="K1751" s="32" t="str">
        <x:v>202</x:v>
      </x:c>
      <x:c r="L1751" s="22" t="str">
        <x:v>建制镇范围</x:v>
      </x:c>
      <x:c r="M1751" s="33" t="n">
        <x:v>163052.38000000003</x:v>
      </x:c>
      <x:c r="N1751" s="33" t="n">
        <x:v>16.305238000000003</x:v>
      </x:c>
      <x:c r="O1751" s="22" t="str">
        <x:v>公顷</x:v>
      </x:c>
      <x:c r="P1751" s="22" t="str">
        <x:v>未提供（单期横截面）</x:v>
      </x:c>
      <x:c r="Q1751" s="23" t="n">
        <x:v>4730</x:v>
      </x:c>
    </x:row>
    <x:row r="1752">
      <x:c r="A1752" s="30" t="n">
        <x:v>350500</x:v>
      </x:c>
      <x:c r="B1752" s="22" t="str">
        <x:v>泉州市</x:v>
      </x:c>
      <x:c r="C1752" s="31" t="n">
        <x:v>350582</x:v>
      </x:c>
      <x:c r="D1752" s="22" t="str">
        <x:v>晋江市</x:v>
      </x:c>
      <x:c r="E1752" s="22" t="str">
        <x:v>农用地</x:v>
      </x:c>
      <x:c r="F1752" s="22" t="str">
        <x:v>其他农用地</x:v>
      </x:c>
      <x:c r="G1752" s="32" t="str">
        <x:v>1006</x:v>
      </x:c>
      <x:c r="H1752" s="32" t="str">
        <x:v>1006</x:v>
      </x:c>
      <x:c r="I1752" s="22" t="str">
        <x:v>农村道路</x:v>
      </x:c>
      <x:c r="J1752" s="22" t="str">
        <x:v>农业生态</x:v>
      </x:c>
      <x:c r="K1752" s="32" t="str">
        <x:v>202</x:v>
      </x:c>
      <x:c r="L1752" s="22" t="str">
        <x:v>建制镇范围</x:v>
      </x:c>
      <x:c r="M1752" s="33" t="n">
        <x:v>4359.5599999999995</x:v>
      </x:c>
      <x:c r="N1752" s="33" t="n">
        <x:v>0.43595599999999995</x:v>
      </x:c>
      <x:c r="O1752" s="22" t="str">
        <x:v>公顷</x:v>
      </x:c>
      <x:c r="P1752" s="22" t="str">
        <x:v>未提供（单期横截面）</x:v>
      </x:c>
      <x:c r="Q1752" s="23" t="n">
        <x:v>4731</x:v>
      </x:c>
    </x:row>
    <x:row r="1753">
      <x:c r="A1753" s="30" t="n">
        <x:v>350500</x:v>
      </x:c>
      <x:c r="B1753" s="22" t="str">
        <x:v>泉州市</x:v>
      </x:c>
      <x:c r="C1753" s="31" t="n">
        <x:v>350582</x:v>
      </x:c>
      <x:c r="D1753" s="22" t="str">
        <x:v>晋江市</x:v>
      </x:c>
      <x:c r="E1753" s="22" t="str">
        <x:v>农用地</x:v>
      </x:c>
      <x:c r="F1753" s="22" t="str">
        <x:v>水域及水利设施</x:v>
      </x:c>
      <x:c r="G1753" s="32" t="str">
        <x:v>1104</x:v>
      </x:c>
      <x:c r="H1753" s="32" t="str">
        <x:v>1104</x:v>
      </x:c>
      <x:c r="I1753" s="22" t="str">
        <x:v>坑塘水面</x:v>
      </x:c>
      <x:c r="J1753" s="22" t="str">
        <x:v>农业生态</x:v>
      </x:c>
      <x:c r="K1753" s="32" t="str">
        <x:v>202</x:v>
      </x:c>
      <x:c r="L1753" s="22" t="str">
        <x:v>建制镇范围</x:v>
      </x:c>
      <x:c r="M1753" s="33" t="n">
        <x:v>75586.18</x:v>
      </x:c>
      <x:c r="N1753" s="33" t="n">
        <x:v>7.558617999999999</x:v>
      </x:c>
      <x:c r="O1753" s="22" t="str">
        <x:v>公顷</x:v>
      </x:c>
      <x:c r="P1753" s="22" t="str">
        <x:v>未提供（单期横截面）</x:v>
      </x:c>
      <x:c r="Q1753" s="23" t="n">
        <x:v>4732</x:v>
      </x:c>
    </x:row>
    <x:row r="1754">
      <x:c r="A1754" s="30" t="n">
        <x:v>350500</x:v>
      </x:c>
      <x:c r="B1754" s="22" t="str">
        <x:v>泉州市</x:v>
      </x:c>
      <x:c r="C1754" s="31" t="n">
        <x:v>350582</x:v>
      </x:c>
      <x:c r="D1754" s="22" t="str">
        <x:v>晋江市</x:v>
      </x:c>
      <x:c r="E1754" s="22" t="str">
        <x:v>农用地</x:v>
      </x:c>
      <x:c r="F1754" s="22" t="str">
        <x:v>水域及水利设施</x:v>
      </x:c>
      <x:c r="G1754" s="32" t="str">
        <x:v>1107</x:v>
      </x:c>
      <x:c r="H1754" s="32" t="str">
        <x:v>1107</x:v>
      </x:c>
      <x:c r="I1754" s="22" t="str">
        <x:v>沟渠</x:v>
      </x:c>
      <x:c r="J1754" s="22" t="str">
        <x:v>农业生态</x:v>
      </x:c>
      <x:c r="K1754" s="32" t="str">
        <x:v>202</x:v>
      </x:c>
      <x:c r="L1754" s="22" t="str">
        <x:v>建制镇范围</x:v>
      </x:c>
      <x:c r="M1754" s="33" t="n">
        <x:v>45290.28999999999</x:v>
      </x:c>
      <x:c r="N1754" s="33" t="n">
        <x:v>4.5290289999999995</x:v>
      </x:c>
      <x:c r="O1754" s="22" t="str">
        <x:v>公顷</x:v>
      </x:c>
      <x:c r="P1754" s="22" t="str">
        <x:v>未提供（单期横截面）</x:v>
      </x:c>
      <x:c r="Q1754" s="23" t="n">
        <x:v>4733</x:v>
      </x:c>
    </x:row>
    <x:row r="1755">
      <x:c r="A1755" s="30" t="n">
        <x:v>350500</x:v>
      </x:c>
      <x:c r="B1755" s="22" t="str">
        <x:v>泉州市</x:v>
      </x:c>
      <x:c r="C1755" s="31" t="n">
        <x:v>350582</x:v>
      </x:c>
      <x:c r="D1755" s="22" t="str">
        <x:v>晋江市</x:v>
      </x:c>
      <x:c r="E1755" s="22" t="str">
        <x:v>农用地</x:v>
      </x:c>
      <x:c r="F1755" s="22" t="str">
        <x:v>其他农用地</x:v>
      </x:c>
      <x:c r="G1755" s="32" t="str">
        <x:v>1202</x:v>
      </x:c>
      <x:c r="H1755" s="32" t="str">
        <x:v>1202</x:v>
      </x:c>
      <x:c r="I1755" s="22" t="str">
        <x:v>设施农用地</x:v>
      </x:c>
      <x:c r="J1755" s="22" t="str">
        <x:v>农业生态</x:v>
      </x:c>
      <x:c r="K1755" s="32" t="str">
        <x:v>202</x:v>
      </x:c>
      <x:c r="L1755" s="22" t="str">
        <x:v>建制镇范围</x:v>
      </x:c>
      <x:c r="M1755" s="33" t="n">
        <x:v>41917.49999999999</x:v>
      </x:c>
      <x:c r="N1755" s="33" t="n">
        <x:v>4.191749999999999</x:v>
      </x:c>
      <x:c r="O1755" s="22" t="str">
        <x:v>公顷</x:v>
      </x:c>
      <x:c r="P1755" s="22" t="str">
        <x:v>未提供（单期横截面）</x:v>
      </x:c>
      <x:c r="Q1755" s="23" t="n">
        <x:v>4734</x:v>
      </x:c>
    </x:row>
    <x:row r="1756">
      <x:c r="A1756" s="30" t="n">
        <x:v>350500</x:v>
      </x:c>
      <x:c r="B1756" s="22" t="str">
        <x:v>泉州市</x:v>
      </x:c>
      <x:c r="C1756" s="31" t="n">
        <x:v>350582</x:v>
      </x:c>
      <x:c r="D1756" s="22" t="str">
        <x:v>晋江市</x:v>
      </x:c>
      <x:c r="E1756" s="22" t="str">
        <x:v>农用地</x:v>
      </x:c>
      <x:c r="F1756" s="22" t="str">
        <x:v>耕地</x:v>
      </x:c>
      <x:c r="G1756" s="32" t="str">
        <x:v>101</x:v>
      </x:c>
      <x:c r="H1756" s="32" t="str">
        <x:v>101</x:v>
      </x:c>
      <x:c r="I1756" s="22" t="str">
        <x:v>水田</x:v>
      </x:c>
      <x:c r="J1756" s="22" t="str">
        <x:v>农业生态</x:v>
      </x:c>
      <x:c r="K1756" s="32" t="str">
        <x:v>203</x:v>
      </x:c>
      <x:c r="L1756" s="22" t="str">
        <x:v>村庄范围</x:v>
      </x:c>
      <x:c r="M1756" s="33" t="n">
        <x:v>359433.31</x:v>
      </x:c>
      <x:c r="N1756" s="33" t="n">
        <x:v>35.943331</x:v>
      </x:c>
      <x:c r="O1756" s="22" t="str">
        <x:v>公顷</x:v>
      </x:c>
      <x:c r="P1756" s="22" t="str">
        <x:v>未提供（单期横截面）</x:v>
      </x:c>
      <x:c r="Q1756" s="23" t="n">
        <x:v>4735</x:v>
      </x:c>
    </x:row>
    <x:row r="1757">
      <x:c r="A1757" s="30" t="n">
        <x:v>350500</x:v>
      </x:c>
      <x:c r="B1757" s="22" t="str">
        <x:v>泉州市</x:v>
      </x:c>
      <x:c r="C1757" s="31" t="n">
        <x:v>350582</x:v>
      </x:c>
      <x:c r="D1757" s="22" t="str">
        <x:v>晋江市</x:v>
      </x:c>
      <x:c r="E1757" s="22" t="str">
        <x:v>农用地</x:v>
      </x:c>
      <x:c r="F1757" s="22" t="str">
        <x:v>耕地</x:v>
      </x:c>
      <x:c r="G1757" s="32" t="str">
        <x:v>102</x:v>
      </x:c>
      <x:c r="H1757" s="32" t="str">
        <x:v>102</x:v>
      </x:c>
      <x:c r="I1757" s="22" t="str">
        <x:v>水浇地</x:v>
      </x:c>
      <x:c r="J1757" s="22" t="str">
        <x:v>农业生态</x:v>
      </x:c>
      <x:c r="K1757" s="32" t="str">
        <x:v>203</x:v>
      </x:c>
      <x:c r="L1757" s="22" t="str">
        <x:v>村庄范围</x:v>
      </x:c>
      <x:c r="M1757" s="33" t="n">
        <x:v>207581.51000000004</x:v>
      </x:c>
      <x:c r="N1757" s="33" t="n">
        <x:v>20.758151000000005</x:v>
      </x:c>
      <x:c r="O1757" s="22" t="str">
        <x:v>公顷</x:v>
      </x:c>
      <x:c r="P1757" s="22" t="str">
        <x:v>未提供（单期横截面）</x:v>
      </x:c>
      <x:c r="Q1757" s="23" t="n">
        <x:v>4736</x:v>
      </x:c>
    </x:row>
    <x:row r="1758">
      <x:c r="A1758" s="30" t="n">
        <x:v>350500</x:v>
      </x:c>
      <x:c r="B1758" s="22" t="str">
        <x:v>泉州市</x:v>
      </x:c>
      <x:c r="C1758" s="31" t="n">
        <x:v>350582</x:v>
      </x:c>
      <x:c r="D1758" s="22" t="str">
        <x:v>晋江市</x:v>
      </x:c>
      <x:c r="E1758" s="22" t="str">
        <x:v>农用地</x:v>
      </x:c>
      <x:c r="F1758" s="22" t="str">
        <x:v>耕地</x:v>
      </x:c>
      <x:c r="G1758" s="32" t="str">
        <x:v>103</x:v>
      </x:c>
      <x:c r="H1758" s="32" t="str">
        <x:v>103</x:v>
      </x:c>
      <x:c r="I1758" s="22" t="str">
        <x:v>旱地</x:v>
      </x:c>
      <x:c r="J1758" s="22" t="str">
        <x:v>农业生态</x:v>
      </x:c>
      <x:c r="K1758" s="32" t="str">
        <x:v>203</x:v>
      </x:c>
      <x:c r="L1758" s="22" t="str">
        <x:v>村庄范围</x:v>
      </x:c>
      <x:c r="M1758" s="33" t="n">
        <x:v>2064811.5299999982</x:v>
      </x:c>
      <x:c r="N1758" s="33" t="n">
        <x:v>206.4811529999998</x:v>
      </x:c>
      <x:c r="O1758" s="22" t="str">
        <x:v>公顷</x:v>
      </x:c>
      <x:c r="P1758" s="22" t="str">
        <x:v>未提供（单期横截面）</x:v>
      </x:c>
      <x:c r="Q1758" s="23" t="n">
        <x:v>4737</x:v>
      </x:c>
    </x:row>
    <x:row r="1759">
      <x:c r="A1759" s="30" t="n">
        <x:v>350500</x:v>
      </x:c>
      <x:c r="B1759" s="22" t="str">
        <x:v>泉州市</x:v>
      </x:c>
      <x:c r="C1759" s="31" t="n">
        <x:v>350582</x:v>
      </x:c>
      <x:c r="D1759" s="22" t="str">
        <x:v>晋江市</x:v>
      </x:c>
      <x:c r="E1759" s="22" t="str">
        <x:v>农用地</x:v>
      </x:c>
      <x:c r="F1759" s="22" t="str">
        <x:v>园地</x:v>
      </x:c>
      <x:c r="G1759" s="32" t="str">
        <x:v>201</x:v>
      </x:c>
      <x:c r="H1759" s="32" t="str">
        <x:v>201</x:v>
      </x:c>
      <x:c r="I1759" s="22" t="str">
        <x:v>果园</x:v>
      </x:c>
      <x:c r="J1759" s="22" t="str">
        <x:v>农业生态</x:v>
      </x:c>
      <x:c r="K1759" s="32" t="str">
        <x:v>203</x:v>
      </x:c>
      <x:c r="L1759" s="22" t="str">
        <x:v>村庄范围</x:v>
      </x:c>
      <x:c r="M1759" s="33" t="n">
        <x:v>333323.51000000007</x:v>
      </x:c>
      <x:c r="N1759" s="33" t="n">
        <x:v>33.33235100000001</x:v>
      </x:c>
      <x:c r="O1759" s="22" t="str">
        <x:v>公顷</x:v>
      </x:c>
      <x:c r="P1759" s="22" t="str">
        <x:v>未提供（单期横截面）</x:v>
      </x:c>
      <x:c r="Q1759" s="23" t="n">
        <x:v>4738</x:v>
      </x:c>
    </x:row>
    <x:row r="1760">
      <x:c r="A1760" s="30" t="n">
        <x:v>350500</x:v>
      </x:c>
      <x:c r="B1760" s="22" t="str">
        <x:v>泉州市</x:v>
      </x:c>
      <x:c r="C1760" s="31" t="n">
        <x:v>350582</x:v>
      </x:c>
      <x:c r="D1760" s="22" t="str">
        <x:v>晋江市</x:v>
      </x:c>
      <x:c r="E1760" s="22" t="str">
        <x:v>农用地</x:v>
      </x:c>
      <x:c r="F1760" s="22" t="str">
        <x:v>园地</x:v>
      </x:c>
      <x:c r="G1760" s="32" t="str">
        <x:v>0201K</x:v>
      </x:c>
      <x:c r="H1760" s="32" t="str">
        <x:v>201</x:v>
      </x:c>
      <x:c r="I1760" s="22" t="str">
        <x:v>可调整果园</x:v>
      </x:c>
      <x:c r="J1760" s="22" t="str">
        <x:v>农业生态</x:v>
      </x:c>
      <x:c r="K1760" s="32" t="str">
        <x:v>203</x:v>
      </x:c>
      <x:c r="L1760" s="22" t="str">
        <x:v>村庄范围</x:v>
      </x:c>
      <x:c r="M1760" s="33" t="n">
        <x:v>19229.2</x:v>
      </x:c>
      <x:c r="N1760" s="33" t="n">
        <x:v>1.92292</x:v>
      </x:c>
      <x:c r="O1760" s="22" t="str">
        <x:v>公顷</x:v>
      </x:c>
      <x:c r="P1760" s="22" t="str">
        <x:v>未提供（单期横截面）</x:v>
      </x:c>
      <x:c r="Q1760" s="23" t="n">
        <x:v>4739</x:v>
      </x:c>
    </x:row>
    <x:row r="1761">
      <x:c r="A1761" s="30" t="n">
        <x:v>350500</x:v>
      </x:c>
      <x:c r="B1761" s="22" t="str">
        <x:v>泉州市</x:v>
      </x:c>
      <x:c r="C1761" s="31" t="n">
        <x:v>350582</x:v>
      </x:c>
      <x:c r="D1761" s="22" t="str">
        <x:v>晋江市</x:v>
      </x:c>
      <x:c r="E1761" s="22" t="str">
        <x:v>农用地</x:v>
      </x:c>
      <x:c r="F1761" s="22" t="str">
        <x:v>园地</x:v>
      </x:c>
      <x:c r="G1761" s="32" t="str">
        <x:v>204</x:v>
      </x:c>
      <x:c r="H1761" s="32" t="str">
        <x:v>204</x:v>
      </x:c>
      <x:c r="I1761" s="22" t="str">
        <x:v>其他园地</x:v>
      </x:c>
      <x:c r="J1761" s="22" t="str">
        <x:v>农业生态</x:v>
      </x:c>
      <x:c r="K1761" s="32" t="str">
        <x:v>203</x:v>
      </x:c>
      <x:c r="L1761" s="22" t="str">
        <x:v>村庄范围</x:v>
      </x:c>
      <x:c r="M1761" s="33" t="n">
        <x:v>2299.19</x:v>
      </x:c>
      <x:c r="N1761" s="33" t="n">
        <x:v>0.229919</x:v>
      </x:c>
      <x:c r="O1761" s="22" t="str">
        <x:v>公顷</x:v>
      </x:c>
      <x:c r="P1761" s="22" t="str">
        <x:v>未提供（单期横截面）</x:v>
      </x:c>
      <x:c r="Q1761" s="23" t="n">
        <x:v>4740</x:v>
      </x:c>
    </x:row>
    <x:row r="1762">
      <x:c r="A1762" s="30" t="n">
        <x:v>350500</x:v>
      </x:c>
      <x:c r="B1762" s="22" t="str">
        <x:v>泉州市</x:v>
      </x:c>
      <x:c r="C1762" s="31" t="n">
        <x:v>350582</x:v>
      </x:c>
      <x:c r="D1762" s="22" t="str">
        <x:v>晋江市</x:v>
      </x:c>
      <x:c r="E1762" s="22" t="str">
        <x:v>农用地</x:v>
      </x:c>
      <x:c r="F1762" s="22" t="str">
        <x:v>林地</x:v>
      </x:c>
      <x:c r="G1762" s="32" t="str">
        <x:v>301</x:v>
      </x:c>
      <x:c r="H1762" s="32" t="str">
        <x:v>301</x:v>
      </x:c>
      <x:c r="I1762" s="22" t="str">
        <x:v>乔木林地</x:v>
      </x:c>
      <x:c r="J1762" s="22" t="str">
        <x:v>农业生态</x:v>
      </x:c>
      <x:c r="K1762" s="32" t="str">
        <x:v>203</x:v>
      </x:c>
      <x:c r="L1762" s="22" t="str">
        <x:v>村庄范围</x:v>
      </x:c>
      <x:c r="M1762" s="33" t="n">
        <x:v>851138.9899999996</x:v>
      </x:c>
      <x:c r="N1762" s="33" t="n">
        <x:v>85.11389899999996</x:v>
      </x:c>
      <x:c r="O1762" s="22" t="str">
        <x:v>公顷</x:v>
      </x:c>
      <x:c r="P1762" s="22" t="str">
        <x:v>未提供（单期横截面）</x:v>
      </x:c>
      <x:c r="Q1762" s="23" t="n">
        <x:v>4741</x:v>
      </x:c>
    </x:row>
    <x:row r="1763">
      <x:c r="A1763" s="30" t="n">
        <x:v>350500</x:v>
      </x:c>
      <x:c r="B1763" s="22" t="str">
        <x:v>泉州市</x:v>
      </x:c>
      <x:c r="C1763" s="31" t="n">
        <x:v>350582</x:v>
      </x:c>
      <x:c r="D1763" s="22" t="str">
        <x:v>晋江市</x:v>
      </x:c>
      <x:c r="E1763" s="22" t="str">
        <x:v>农用地</x:v>
      </x:c>
      <x:c r="F1763" s="22" t="str">
        <x:v>林地</x:v>
      </x:c>
      <x:c r="G1763" s="32" t="str">
        <x:v>0301K</x:v>
      </x:c>
      <x:c r="H1763" s="32" t="str">
        <x:v>0301</x:v>
      </x:c>
      <x:c r="I1763" s="22" t="str">
        <x:v>可调整乔木林地</x:v>
      </x:c>
      <x:c r="J1763" s="22" t="str">
        <x:v>农业生态</x:v>
      </x:c>
      <x:c r="K1763" s="32" t="str">
        <x:v>203</x:v>
      </x:c>
      <x:c r="L1763" s="22" t="str">
        <x:v>村庄范围</x:v>
      </x:c>
      <x:c r="M1763" s="33" t="n">
        <x:v>4043.4</x:v>
      </x:c>
      <x:c r="N1763" s="33" t="n">
        <x:v>0.40434000000000003</x:v>
      </x:c>
      <x:c r="O1763" s="22" t="str">
        <x:v>公顷</x:v>
      </x:c>
      <x:c r="P1763" s="22" t="str">
        <x:v>未提供（单期横截面）</x:v>
      </x:c>
      <x:c r="Q1763" s="23" t="n">
        <x:v>4742</x:v>
      </x:c>
    </x:row>
    <x:row r="1764">
      <x:c r="A1764" s="30" t="n">
        <x:v>350500</x:v>
      </x:c>
      <x:c r="B1764" s="22" t="str">
        <x:v>泉州市</x:v>
      </x:c>
      <x:c r="C1764" s="31" t="n">
        <x:v>350582</x:v>
      </x:c>
      <x:c r="D1764" s="22" t="str">
        <x:v>晋江市</x:v>
      </x:c>
      <x:c r="E1764" s="22" t="str">
        <x:v>农用地</x:v>
      </x:c>
      <x:c r="F1764" s="22" t="str">
        <x:v>林地</x:v>
      </x:c>
      <x:c r="G1764" s="32" t="str">
        <x:v>305</x:v>
      </x:c>
      <x:c r="H1764" s="32" t="str">
        <x:v>305</x:v>
      </x:c>
      <x:c r="I1764" s="22" t="str">
        <x:v>灌木林地</x:v>
      </x:c>
      <x:c r="J1764" s="22" t="str">
        <x:v>农业生态</x:v>
      </x:c>
      <x:c r="K1764" s="32" t="str">
        <x:v>203</x:v>
      </x:c>
      <x:c r="L1764" s="22" t="str">
        <x:v>村庄范围</x:v>
      </x:c>
      <x:c r="M1764" s="33" t="n">
        <x:v>149830.37</x:v>
      </x:c>
      <x:c r="N1764" s="33" t="n">
        <x:v>14.983037</x:v>
      </x:c>
      <x:c r="O1764" s="22" t="str">
        <x:v>公顷</x:v>
      </x:c>
      <x:c r="P1764" s="22" t="str">
        <x:v>未提供（单期横截面）</x:v>
      </x:c>
      <x:c r="Q1764" s="23" t="n">
        <x:v>4743</x:v>
      </x:c>
    </x:row>
    <x:row r="1765">
      <x:c r="A1765" s="30" t="n">
        <x:v>350500</x:v>
      </x:c>
      <x:c r="B1765" s="22" t="str">
        <x:v>泉州市</x:v>
      </x:c>
      <x:c r="C1765" s="31" t="n">
        <x:v>350582</x:v>
      </x:c>
      <x:c r="D1765" s="22" t="str">
        <x:v>晋江市</x:v>
      </x:c>
      <x:c r="E1765" s="22" t="str">
        <x:v>农用地</x:v>
      </x:c>
      <x:c r="F1765" s="22" t="str">
        <x:v>林地</x:v>
      </x:c>
      <x:c r="G1765" s="32" t="str">
        <x:v>307</x:v>
      </x:c>
      <x:c r="H1765" s="32" t="str">
        <x:v>307</x:v>
      </x:c>
      <x:c r="I1765" s="22" t="str">
        <x:v>其他林地</x:v>
      </x:c>
      <x:c r="J1765" s="22" t="str">
        <x:v>农业生态</x:v>
      </x:c>
      <x:c r="K1765" s="32" t="str">
        <x:v>203</x:v>
      </x:c>
      <x:c r="L1765" s="22" t="str">
        <x:v>村庄范围</x:v>
      </x:c>
      <x:c r="M1765" s="33" t="n">
        <x:v>246546.4300000001</x:v>
      </x:c>
      <x:c r="N1765" s="33" t="n">
        <x:v>24.65464300000001</x:v>
      </x:c>
      <x:c r="O1765" s="22" t="str">
        <x:v>公顷</x:v>
      </x:c>
      <x:c r="P1765" s="22" t="str">
        <x:v>未提供（单期横截面）</x:v>
      </x:c>
      <x:c r="Q1765" s="23" t="n">
        <x:v>4744</x:v>
      </x:c>
    </x:row>
    <x:row r="1766">
      <x:c r="A1766" s="30" t="n">
        <x:v>350500</x:v>
      </x:c>
      <x:c r="B1766" s="22" t="str">
        <x:v>泉州市</x:v>
      </x:c>
      <x:c r="C1766" s="31" t="n">
        <x:v>350582</x:v>
      </x:c>
      <x:c r="D1766" s="22" t="str">
        <x:v>晋江市</x:v>
      </x:c>
      <x:c r="E1766" s="22" t="str">
        <x:v>农用地</x:v>
      </x:c>
      <x:c r="F1766" s="22" t="str">
        <x:v>其他农用地</x:v>
      </x:c>
      <x:c r="G1766" s="32" t="str">
        <x:v>1006</x:v>
      </x:c>
      <x:c r="H1766" s="32" t="str">
        <x:v>1006</x:v>
      </x:c>
      <x:c r="I1766" s="22" t="str">
        <x:v>农村道路</x:v>
      </x:c>
      <x:c r="J1766" s="22" t="str">
        <x:v>农业生态</x:v>
      </x:c>
      <x:c r="K1766" s="32" t="str">
        <x:v>203</x:v>
      </x:c>
      <x:c r="L1766" s="22" t="str">
        <x:v>村庄范围</x:v>
      </x:c>
      <x:c r="M1766" s="33" t="n">
        <x:v>3403.3499999999995</x:v>
      </x:c>
      <x:c r="N1766" s="33" t="n">
        <x:v>0.34033499999999994</x:v>
      </x:c>
      <x:c r="O1766" s="22" t="str">
        <x:v>公顷</x:v>
      </x:c>
      <x:c r="P1766" s="22" t="str">
        <x:v>未提供（单期横截面）</x:v>
      </x:c>
      <x:c r="Q1766" s="23" t="n">
        <x:v>4745</x:v>
      </x:c>
    </x:row>
    <x:row r="1767">
      <x:c r="A1767" s="30" t="n">
        <x:v>350500</x:v>
      </x:c>
      <x:c r="B1767" s="22" t="str">
        <x:v>泉州市</x:v>
      </x:c>
      <x:c r="C1767" s="31" t="n">
        <x:v>350582</x:v>
      </x:c>
      <x:c r="D1767" s="22" t="str">
        <x:v>晋江市</x:v>
      </x:c>
      <x:c r="E1767" s="22" t="str">
        <x:v>农用地</x:v>
      </x:c>
      <x:c r="F1767" s="22" t="str">
        <x:v>水域及水利设施</x:v>
      </x:c>
      <x:c r="G1767" s="32" t="str">
        <x:v>1104</x:v>
      </x:c>
      <x:c r="H1767" s="32" t="str">
        <x:v>1104</x:v>
      </x:c>
      <x:c r="I1767" s="22" t="str">
        <x:v>坑塘水面</x:v>
      </x:c>
      <x:c r="J1767" s="22" t="str">
        <x:v>农业生态</x:v>
      </x:c>
      <x:c r="K1767" s="32" t="str">
        <x:v>203</x:v>
      </x:c>
      <x:c r="L1767" s="22" t="str">
        <x:v>村庄范围</x:v>
      </x:c>
      <x:c r="M1767" s="33" t="n">
        <x:v>287722.2099999998</x:v>
      </x:c>
      <x:c r="N1767" s="33" t="n">
        <x:v>28.77222099999998</x:v>
      </x:c>
      <x:c r="O1767" s="22" t="str">
        <x:v>公顷</x:v>
      </x:c>
      <x:c r="P1767" s="22" t="str">
        <x:v>未提供（单期横截面）</x:v>
      </x:c>
      <x:c r="Q1767" s="23" t="n">
        <x:v>4746</x:v>
      </x:c>
    </x:row>
    <x:row r="1768">
      <x:c r="A1768" s="30" t="n">
        <x:v>350500</x:v>
      </x:c>
      <x:c r="B1768" s="22" t="str">
        <x:v>泉州市</x:v>
      </x:c>
      <x:c r="C1768" s="31" t="n">
        <x:v>350582</x:v>
      </x:c>
      <x:c r="D1768" s="22" t="str">
        <x:v>晋江市</x:v>
      </x:c>
      <x:c r="E1768" s="22" t="str">
        <x:v>农用地</x:v>
      </x:c>
      <x:c r="F1768" s="22" t="str">
        <x:v>水域及水利设施</x:v>
      </x:c>
      <x:c r="G1768" s="32" t="str">
        <x:v>1107</x:v>
      </x:c>
      <x:c r="H1768" s="32" t="str">
        <x:v>1107</x:v>
      </x:c>
      <x:c r="I1768" s="22" t="str">
        <x:v>沟渠</x:v>
      </x:c>
      <x:c r="J1768" s="22" t="str">
        <x:v>农业生态</x:v>
      </x:c>
      <x:c r="K1768" s="32" t="str">
        <x:v>203</x:v>
      </x:c>
      <x:c r="L1768" s="22" t="str">
        <x:v>村庄范围</x:v>
      </x:c>
      <x:c r="M1768" s="33" t="n">
        <x:v>72956.05</x:v>
      </x:c>
      <x:c r="N1768" s="33" t="n">
        <x:v>7.295605</x:v>
      </x:c>
      <x:c r="O1768" s="22" t="str">
        <x:v>公顷</x:v>
      </x:c>
      <x:c r="P1768" s="22" t="str">
        <x:v>未提供（单期横截面）</x:v>
      </x:c>
      <x:c r="Q1768" s="23" t="n">
        <x:v>4747</x:v>
      </x:c>
    </x:row>
    <x:row r="1769">
      <x:c r="A1769" s="30" t="n">
        <x:v>350500</x:v>
      </x:c>
      <x:c r="B1769" s="22" t="str">
        <x:v>泉州市</x:v>
      </x:c>
      <x:c r="C1769" s="31" t="n">
        <x:v>350582</x:v>
      </x:c>
      <x:c r="D1769" s="22" t="str">
        <x:v>晋江市</x:v>
      </x:c>
      <x:c r="E1769" s="22" t="str">
        <x:v>农用地</x:v>
      </x:c>
      <x:c r="F1769" s="22" t="str">
        <x:v>其他农用地</x:v>
      </x:c>
      <x:c r="G1769" s="32" t="str">
        <x:v>1202</x:v>
      </x:c>
      <x:c r="H1769" s="32" t="str">
        <x:v>1202</x:v>
      </x:c>
      <x:c r="I1769" s="22" t="str">
        <x:v>设施农用地</x:v>
      </x:c>
      <x:c r="J1769" s="22" t="str">
        <x:v>农业生态</x:v>
      </x:c>
      <x:c r="K1769" s="32" t="str">
        <x:v>203</x:v>
      </x:c>
      <x:c r="L1769" s="22" t="str">
        <x:v>村庄范围</x:v>
      </x:c>
      <x:c r="M1769" s="33" t="n">
        <x:v>167907.70000000004</x:v>
      </x:c>
      <x:c r="N1769" s="33" t="n">
        <x:v>16.790770000000006</x:v>
      </x:c>
      <x:c r="O1769" s="22" t="str">
        <x:v>公顷</x:v>
      </x:c>
      <x:c r="P1769" s="22" t="str">
        <x:v>未提供（单期横截面）</x:v>
      </x:c>
      <x:c r="Q1769" s="23" t="n">
        <x:v>4748</x:v>
      </x:c>
    </x:row>
    <x:row r="1770">
      <x:c r="A1770" s="30" t="n">
        <x:v>350500</x:v>
      </x:c>
      <x:c r="B1770" s="22" t="str">
        <x:v>泉州市</x:v>
      </x:c>
      <x:c r="C1770" s="31" t="n">
        <x:v>350582</x:v>
      </x:c>
      <x:c r="D1770" s="22" t="str">
        <x:v>晋江市</x:v>
      </x:c>
      <x:c r="E1770" s="22" t="str">
        <x:v>未利用地</x:v>
      </x:c>
      <x:c r="F1770" s="22" t="str">
        <x:v>草地</x:v>
      </x:c>
      <x:c r="G1770" s="32" t="str">
        <x:v>404</x:v>
      </x:c>
      <x:c r="H1770" s="32" t="str">
        <x:v>404</x:v>
      </x:c>
      <x:c r="I1770" s="22" t="str">
        <x:v>其他草地</x:v>
      </x:c>
      <x:c r="J1770" s="22" t="str">
        <x:v>农业生态</x:v>
      </x:c>
      <x:c r="K1770" s="32" t="str"/>
      <x:c r="L1770" s="22" t="str">
        <x:v>不适用/未标注</x:v>
      </x:c>
      <x:c r="M1770" s="33" t="n">
        <x:v>26035424.259999935</x:v>
      </x:c>
      <x:c r="N1770" s="33" t="n">
        <x:v>2603.5424259999936</x:v>
      </x:c>
      <x:c r="O1770" s="22" t="str">
        <x:v>公顷</x:v>
      </x:c>
      <x:c r="P1770" s="22" t="str">
        <x:v>未提供（单期横截面）</x:v>
      </x:c>
      <x:c r="Q1770" s="23" t="n">
        <x:v>4749</x:v>
      </x:c>
    </x:row>
    <x:row r="1771">
      <x:c r="A1771" s="30" t="n">
        <x:v>350500</x:v>
      </x:c>
      <x:c r="B1771" s="22" t="str">
        <x:v>泉州市</x:v>
      </x:c>
      <x:c r="C1771" s="31" t="n">
        <x:v>350582</x:v>
      </x:c>
      <x:c r="D1771" s="22" t="str">
        <x:v>晋江市</x:v>
      </x:c>
      <x:c r="E1771" s="22" t="str">
        <x:v>未利用地</x:v>
      </x:c>
      <x:c r="F1771" s="22" t="str">
        <x:v>水域及水利设施</x:v>
      </x:c>
      <x:c r="G1771" s="32" t="str">
        <x:v>1101</x:v>
      </x:c>
      <x:c r="H1771" s="32" t="str">
        <x:v>1101</x:v>
      </x:c>
      <x:c r="I1771" s="22" t="str">
        <x:v>河流水面</x:v>
      </x:c>
      <x:c r="J1771" s="22" t="str">
        <x:v>农业生态</x:v>
      </x:c>
      <x:c r="K1771" s="32" t="str"/>
      <x:c r="L1771" s="22" t="str">
        <x:v>不适用/未标注</x:v>
      </x:c>
      <x:c r="M1771" s="33" t="n">
        <x:v>9457900.440000009</x:v>
      </x:c>
      <x:c r="N1771" s="33" t="n">
        <x:v>945.7900440000009</x:v>
      </x:c>
      <x:c r="O1771" s="22" t="str">
        <x:v>公顷</x:v>
      </x:c>
      <x:c r="P1771" s="22" t="str">
        <x:v>未提供（单期横截面）</x:v>
      </x:c>
      <x:c r="Q1771" s="23" t="n">
        <x:v>4750</x:v>
      </x:c>
    </x:row>
    <x:row r="1772">
      <x:c r="A1772" s="30" t="n">
        <x:v>350500</x:v>
      </x:c>
      <x:c r="B1772" s="22" t="str">
        <x:v>泉州市</x:v>
      </x:c>
      <x:c r="C1772" s="31" t="n">
        <x:v>350582</x:v>
      </x:c>
      <x:c r="D1772" s="22" t="str">
        <x:v>晋江市</x:v>
      </x:c>
      <x:c r="E1772" s="22" t="str">
        <x:v>未利用地</x:v>
      </x:c>
      <x:c r="F1772" s="22" t="str">
        <x:v>水域及水利设施</x:v>
      </x:c>
      <x:c r="G1772" s="32" t="str">
        <x:v>1102</x:v>
      </x:c>
      <x:c r="H1772" s="32" t="str">
        <x:v>1102</x:v>
      </x:c>
      <x:c r="I1772" s="22" t="str">
        <x:v>湖泊水面</x:v>
      </x:c>
      <x:c r="J1772" s="22" t="str">
        <x:v>农业生态</x:v>
      </x:c>
      <x:c r="K1772" s="32" t="str"/>
      <x:c r="L1772" s="22" t="str">
        <x:v>不适用/未标注</x:v>
      </x:c>
      <x:c r="M1772" s="33" t="n">
        <x:v>1431696.2799999998</x:v>
      </x:c>
      <x:c r="N1772" s="33" t="n">
        <x:v>143.169628</x:v>
      </x:c>
      <x:c r="O1772" s="22" t="str">
        <x:v>公顷</x:v>
      </x:c>
      <x:c r="P1772" s="22" t="str">
        <x:v>未提供（单期横截面）</x:v>
      </x:c>
      <x:c r="Q1772" s="23" t="n">
        <x:v>4751</x:v>
      </x:c>
    </x:row>
    <x:row r="1773">
      <x:c r="A1773" s="30" t="n">
        <x:v>350500</x:v>
      </x:c>
      <x:c r="B1773" s="22" t="str">
        <x:v>泉州市</x:v>
      </x:c>
      <x:c r="C1773" s="31" t="n">
        <x:v>350582</x:v>
      </x:c>
      <x:c r="D1773" s="22" t="str">
        <x:v>晋江市</x:v>
      </x:c>
      <x:c r="E1773" s="22" t="str">
        <x:v>未利用地</x:v>
      </x:c>
      <x:c r="F1773" s="22" t="str">
        <x:v>水域及水利设施</x:v>
      </x:c>
      <x:c r="G1773" s="32" t="str">
        <x:v>1105</x:v>
      </x:c>
      <x:c r="H1773" s="32" t="str">
        <x:v>1105</x:v>
      </x:c>
      <x:c r="I1773" s="22" t="str">
        <x:v>沿海滩涂</x:v>
      </x:c>
      <x:c r="J1773" s="22" t="str">
        <x:v>农业生态</x:v>
      </x:c>
      <x:c r="K1773" s="32" t="str"/>
      <x:c r="L1773" s="22" t="str">
        <x:v>不适用/未标注</x:v>
      </x:c>
      <x:c r="M1773" s="33" t="n">
        <x:v>68444138.35</x:v>
      </x:c>
      <x:c r="N1773" s="33" t="n">
        <x:v>6844.413834999999</x:v>
      </x:c>
      <x:c r="O1773" s="22" t="str">
        <x:v>公顷</x:v>
      </x:c>
      <x:c r="P1773" s="22" t="str">
        <x:v>未提供（单期横截面）</x:v>
      </x:c>
      <x:c r="Q1773" s="23" t="n">
        <x:v>4752</x:v>
      </x:c>
    </x:row>
    <x:row r="1774">
      <x:c r="A1774" s="30" t="n">
        <x:v>350500</x:v>
      </x:c>
      <x:c r="B1774" s="22" t="str">
        <x:v>泉州市</x:v>
      </x:c>
      <x:c r="C1774" s="31" t="n">
        <x:v>350582</x:v>
      </x:c>
      <x:c r="D1774" s="22" t="str">
        <x:v>晋江市</x:v>
      </x:c>
      <x:c r="E1774" s="22" t="str">
        <x:v>未利用地</x:v>
      </x:c>
      <x:c r="F1774" s="22" t="str">
        <x:v>水域及水利设施</x:v>
      </x:c>
      <x:c r="G1774" s="32" t="str">
        <x:v>1106</x:v>
      </x:c>
      <x:c r="H1774" s="32" t="str">
        <x:v>1106</x:v>
      </x:c>
      <x:c r="I1774" s="22" t="str">
        <x:v>内陆滩涂</x:v>
      </x:c>
      <x:c r="J1774" s="22" t="str">
        <x:v>农业生态</x:v>
      </x:c>
      <x:c r="K1774" s="32" t="str"/>
      <x:c r="L1774" s="22" t="str">
        <x:v>不适用/未标注</x:v>
      </x:c>
      <x:c r="M1774" s="33" t="n">
        <x:v>1926796.38</x:v>
      </x:c>
      <x:c r="N1774" s="33" t="n">
        <x:v>192.67963799999998</x:v>
      </x:c>
      <x:c r="O1774" s="22" t="str">
        <x:v>公顷</x:v>
      </x:c>
      <x:c r="P1774" s="22" t="str">
        <x:v>未提供（单期横截面）</x:v>
      </x:c>
      <x:c r="Q1774" s="23" t="n">
        <x:v>4753</x:v>
      </x:c>
    </x:row>
    <x:row r="1775">
      <x:c r="A1775" s="30" t="n">
        <x:v>350500</x:v>
      </x:c>
      <x:c r="B1775" s="22" t="str">
        <x:v>泉州市</x:v>
      </x:c>
      <x:c r="C1775" s="31" t="n">
        <x:v>350582</x:v>
      </x:c>
      <x:c r="D1775" s="22" t="str">
        <x:v>晋江市</x:v>
      </x:c>
      <x:c r="E1775" s="22" t="str">
        <x:v>未利用地</x:v>
      </x:c>
      <x:c r="F1775" s="22" t="str">
        <x:v>未利用地</x:v>
      </x:c>
      <x:c r="G1775" s="32" t="str">
        <x:v>1205</x:v>
      </x:c>
      <x:c r="H1775" s="32" t="str">
        <x:v>1205</x:v>
      </x:c>
      <x:c r="I1775" s="22" t="str">
        <x:v>沙地</x:v>
      </x:c>
      <x:c r="J1775" s="22" t="str">
        <x:v>未利用地</x:v>
      </x:c>
      <x:c r="K1775" s="32" t="str"/>
      <x:c r="L1775" s="22" t="str">
        <x:v>不适用/未标注</x:v>
      </x:c>
      <x:c r="M1775" s="33" t="n">
        <x:v>69530.72</x:v>
      </x:c>
      <x:c r="N1775" s="33" t="n">
        <x:v>6.953072</x:v>
      </x:c>
      <x:c r="O1775" s="22" t="str">
        <x:v>公顷</x:v>
      </x:c>
      <x:c r="P1775" s="22" t="str">
        <x:v>未提供（单期横截面）</x:v>
      </x:c>
      <x:c r="Q1775" s="23" t="n">
        <x:v>4754</x:v>
      </x:c>
    </x:row>
    <x:row r="1776">
      <x:c r="A1776" s="30" t="n">
        <x:v>350500</x:v>
      </x:c>
      <x:c r="B1776" s="22" t="str">
        <x:v>泉州市</x:v>
      </x:c>
      <x:c r="C1776" s="31" t="n">
        <x:v>350582</x:v>
      </x:c>
      <x:c r="D1776" s="22" t="str">
        <x:v>晋江市</x:v>
      </x:c>
      <x:c r="E1776" s="22" t="str">
        <x:v>未利用地</x:v>
      </x:c>
      <x:c r="F1776" s="22" t="str">
        <x:v>未利用地</x:v>
      </x:c>
      <x:c r="G1776" s="32" t="str">
        <x:v>1207</x:v>
      </x:c>
      <x:c r="H1776" s="32" t="str">
        <x:v>1207</x:v>
      </x:c>
      <x:c r="I1776" s="22" t="str">
        <x:v>裸岩石砾地</x:v>
      </x:c>
      <x:c r="J1776" s="22" t="str">
        <x:v>未利用地</x:v>
      </x:c>
      <x:c r="K1776" s="32" t="str"/>
      <x:c r="L1776" s="22" t="str">
        <x:v>不适用/未标注</x:v>
      </x:c>
      <x:c r="M1776" s="33" t="n">
        <x:v>2443067.5900000003</x:v>
      </x:c>
      <x:c r="N1776" s="33" t="n">
        <x:v>244.30675900000003</x:v>
      </x:c>
      <x:c r="O1776" s="22" t="str">
        <x:v>公顷</x:v>
      </x:c>
      <x:c r="P1776" s="22" t="str">
        <x:v>未提供（单期横截面）</x:v>
      </x:c>
      <x:c r="Q1776" s="23" t="n">
        <x:v>4755</x:v>
      </x:c>
    </x:row>
    <x:row r="1777">
      <x:c r="A1777" s="30" t="n">
        <x:v>350500</x:v>
      </x:c>
      <x:c r="B1777" s="22" t="str">
        <x:v>泉州市</x:v>
      </x:c>
      <x:c r="C1777" s="31" t="n">
        <x:v>350582</x:v>
      </x:c>
      <x:c r="D1777" s="22" t="str">
        <x:v>晋江市</x:v>
      </x:c>
      <x:c r="E1777" s="22" t="str">
        <x:v>未利用地</x:v>
      </x:c>
      <x:c r="F1777" s="22" t="str">
        <x:v>草地</x:v>
      </x:c>
      <x:c r="G1777" s="32" t="str">
        <x:v>404</x:v>
      </x:c>
      <x:c r="H1777" s="32" t="str">
        <x:v>404</x:v>
      </x:c>
      <x:c r="I1777" s="22" t="str">
        <x:v>其他草地</x:v>
      </x:c>
      <x:c r="J1777" s="22" t="str">
        <x:v>农业生态</x:v>
      </x:c>
      <x:c r="K1777" s="32" t="str">
        <x:v>201</x:v>
      </x:c>
      <x:c r="L1777" s="22" t="str">
        <x:v>城市范围</x:v>
      </x:c>
      <x:c r="M1777" s="33" t="n">
        <x:v>394669.51</x:v>
      </x:c>
      <x:c r="N1777" s="33" t="n">
        <x:v>39.466951</x:v>
      </x:c>
      <x:c r="O1777" s="22" t="str">
        <x:v>公顷</x:v>
      </x:c>
      <x:c r="P1777" s="22" t="str">
        <x:v>未提供（单期横截面）</x:v>
      </x:c>
      <x:c r="Q1777" s="23" t="n">
        <x:v>4756</x:v>
      </x:c>
    </x:row>
    <x:row r="1778">
      <x:c r="A1778" s="30" t="n">
        <x:v>350500</x:v>
      </x:c>
      <x:c r="B1778" s="22" t="str">
        <x:v>泉州市</x:v>
      </x:c>
      <x:c r="C1778" s="31" t="n">
        <x:v>350582</x:v>
      </x:c>
      <x:c r="D1778" s="22" t="str">
        <x:v>晋江市</x:v>
      </x:c>
      <x:c r="E1778" s="22" t="str">
        <x:v>未利用地</x:v>
      </x:c>
      <x:c r="F1778" s="22" t="str">
        <x:v>水域及水利设施</x:v>
      </x:c>
      <x:c r="G1778" s="32" t="str">
        <x:v>1101</x:v>
      </x:c>
      <x:c r="H1778" s="32" t="str">
        <x:v>1101</x:v>
      </x:c>
      <x:c r="I1778" s="22" t="str">
        <x:v>河流水面</x:v>
      </x:c>
      <x:c r="J1778" s="22" t="str">
        <x:v>农业生态</x:v>
      </x:c>
      <x:c r="K1778" s="32" t="str">
        <x:v>201</x:v>
      </x:c>
      <x:c r="L1778" s="22" t="str">
        <x:v>城市范围</x:v>
      </x:c>
      <x:c r="M1778" s="33" t="n">
        <x:v>24795.120000000003</x:v>
      </x:c>
      <x:c r="N1778" s="33" t="n">
        <x:v>2.479512</x:v>
      </x:c>
      <x:c r="O1778" s="22" t="str">
        <x:v>公顷</x:v>
      </x:c>
      <x:c r="P1778" s="22" t="str">
        <x:v>未提供（单期横截面）</x:v>
      </x:c>
      <x:c r="Q1778" s="23" t="n">
        <x:v>4757</x:v>
      </x:c>
    </x:row>
    <x:row r="1779">
      <x:c r="A1779" s="30" t="n">
        <x:v>350500</x:v>
      </x:c>
      <x:c r="B1779" s="22" t="str">
        <x:v>泉州市</x:v>
      </x:c>
      <x:c r="C1779" s="31" t="n">
        <x:v>350582</x:v>
      </x:c>
      <x:c r="D1779" s="22" t="str">
        <x:v>晋江市</x:v>
      </x:c>
      <x:c r="E1779" s="22" t="str">
        <x:v>未利用地</x:v>
      </x:c>
      <x:c r="F1779" s="22" t="str">
        <x:v>草地</x:v>
      </x:c>
      <x:c r="G1779" s="32" t="str">
        <x:v>404</x:v>
      </x:c>
      <x:c r="H1779" s="32" t="str">
        <x:v>404</x:v>
      </x:c>
      <x:c r="I1779" s="22" t="str">
        <x:v>其他草地</x:v>
      </x:c>
      <x:c r="J1779" s="22" t="str">
        <x:v>农业生态</x:v>
      </x:c>
      <x:c r="K1779" s="32" t="str">
        <x:v>202</x:v>
      </x:c>
      <x:c r="L1779" s="22" t="str">
        <x:v>建制镇范围</x:v>
      </x:c>
      <x:c r="M1779" s="33" t="n">
        <x:v>802430.7099999998</x:v>
      </x:c>
      <x:c r="N1779" s="33" t="n">
        <x:v>80.24307099999999</x:v>
      </x:c>
      <x:c r="O1779" s="22" t="str">
        <x:v>公顷</x:v>
      </x:c>
      <x:c r="P1779" s="22" t="str">
        <x:v>未提供（单期横截面）</x:v>
      </x:c>
      <x:c r="Q1779" s="23" t="n">
        <x:v>4758</x:v>
      </x:c>
    </x:row>
    <x:row r="1780">
      <x:c r="A1780" s="30" t="n">
        <x:v>350500</x:v>
      </x:c>
      <x:c r="B1780" s="22" t="str">
        <x:v>泉州市</x:v>
      </x:c>
      <x:c r="C1780" s="31" t="n">
        <x:v>350582</x:v>
      </x:c>
      <x:c r="D1780" s="22" t="str">
        <x:v>晋江市</x:v>
      </x:c>
      <x:c r="E1780" s="22" t="str">
        <x:v>未利用地</x:v>
      </x:c>
      <x:c r="F1780" s="22" t="str">
        <x:v>水域及水利设施</x:v>
      </x:c>
      <x:c r="G1780" s="32" t="str">
        <x:v>1101</x:v>
      </x:c>
      <x:c r="H1780" s="32" t="str">
        <x:v>1101</x:v>
      </x:c>
      <x:c r="I1780" s="22" t="str">
        <x:v>河流水面</x:v>
      </x:c>
      <x:c r="J1780" s="22" t="str">
        <x:v>农业生态</x:v>
      </x:c>
      <x:c r="K1780" s="32" t="str">
        <x:v>202</x:v>
      </x:c>
      <x:c r="L1780" s="22" t="str">
        <x:v>建制镇范围</x:v>
      </x:c>
      <x:c r="M1780" s="33" t="n">
        <x:v>31000.109999999997</x:v>
      </x:c>
      <x:c r="N1780" s="33" t="n">
        <x:v>3.100011</x:v>
      </x:c>
      <x:c r="O1780" s="22" t="str">
        <x:v>公顷</x:v>
      </x:c>
      <x:c r="P1780" s="22" t="str">
        <x:v>未提供（单期横截面）</x:v>
      </x:c>
      <x:c r="Q1780" s="23" t="n">
        <x:v>4759</x:v>
      </x:c>
    </x:row>
    <x:row r="1781">
      <x:c r="A1781" s="30" t="n">
        <x:v>350500</x:v>
      </x:c>
      <x:c r="B1781" s="22" t="str">
        <x:v>泉州市</x:v>
      </x:c>
      <x:c r="C1781" s="31" t="n">
        <x:v>350582</x:v>
      </x:c>
      <x:c r="D1781" s="22" t="str">
        <x:v>晋江市</x:v>
      </x:c>
      <x:c r="E1781" s="22" t="str">
        <x:v>未利用地</x:v>
      </x:c>
      <x:c r="F1781" s="22" t="str">
        <x:v>未利用地</x:v>
      </x:c>
      <x:c r="G1781" s="32" t="str">
        <x:v>1207</x:v>
      </x:c>
      <x:c r="H1781" s="32" t="str">
        <x:v>1207</x:v>
      </x:c>
      <x:c r="I1781" s="22" t="str">
        <x:v>裸岩石砾地</x:v>
      </x:c>
      <x:c r="J1781" s="22" t="str">
        <x:v>未利用地</x:v>
      </x:c>
      <x:c r="K1781" s="32" t="str">
        <x:v>202</x:v>
      </x:c>
      <x:c r="L1781" s="22" t="str">
        <x:v>建制镇范围</x:v>
      </x:c>
      <x:c r="M1781" s="33" t="n">
        <x:v>12784.24</x:v>
      </x:c>
      <x:c r="N1781" s="33" t="n">
        <x:v>1.278424</x:v>
      </x:c>
      <x:c r="O1781" s="22" t="str">
        <x:v>公顷</x:v>
      </x:c>
      <x:c r="P1781" s="22" t="str">
        <x:v>未提供（单期横截面）</x:v>
      </x:c>
      <x:c r="Q1781" s="23" t="n">
        <x:v>4760</x:v>
      </x:c>
    </x:row>
    <x:row r="1782">
      <x:c r="A1782" s="30" t="n">
        <x:v>350500</x:v>
      </x:c>
      <x:c r="B1782" s="22" t="str">
        <x:v>泉州市</x:v>
      </x:c>
      <x:c r="C1782" s="31" t="n">
        <x:v>350582</x:v>
      </x:c>
      <x:c r="D1782" s="22" t="str">
        <x:v>晋江市</x:v>
      </x:c>
      <x:c r="E1782" s="22" t="str">
        <x:v>未利用地</x:v>
      </x:c>
      <x:c r="F1782" s="22" t="str">
        <x:v>草地</x:v>
      </x:c>
      <x:c r="G1782" s="32" t="str">
        <x:v>404</x:v>
      </x:c>
      <x:c r="H1782" s="32" t="str">
        <x:v>404</x:v>
      </x:c>
      <x:c r="I1782" s="22" t="str">
        <x:v>其他草地</x:v>
      </x:c>
      <x:c r="J1782" s="22" t="str">
        <x:v>农业生态</x:v>
      </x:c>
      <x:c r="K1782" s="32" t="str">
        <x:v>203</x:v>
      </x:c>
      <x:c r="L1782" s="22" t="str">
        <x:v>村庄范围</x:v>
      </x:c>
      <x:c r="M1782" s="33" t="n">
        <x:v>1157815.579999999</x:v>
      </x:c>
      <x:c r="N1782" s="33" t="n">
        <x:v>115.78155799999989</x:v>
      </x:c>
      <x:c r="O1782" s="22" t="str">
        <x:v>公顷</x:v>
      </x:c>
      <x:c r="P1782" s="22" t="str">
        <x:v>未提供（单期横截面）</x:v>
      </x:c>
      <x:c r="Q1782" s="23" t="n">
        <x:v>4761</x:v>
      </x:c>
    </x:row>
    <x:row r="1783">
      <x:c r="A1783" s="30" t="n">
        <x:v>350500</x:v>
      </x:c>
      <x:c r="B1783" s="22" t="str">
        <x:v>泉州市</x:v>
      </x:c>
      <x:c r="C1783" s="31" t="n">
        <x:v>350582</x:v>
      </x:c>
      <x:c r="D1783" s="22" t="str">
        <x:v>晋江市</x:v>
      </x:c>
      <x:c r="E1783" s="22" t="str">
        <x:v>未利用地</x:v>
      </x:c>
      <x:c r="F1783" s="22" t="str">
        <x:v>水域及水利设施</x:v>
      </x:c>
      <x:c r="G1783" s="32" t="str">
        <x:v>1101</x:v>
      </x:c>
      <x:c r="H1783" s="32" t="str">
        <x:v>1101</x:v>
      </x:c>
      <x:c r="I1783" s="22" t="str">
        <x:v>河流水面</x:v>
      </x:c>
      <x:c r="J1783" s="22" t="str">
        <x:v>农业生态</x:v>
      </x:c>
      <x:c r="K1783" s="32" t="str">
        <x:v>203</x:v>
      </x:c>
      <x:c r="L1783" s="22" t="str">
        <x:v>村庄范围</x:v>
      </x:c>
      <x:c r="M1783" s="33" t="n">
        <x:v>10454.519999999999</x:v>
      </x:c>
      <x:c r="N1783" s="33" t="n">
        <x:v>1.0454519999999998</x:v>
      </x:c>
      <x:c r="O1783" s="22" t="str">
        <x:v>公顷</x:v>
      </x:c>
      <x:c r="P1783" s="22" t="str">
        <x:v>未提供（单期横截面）</x:v>
      </x:c>
      <x:c r="Q1783" s="23" t="n">
        <x:v>4762</x:v>
      </x:c>
    </x:row>
    <x:row r="1784">
      <x:c r="A1784" s="30" t="n">
        <x:v>350500</x:v>
      </x:c>
      <x:c r="B1784" s="22" t="str">
        <x:v>泉州市</x:v>
      </x:c>
      <x:c r="C1784" s="31" t="n">
        <x:v>350582</x:v>
      </x:c>
      <x:c r="D1784" s="22" t="str">
        <x:v>晋江市</x:v>
      </x:c>
      <x:c r="E1784" s="22" t="str">
        <x:v>未利用地</x:v>
      </x:c>
      <x:c r="F1784" s="22" t="str">
        <x:v>未利用地</x:v>
      </x:c>
      <x:c r="G1784" s="32" t="str">
        <x:v>1207</x:v>
      </x:c>
      <x:c r="H1784" s="32" t="str">
        <x:v>1207</x:v>
      </x:c>
      <x:c r="I1784" s="22" t="str">
        <x:v>裸岩石砾地</x:v>
      </x:c>
      <x:c r="J1784" s="22" t="str">
        <x:v>未利用地</x:v>
      </x:c>
      <x:c r="K1784" s="32" t="str">
        <x:v>203</x:v>
      </x:c>
      <x:c r="L1784" s="22" t="str">
        <x:v>村庄范围</x:v>
      </x:c>
      <x:c r="M1784" s="33" t="n">
        <x:v>2456.88</x:v>
      </x:c>
      <x:c r="N1784" s="33" t="n">
        <x:v>0.24568800000000002</x:v>
      </x:c>
      <x:c r="O1784" s="22" t="str">
        <x:v>公顷</x:v>
      </x:c>
      <x:c r="P1784" s="22" t="str">
        <x:v>未提供（单期横截面）</x:v>
      </x:c>
      <x:c r="Q1784" s="23" t="n">
        <x:v>4763</x:v>
      </x:c>
    </x:row>
    <x:row r="1785">
      <x:c r="A1785" s="30" t="n">
        <x:v>350500</x:v>
      </x:c>
      <x:c r="B1785" s="22" t="str">
        <x:v>泉州市</x:v>
      </x:c>
      <x:c r="C1785" s="31" t="n">
        <x:v>350583</x:v>
      </x:c>
      <x:c r="D1785" s="22" t="str">
        <x:v>南安市</x:v>
      </x:c>
      <x:c r="E1785" s="22" t="str">
        <x:v>建设用地</x:v>
      </x:c>
      <x:c r="F1785" s="22" t="str">
        <x:v>交通运输用地</x:v>
      </x:c>
      <x:c r="G1785" s="32" t="str">
        <x:v>1001</x:v>
      </x:c>
      <x:c r="H1785" s="32" t="str">
        <x:v>1001</x:v>
      </x:c>
      <x:c r="I1785" s="22" t="str">
        <x:v>铁路用地</x:v>
      </x:c>
      <x:c r="J1785" s="22" t="str">
        <x:v>交通门户</x:v>
      </x:c>
      <x:c r="K1785" s="32" t="str"/>
      <x:c r="L1785" s="22" t="str">
        <x:v>不适用/未标注</x:v>
      </x:c>
      <x:c r="M1785" s="33" t="n">
        <x:v>2239475.9999999995</x:v>
      </x:c>
      <x:c r="N1785" s="33" t="n">
        <x:v>223.94759999999997</x:v>
      </x:c>
      <x:c r="O1785" s="22" t="str">
        <x:v>公顷</x:v>
      </x:c>
      <x:c r="P1785" s="22" t="str">
        <x:v>未提供（单期横截面）</x:v>
      </x:c>
      <x:c r="Q1785" s="23" t="n">
        <x:v>4764</x:v>
      </x:c>
    </x:row>
    <x:row r="1786">
      <x:c r="A1786" s="30" t="n">
        <x:v>350500</x:v>
      </x:c>
      <x:c r="B1786" s="22" t="str">
        <x:v>泉州市</x:v>
      </x:c>
      <x:c r="C1786" s="31" t="n">
        <x:v>350583</x:v>
      </x:c>
      <x:c r="D1786" s="22" t="str">
        <x:v>南安市</x:v>
      </x:c>
      <x:c r="E1786" s="22" t="str">
        <x:v>建设用地</x:v>
      </x:c>
      <x:c r="F1786" s="22" t="str">
        <x:v>交通运输用地</x:v>
      </x:c>
      <x:c r="G1786" s="32" t="str">
        <x:v>1003</x:v>
      </x:c>
      <x:c r="H1786" s="32" t="str">
        <x:v>1003</x:v>
      </x:c>
      <x:c r="I1786" s="22" t="str">
        <x:v>公路用地</x:v>
      </x:c>
      <x:c r="J1786" s="22" t="str">
        <x:v>交通门户</x:v>
      </x:c>
      <x:c r="K1786" s="32" t="str"/>
      <x:c r="L1786" s="22" t="str">
        <x:v>不适用/未标注</x:v>
      </x:c>
      <x:c r="M1786" s="33" t="n">
        <x:v>38920557.63999996</x:v>
      </x:c>
      <x:c r="N1786" s="33" t="n">
        <x:v>3892.0557639999965</x:v>
      </x:c>
      <x:c r="O1786" s="22" t="str">
        <x:v>公顷</x:v>
      </x:c>
      <x:c r="P1786" s="22" t="str">
        <x:v>未提供（单期横截面）</x:v>
      </x:c>
      <x:c r="Q1786" s="23" t="n">
        <x:v>4765</x:v>
      </x:c>
    </x:row>
    <x:row r="1787">
      <x:c r="A1787" s="30" t="n">
        <x:v>350500</x:v>
      </x:c>
      <x:c r="B1787" s="22" t="str">
        <x:v>泉州市</x:v>
      </x:c>
      <x:c r="C1787" s="31" t="n">
        <x:v>350583</x:v>
      </x:c>
      <x:c r="D1787" s="22" t="str">
        <x:v>南安市</x:v>
      </x:c>
      <x:c r="E1787" s="22" t="str">
        <x:v>建设用地</x:v>
      </x:c>
      <x:c r="F1787" s="22" t="str">
        <x:v>交通运输用地</x:v>
      </x:c>
      <x:c r="G1787" s="32" t="str">
        <x:v>1008</x:v>
      </x:c>
      <x:c r="H1787" s="32" t="str">
        <x:v>1008</x:v>
      </x:c>
      <x:c r="I1787" s="22" t="str">
        <x:v>港口码头用地</x:v>
      </x:c>
      <x:c r="J1787" s="22" t="str">
        <x:v>交通门户</x:v>
      </x:c>
      <x:c r="K1787" s="32" t="str"/>
      <x:c r="L1787" s="22" t="str">
        <x:v>不适用/未标注</x:v>
      </x:c>
      <x:c r="M1787" s="33" t="n">
        <x:v>35405.3</x:v>
      </x:c>
      <x:c r="N1787" s="33" t="n">
        <x:v>3.5405300000000004</x:v>
      </x:c>
      <x:c r="O1787" s="22" t="str">
        <x:v>公顷</x:v>
      </x:c>
      <x:c r="P1787" s="22" t="str">
        <x:v>未提供（单期横截面）</x:v>
      </x:c>
      <x:c r="Q1787" s="23" t="n">
        <x:v>4766</x:v>
      </x:c>
    </x:row>
    <x:row r="1788">
      <x:c r="A1788" s="30" t="n">
        <x:v>350500</x:v>
      </x:c>
      <x:c r="B1788" s="22" t="str">
        <x:v>泉州市</x:v>
      </x:c>
      <x:c r="C1788" s="31" t="n">
        <x:v>350583</x:v>
      </x:c>
      <x:c r="D1788" s="22" t="str">
        <x:v>南安市</x:v>
      </x:c>
      <x:c r="E1788" s="22" t="str">
        <x:v>建设用地</x:v>
      </x:c>
      <x:c r="F1788" s="22" t="str">
        <x:v>交通运输用地</x:v>
      </x:c>
      <x:c r="G1788" s="32" t="str">
        <x:v>1009</x:v>
      </x:c>
      <x:c r="H1788" s="32" t="str">
        <x:v>1009</x:v>
      </x:c>
      <x:c r="I1788" s="22" t="str">
        <x:v>管道运输用地</x:v>
      </x:c>
      <x:c r="J1788" s="22" t="str">
        <x:v>交通门户</x:v>
      </x:c>
      <x:c r="K1788" s="32" t="str"/>
      <x:c r="L1788" s="22" t="str">
        <x:v>不适用/未标注</x:v>
      </x:c>
      <x:c r="M1788" s="33" t="n">
        <x:v>4498.72</x:v>
      </x:c>
      <x:c r="N1788" s="33" t="n">
        <x:v>0.44987200000000005</x:v>
      </x:c>
      <x:c r="O1788" s="22" t="str">
        <x:v>公顷</x:v>
      </x:c>
      <x:c r="P1788" s="22" t="str">
        <x:v>未提供（单期横截面）</x:v>
      </x:c>
      <x:c r="Q1788" s="23" t="n">
        <x:v>4767</x:v>
      </x:c>
    </x:row>
    <x:row r="1789">
      <x:c r="A1789" s="30" t="n">
        <x:v>350500</x:v>
      </x:c>
      <x:c r="B1789" s="22" t="str">
        <x:v>泉州市</x:v>
      </x:c>
      <x:c r="C1789" s="31" t="n">
        <x:v>350583</x:v>
      </x:c>
      <x:c r="D1789" s="22" t="str">
        <x:v>南安市</x:v>
      </x:c>
      <x:c r="E1789" s="22" t="str">
        <x:v>建设用地</x:v>
      </x:c>
      <x:c r="F1789" s="22" t="str">
        <x:v>水域及水利设施</x:v>
      </x:c>
      <x:c r="G1789" s="32" t="str">
        <x:v>1109</x:v>
      </x:c>
      <x:c r="H1789" s="32" t="str">
        <x:v>1109</x:v>
      </x:c>
      <x:c r="I1789" s="22" t="str">
        <x:v>水工建筑用地</x:v>
      </x:c>
      <x:c r="J1789" s="22" t="str">
        <x:v>其他建设</x:v>
      </x:c>
      <x:c r="K1789" s="32" t="str"/>
      <x:c r="L1789" s="22" t="str">
        <x:v>不适用/未标注</x:v>
      </x:c>
      <x:c r="M1789" s="33" t="n">
        <x:v>3076096.269999999</x:v>
      </x:c>
      <x:c r="N1789" s="33" t="n">
        <x:v>307.60962699999993</x:v>
      </x:c>
      <x:c r="O1789" s="22" t="str">
        <x:v>公顷</x:v>
      </x:c>
      <x:c r="P1789" s="22" t="str">
        <x:v>未提供（单期横截面）</x:v>
      </x:c>
      <x:c r="Q1789" s="23" t="n">
        <x:v>4768</x:v>
      </x:c>
    </x:row>
    <x:row r="1790">
      <x:c r="A1790" s="30" t="n">
        <x:v>350500</x:v>
      </x:c>
      <x:c r="B1790" s="22" t="str">
        <x:v>泉州市</x:v>
      </x:c>
      <x:c r="C1790" s="31" t="n">
        <x:v>350583</x:v>
      </x:c>
      <x:c r="D1790" s="22" t="str">
        <x:v>南安市</x:v>
      </x:c>
      <x:c r="E1790" s="22" t="str">
        <x:v>建设用地</x:v>
      </x:c>
      <x:c r="F1790" s="22" t="str">
        <x:v>工矿仓储用地</x:v>
      </x:c>
      <x:c r="G1790" s="32" t="str">
        <x:v>508</x:v>
      </x:c>
      <x:c r="H1790" s="32" t="str">
        <x:v>508</x:v>
      </x:c>
      <x:c r="I1790" s="22" t="str">
        <x:v>物流仓储用地</x:v>
      </x:c>
      <x:c r="J1790" s="22" t="str">
        <x:v>产业功能</x:v>
      </x:c>
      <x:c r="K1790" s="32" t="str">
        <x:v>201</x:v>
      </x:c>
      <x:c r="L1790" s="22" t="str">
        <x:v>城市范围</x:v>
      </x:c>
      <x:c r="M1790" s="33" t="n">
        <x:v>126220.45999999999</x:v>
      </x:c>
      <x:c r="N1790" s="33" t="n">
        <x:v>12.622046</x:v>
      </x:c>
      <x:c r="O1790" s="22" t="str">
        <x:v>公顷</x:v>
      </x:c>
      <x:c r="P1790" s="22" t="str">
        <x:v>未提供（单期横截面）</x:v>
      </x:c>
      <x:c r="Q1790" s="23" t="n">
        <x:v>4769</x:v>
      </x:c>
    </x:row>
    <x:row r="1791">
      <x:c r="A1791" s="30" t="n">
        <x:v>350500</x:v>
      </x:c>
      <x:c r="B1791" s="22" t="str">
        <x:v>泉州市</x:v>
      </x:c>
      <x:c r="C1791" s="31" t="n">
        <x:v>350583</x:v>
      </x:c>
      <x:c r="D1791" s="22" t="str">
        <x:v>南安市</x:v>
      </x:c>
      <x:c r="E1791" s="22" t="str">
        <x:v>建设用地</x:v>
      </x:c>
      <x:c r="F1791" s="22" t="str">
        <x:v>商业服务业用地</x:v>
      </x:c>
      <x:c r="G1791" s="32" t="str">
        <x:v>05H1</x:v>
      </x:c>
      <x:c r="H1791" s="32" t="str">
        <x:v>05H1</x:v>
      </x:c>
      <x:c r="I1791" s="22" t="str">
        <x:v>商业服务业设施用地</x:v>
      </x:c>
      <x:c r="J1791" s="22" t="str">
        <x:v>商业服务</x:v>
      </x:c>
      <x:c r="K1791" s="32" t="str">
        <x:v>201</x:v>
      </x:c>
      <x:c r="L1791" s="22" t="str">
        <x:v>城市范围</x:v>
      </x:c>
      <x:c r="M1791" s="33" t="n">
        <x:v>721502.0900000001</x:v>
      </x:c>
      <x:c r="N1791" s="33" t="n">
        <x:v>72.150209</x:v>
      </x:c>
      <x:c r="O1791" s="22" t="str">
        <x:v>公顷</x:v>
      </x:c>
      <x:c r="P1791" s="22" t="str">
        <x:v>未提供（单期横截面）</x:v>
      </x:c>
      <x:c r="Q1791" s="23" t="n">
        <x:v>4770</x:v>
      </x:c>
    </x:row>
    <x:row r="1792">
      <x:c r="A1792" s="30" t="n">
        <x:v>350500</x:v>
      </x:c>
      <x:c r="B1792" s="22" t="str">
        <x:v>泉州市</x:v>
      </x:c>
      <x:c r="C1792" s="31" t="n">
        <x:v>350583</x:v>
      </x:c>
      <x:c r="D1792" s="22" t="str">
        <x:v>南安市</x:v>
      </x:c>
      <x:c r="E1792" s="22" t="str">
        <x:v>建设用地</x:v>
      </x:c>
      <x:c r="F1792" s="22" t="str">
        <x:v>工矿仓储用地</x:v>
      </x:c>
      <x:c r="G1792" s="32" t="str">
        <x:v>601</x:v>
      </x:c>
      <x:c r="H1792" s="32" t="str">
        <x:v>601</x:v>
      </x:c>
      <x:c r="I1792" s="22" t="str">
        <x:v>工业用地</x:v>
      </x:c>
      <x:c r="J1792" s="22" t="str">
        <x:v>产业功能</x:v>
      </x:c>
      <x:c r="K1792" s="32" t="str">
        <x:v>201</x:v>
      </x:c>
      <x:c r="L1792" s="22" t="str">
        <x:v>城市范围</x:v>
      </x:c>
      <x:c r="M1792" s="33" t="n">
        <x:v>2484120.4600000004</x:v>
      </x:c>
      <x:c r="N1792" s="33" t="n">
        <x:v>248.41204600000003</x:v>
      </x:c>
      <x:c r="O1792" s="22" t="str">
        <x:v>公顷</x:v>
      </x:c>
      <x:c r="P1792" s="22" t="str">
        <x:v>未提供（单期横截面）</x:v>
      </x:c>
      <x:c r="Q1792" s="23" t="n">
        <x:v>4771</x:v>
      </x:c>
    </x:row>
    <x:row r="1793">
      <x:c r="A1793" s="30" t="n">
        <x:v>350500</x:v>
      </x:c>
      <x:c r="B1793" s="22" t="str">
        <x:v>泉州市</x:v>
      </x:c>
      <x:c r="C1793" s="31" t="n">
        <x:v>350583</x:v>
      </x:c>
      <x:c r="D1793" s="22" t="str">
        <x:v>南安市</x:v>
      </x:c>
      <x:c r="E1793" s="22" t="str">
        <x:v>建设用地</x:v>
      </x:c>
      <x:c r="F1793" s="22" t="str">
        <x:v>工矿仓储用地</x:v>
      </x:c>
      <x:c r="G1793" s="32" t="str">
        <x:v>602</x:v>
      </x:c>
      <x:c r="H1793" s="32" t="str">
        <x:v>602</x:v>
      </x:c>
      <x:c r="I1793" s="22" t="str">
        <x:v>采矿用地</x:v>
      </x:c>
      <x:c r="J1793" s="22" t="str">
        <x:v>产业功能</x:v>
      </x:c>
      <x:c r="K1793" s="32" t="str">
        <x:v>201</x:v>
      </x:c>
      <x:c r="L1793" s="22" t="str">
        <x:v>城市范围</x:v>
      </x:c>
      <x:c r="M1793" s="33" t="n">
        <x:v>5833.02</x:v>
      </x:c>
      <x:c r="N1793" s="33" t="n">
        <x:v>0.5833020000000001</x:v>
      </x:c>
      <x:c r="O1793" s="22" t="str">
        <x:v>公顷</x:v>
      </x:c>
      <x:c r="P1793" s="22" t="str">
        <x:v>未提供（单期横截面）</x:v>
      </x:c>
      <x:c r="Q1793" s="23" t="n">
        <x:v>4772</x:v>
      </x:c>
    </x:row>
    <x:row r="1794">
      <x:c r="A1794" s="30" t="n">
        <x:v>350500</x:v>
      </x:c>
      <x:c r="B1794" s="22" t="str">
        <x:v>泉州市</x:v>
      </x:c>
      <x:c r="C1794" s="31" t="n">
        <x:v>350583</x:v>
      </x:c>
      <x:c r="D1794" s="22" t="str">
        <x:v>南安市</x:v>
      </x:c>
      <x:c r="E1794" s="22" t="str">
        <x:v>建设用地</x:v>
      </x:c>
      <x:c r="F1794" s="22" t="str">
        <x:v>居住用地</x:v>
      </x:c>
      <x:c r="G1794" s="32" t="str">
        <x:v>701</x:v>
      </x:c>
      <x:c r="H1794" s="32" t="str">
        <x:v>701</x:v>
      </x:c>
      <x:c r="I1794" s="22" t="str">
        <x:v>城镇住宅用地</x:v>
      </x:c>
      <x:c r="J1794" s="22" t="str">
        <x:v>居住功能</x:v>
      </x:c>
      <x:c r="K1794" s="32" t="str">
        <x:v>201</x:v>
      </x:c>
      <x:c r="L1794" s="22" t="str">
        <x:v>城市范围</x:v>
      </x:c>
      <x:c r="M1794" s="33" t="n">
        <x:v>7034571.060000001</x:v>
      </x:c>
      <x:c r="N1794" s="33" t="n">
        <x:v>703.4571060000002</x:v>
      </x:c>
      <x:c r="O1794" s="22" t="str">
        <x:v>公顷</x:v>
      </x:c>
      <x:c r="P1794" s="22" t="str">
        <x:v>未提供（单期横截面）</x:v>
      </x:c>
      <x:c r="Q1794" s="23" t="n">
        <x:v>4773</x:v>
      </x:c>
    </x:row>
    <x:row r="1795">
      <x:c r="A1795" s="30" t="n">
        <x:v>350500</x:v>
      </x:c>
      <x:c r="B1795" s="22" t="str">
        <x:v>泉州市</x:v>
      </x:c>
      <x:c r="C1795" s="31" t="n">
        <x:v>350583</x:v>
      </x:c>
      <x:c r="D1795" s="22" t="str">
        <x:v>南安市</x:v>
      </x:c>
      <x:c r="E1795" s="22" t="str">
        <x:v>建设用地</x:v>
      </x:c>
      <x:c r="F1795" s="22" t="str">
        <x:v>居住用地</x:v>
      </x:c>
      <x:c r="G1795" s="32" t="str">
        <x:v>702</x:v>
      </x:c>
      <x:c r="H1795" s="32" t="str">
        <x:v>702</x:v>
      </x:c>
      <x:c r="I1795" s="22" t="str">
        <x:v>农村宅基地</x:v>
      </x:c>
      <x:c r="J1795" s="22" t="str">
        <x:v>居住功能</x:v>
      </x:c>
      <x:c r="K1795" s="32" t="str">
        <x:v>201</x:v>
      </x:c>
      <x:c r="L1795" s="22" t="str">
        <x:v>城市范围</x:v>
      </x:c>
      <x:c r="M1795" s="33" t="n">
        <x:v>91754.85</x:v>
      </x:c>
      <x:c r="N1795" s="33" t="n">
        <x:v>9.175485</x:v>
      </x:c>
      <x:c r="O1795" s="22" t="str">
        <x:v>公顷</x:v>
      </x:c>
      <x:c r="P1795" s="22" t="str">
        <x:v>未提供（单期横截面）</x:v>
      </x:c>
      <x:c r="Q1795" s="23" t="n">
        <x:v>4774</x:v>
      </x:c>
    </x:row>
    <x:row r="1796">
      <x:c r="A1796" s="30" t="n">
        <x:v>350500</x:v>
      </x:c>
      <x:c r="B1796" s="22" t="str">
        <x:v>泉州市</x:v>
      </x:c>
      <x:c r="C1796" s="31" t="n">
        <x:v>350583</x:v>
      </x:c>
      <x:c r="D1796" s="22" t="str">
        <x:v>南安市</x:v>
      </x:c>
      <x:c r="E1796" s="22" t="str">
        <x:v>建设用地</x:v>
      </x:c>
      <x:c r="F1796" s="22" t="str">
        <x:v>公用设施用地</x:v>
      </x:c>
      <x:c r="G1796" s="32" t="str">
        <x:v>809</x:v>
      </x:c>
      <x:c r="H1796" s="32" t="str">
        <x:v>809</x:v>
      </x:c>
      <x:c r="I1796" s="22" t="str">
        <x:v>公用设施用地</x:v>
      </x:c>
      <x:c r="J1796" s="22" t="str">
        <x:v>其他建设</x:v>
      </x:c>
      <x:c r="K1796" s="32" t="str">
        <x:v>201</x:v>
      </x:c>
      <x:c r="L1796" s="22" t="str">
        <x:v>城市范围</x:v>
      </x:c>
      <x:c r="M1796" s="33" t="n">
        <x:v>75259.08</x:v>
      </x:c>
      <x:c r="N1796" s="33" t="n">
        <x:v>7.525908</x:v>
      </x:c>
      <x:c r="O1796" s="22" t="str">
        <x:v>公顷</x:v>
      </x:c>
      <x:c r="P1796" s="22" t="str">
        <x:v>未提供（单期横截面）</x:v>
      </x:c>
      <x:c r="Q1796" s="23" t="n">
        <x:v>4775</x:v>
      </x:c>
    </x:row>
    <x:row r="1797">
      <x:c r="A1797" s="30" t="n">
        <x:v>350500</x:v>
      </x:c>
      <x:c r="B1797" s="22" t="str">
        <x:v>泉州市</x:v>
      </x:c>
      <x:c r="C1797" s="31" t="n">
        <x:v>350583</x:v>
      </x:c>
      <x:c r="D1797" s="22" t="str">
        <x:v>南安市</x:v>
      </x:c>
      <x:c r="E1797" s="22" t="str">
        <x:v>建设用地</x:v>
      </x:c>
      <x:c r="F1797" s="22" t="str">
        <x:v>绿地与广场用地</x:v>
      </x:c>
      <x:c r="G1797" s="32" t="str">
        <x:v>810</x:v>
      </x:c>
      <x:c r="H1797" s="32" t="str">
        <x:v>810</x:v>
      </x:c>
      <x:c r="I1797" s="22" t="str">
        <x:v>公园与绿地</x:v>
      </x:c>
      <x:c r="J1797" s="22" t="str">
        <x:v>公共空间</x:v>
      </x:c>
      <x:c r="K1797" s="32" t="str">
        <x:v>201</x:v>
      </x:c>
      <x:c r="L1797" s="22" t="str">
        <x:v>城市范围</x:v>
      </x:c>
      <x:c r="M1797" s="33" t="n">
        <x:v>692272.88</x:v>
      </x:c>
      <x:c r="N1797" s="33" t="n">
        <x:v>69.227288</x:v>
      </x:c>
      <x:c r="O1797" s="22" t="str">
        <x:v>公顷</x:v>
      </x:c>
      <x:c r="P1797" s="22" t="str">
        <x:v>未提供（单期横截面）</x:v>
      </x:c>
      <x:c r="Q1797" s="23" t="n">
        <x:v>4776</x:v>
      </x:c>
    </x:row>
    <x:row r="1798">
      <x:c r="A1798" s="30" t="n">
        <x:v>350500</x:v>
      </x:c>
      <x:c r="B1798" s="22" t="str">
        <x:v>泉州市</x:v>
      </x:c>
      <x:c r="C1798" s="31" t="n">
        <x:v>350583</x:v>
      </x:c>
      <x:c r="D1798" s="22" t="str">
        <x:v>南安市</x:v>
      </x:c>
      <x:c r="E1798" s="22" t="str">
        <x:v>建设用地</x:v>
      </x:c>
      <x:c r="F1798" s="22" t="str">
        <x:v>绿地与广场用地</x:v>
      </x:c>
      <x:c r="G1798" s="32" t="str">
        <x:v>0810A</x:v>
      </x:c>
      <x:c r="H1798" s="32" t="str">
        <x:v>0810</x:v>
      </x:c>
      <x:c r="I1798" s="22" t="str">
        <x:v>广场用地</x:v>
      </x:c>
      <x:c r="J1798" s="22" t="str">
        <x:v>公共空间</x:v>
      </x:c>
      <x:c r="K1798" s="32" t="str">
        <x:v>201</x:v>
      </x:c>
      <x:c r="L1798" s="22" t="str">
        <x:v>城市范围</x:v>
      </x:c>
      <x:c r="M1798" s="33" t="n">
        <x:v>1975.41</x:v>
      </x:c>
      <x:c r="N1798" s="33" t="n">
        <x:v>0.197541</x:v>
      </x:c>
      <x:c r="O1798" s="22" t="str">
        <x:v>公顷</x:v>
      </x:c>
      <x:c r="P1798" s="22" t="str">
        <x:v>未提供（单期横截面）</x:v>
      </x:c>
      <x:c r="Q1798" s="23" t="n">
        <x:v>4777</x:v>
      </x:c>
    </x:row>
    <x:row r="1799">
      <x:c r="A1799" s="30" t="n">
        <x:v>350500</x:v>
      </x:c>
      <x:c r="B1799" s="22" t="str">
        <x:v>泉州市</x:v>
      </x:c>
      <x:c r="C1799" s="31" t="n">
        <x:v>350583</x:v>
      </x:c>
      <x:c r="D1799" s="22" t="str">
        <x:v>南安市</x:v>
      </x:c>
      <x:c r="E1799" s="22" t="str">
        <x:v>建设用地</x:v>
      </x:c>
      <x:c r="F1799" s="22" t="str">
        <x:v>公共管理与公共服务用地</x:v>
      </x:c>
      <x:c r="G1799" s="32" t="str">
        <x:v>08H1</x:v>
      </x:c>
      <x:c r="H1799" s="32" t="str">
        <x:v>08H1</x:v>
      </x:c>
      <x:c r="I1799" s="22" t="str">
        <x:v>机关团体新闻出版用地</x:v>
      </x:c>
      <x:c r="J1799" s="22" t="str">
        <x:v>公共服务</x:v>
      </x:c>
      <x:c r="K1799" s="32" t="str">
        <x:v>201</x:v>
      </x:c>
      <x:c r="L1799" s="22" t="str">
        <x:v>城市范围</x:v>
      </x:c>
      <x:c r="M1799" s="33" t="n">
        <x:v>599512.6799999999</x:v>
      </x:c>
      <x:c r="N1799" s="33" t="n">
        <x:v>59.95126799999999</x:v>
      </x:c>
      <x:c r="O1799" s="22" t="str">
        <x:v>公顷</x:v>
      </x:c>
      <x:c r="P1799" s="22" t="str">
        <x:v>未提供（单期横截面）</x:v>
      </x:c>
      <x:c r="Q1799" s="23" t="n">
        <x:v>4778</x:v>
      </x:c>
    </x:row>
    <x:row r="1800">
      <x:c r="A1800" s="30" t="n">
        <x:v>350500</x:v>
      </x:c>
      <x:c r="B1800" s="22" t="str">
        <x:v>泉州市</x:v>
      </x:c>
      <x:c r="C1800" s="31" t="n">
        <x:v>350583</x:v>
      </x:c>
      <x:c r="D1800" s="22" t="str">
        <x:v>南安市</x:v>
      </x:c>
      <x:c r="E1800" s="22" t="str">
        <x:v>建设用地</x:v>
      </x:c>
      <x:c r="F1800" s="22" t="str">
        <x:v>公共管理与公共服务用地</x:v>
      </x:c>
      <x:c r="G1800" s="32" t="str">
        <x:v>08H2</x:v>
      </x:c>
      <x:c r="H1800" s="32" t="str">
        <x:v>08H2</x:v>
      </x:c>
      <x:c r="I1800" s="22" t="str">
        <x:v>科教文卫用地</x:v>
      </x:c>
      <x:c r="J1800" s="22" t="str">
        <x:v>公共服务</x:v>
      </x:c>
      <x:c r="K1800" s="32" t="str">
        <x:v>201</x:v>
      </x:c>
      <x:c r="L1800" s="22" t="str">
        <x:v>城市范围</x:v>
      </x:c>
      <x:c r="M1800" s="33" t="n">
        <x:v>954023.3099999999</x:v>
      </x:c>
      <x:c r="N1800" s="33" t="n">
        <x:v>95.40233099999999</x:v>
      </x:c>
      <x:c r="O1800" s="22" t="str">
        <x:v>公顷</x:v>
      </x:c>
      <x:c r="P1800" s="22" t="str">
        <x:v>未提供（单期横截面）</x:v>
      </x:c>
      <x:c r="Q1800" s="23" t="n">
        <x:v>4779</x:v>
      </x:c>
    </x:row>
    <x:row r="1801">
      <x:c r="A1801" s="30" t="n">
        <x:v>350500</x:v>
      </x:c>
      <x:c r="B1801" s="22" t="str">
        <x:v>泉州市</x:v>
      </x:c>
      <x:c r="C1801" s="31" t="n">
        <x:v>350583</x:v>
      </x:c>
      <x:c r="D1801" s="22" t="str">
        <x:v>南安市</x:v>
      </x:c>
      <x:c r="E1801" s="22" t="str">
        <x:v>建设用地</x:v>
      </x:c>
      <x:c r="F1801" s="22" t="str">
        <x:v>公共管理与公共服务用地</x:v>
      </x:c>
      <x:c r="G1801" s="32" t="str">
        <x:v>08H2A</x:v>
      </x:c>
      <x:c r="H1801" s="32" t="str">
        <x:v>08H2</x:v>
      </x:c>
      <x:c r="I1801" s="22" t="str">
        <x:v>高教用地</x:v>
      </x:c>
      <x:c r="J1801" s="22" t="str">
        <x:v>公共服务</x:v>
      </x:c>
      <x:c r="K1801" s="32" t="str">
        <x:v>201</x:v>
      </x:c>
      <x:c r="L1801" s="22" t="str">
        <x:v>城市范围</x:v>
      </x:c>
      <x:c r="M1801" s="33" t="n">
        <x:v>90020.97</x:v>
      </x:c>
      <x:c r="N1801" s="33" t="n">
        <x:v>9.002097000000001</x:v>
      </x:c>
      <x:c r="O1801" s="22" t="str">
        <x:v>公顷</x:v>
      </x:c>
      <x:c r="P1801" s="22" t="str">
        <x:v>未提供（单期横截面）</x:v>
      </x:c>
      <x:c r="Q1801" s="23" t="n">
        <x:v>4780</x:v>
      </x:c>
    </x:row>
    <x:row r="1802">
      <x:c r="A1802" s="30" t="n">
        <x:v>350500</x:v>
      </x:c>
      <x:c r="B1802" s="22" t="str">
        <x:v>泉州市</x:v>
      </x:c>
      <x:c r="C1802" s="31" t="n">
        <x:v>350583</x:v>
      </x:c>
      <x:c r="D1802" s="22" t="str">
        <x:v>南安市</x:v>
      </x:c>
      <x:c r="E1802" s="22" t="str">
        <x:v>建设用地</x:v>
      </x:c>
      <x:c r="F1802" s="22" t="str">
        <x:v>特殊用地</x:v>
      </x:c>
      <x:c r="G1802" s="32" t="str">
        <x:v>9</x:v>
      </x:c>
      <x:c r="H1802" s="32" t="str">
        <x:v>9</x:v>
      </x:c>
      <x:c r="I1802" s="22" t="str">
        <x:v>特殊用地</x:v>
      </x:c>
      <x:c r="J1802" s="22" t="str">
        <x:v>其他建设</x:v>
      </x:c>
      <x:c r="K1802" s="32" t="str">
        <x:v>201</x:v>
      </x:c>
      <x:c r="L1802" s="22" t="str">
        <x:v>城市范围</x:v>
      </x:c>
      <x:c r="M1802" s="33" t="n">
        <x:v>23742.73</x:v>
      </x:c>
      <x:c r="N1802" s="33" t="n">
        <x:v>2.374273</x:v>
      </x:c>
      <x:c r="O1802" s="22" t="str">
        <x:v>公顷</x:v>
      </x:c>
      <x:c r="P1802" s="22" t="str">
        <x:v>未提供（单期横截面）</x:v>
      </x:c>
      <x:c r="Q1802" s="23" t="n">
        <x:v>4781</x:v>
      </x:c>
    </x:row>
    <x:row r="1803">
      <x:c r="A1803" s="30" t="n">
        <x:v>350500</x:v>
      </x:c>
      <x:c r="B1803" s="22" t="str">
        <x:v>泉州市</x:v>
      </x:c>
      <x:c r="C1803" s="31" t="n">
        <x:v>350583</x:v>
      </x:c>
      <x:c r="D1803" s="22" t="str">
        <x:v>南安市</x:v>
      </x:c>
      <x:c r="E1803" s="22" t="str">
        <x:v>建设用地</x:v>
      </x:c>
      <x:c r="F1803" s="22" t="str">
        <x:v>交通运输用地</x:v>
      </x:c>
      <x:c r="G1803" s="32" t="str">
        <x:v>1004</x:v>
      </x:c>
      <x:c r="H1803" s="32" t="str">
        <x:v>1004</x:v>
      </x:c>
      <x:c r="I1803" s="22" t="str">
        <x:v>城镇村道路用地</x:v>
      </x:c>
      <x:c r="J1803" s="22" t="str">
        <x:v>交通门户</x:v>
      </x:c>
      <x:c r="K1803" s="32" t="str">
        <x:v>201</x:v>
      </x:c>
      <x:c r="L1803" s="22" t="str">
        <x:v>城市范围</x:v>
      </x:c>
      <x:c r="M1803" s="33" t="n">
        <x:v>568832.06</x:v>
      </x:c>
      <x:c r="N1803" s="33" t="n">
        <x:v>56.88320600000001</x:v>
      </x:c>
      <x:c r="O1803" s="22" t="str">
        <x:v>公顷</x:v>
      </x:c>
      <x:c r="P1803" s="22" t="str">
        <x:v>未提供（单期横截面）</x:v>
      </x:c>
      <x:c r="Q1803" s="23" t="n">
        <x:v>4782</x:v>
      </x:c>
    </x:row>
    <x:row r="1804">
      <x:c r="A1804" s="30" t="n">
        <x:v>350500</x:v>
      </x:c>
      <x:c r="B1804" s="22" t="str">
        <x:v>泉州市</x:v>
      </x:c>
      <x:c r="C1804" s="31" t="n">
        <x:v>350583</x:v>
      </x:c>
      <x:c r="D1804" s="22" t="str">
        <x:v>南安市</x:v>
      </x:c>
      <x:c r="E1804" s="22" t="str">
        <x:v>建设用地</x:v>
      </x:c>
      <x:c r="F1804" s="22" t="str">
        <x:v>交通运输用地</x:v>
      </x:c>
      <x:c r="G1804" s="32" t="str">
        <x:v>1005</x:v>
      </x:c>
      <x:c r="H1804" s="32" t="str">
        <x:v>1005</x:v>
      </x:c>
      <x:c r="I1804" s="22" t="str">
        <x:v>交通服务场站用地</x:v>
      </x:c>
      <x:c r="J1804" s="22" t="str">
        <x:v>交通门户</x:v>
      </x:c>
      <x:c r="K1804" s="32" t="str">
        <x:v>201</x:v>
      </x:c>
      <x:c r="L1804" s="22" t="str">
        <x:v>城市范围</x:v>
      </x:c>
      <x:c r="M1804" s="33" t="n">
        <x:v>66180.29</x:v>
      </x:c>
      <x:c r="N1804" s="33" t="n">
        <x:v>6.618028999999999</x:v>
      </x:c>
      <x:c r="O1804" s="22" t="str">
        <x:v>公顷</x:v>
      </x:c>
      <x:c r="P1804" s="22" t="str">
        <x:v>未提供（单期横截面）</x:v>
      </x:c>
      <x:c r="Q1804" s="23" t="n">
        <x:v>4783</x:v>
      </x:c>
    </x:row>
    <x:row r="1805">
      <x:c r="A1805" s="30" t="n">
        <x:v>350500</x:v>
      </x:c>
      <x:c r="B1805" s="22" t="str">
        <x:v>泉州市</x:v>
      </x:c>
      <x:c r="C1805" s="31" t="n">
        <x:v>350583</x:v>
      </x:c>
      <x:c r="D1805" s="22" t="str">
        <x:v>南安市</x:v>
      </x:c>
      <x:c r="E1805" s="22" t="str">
        <x:v>建设用地</x:v>
      </x:c>
      <x:c r="F1805" s="22" t="str">
        <x:v>水域及水利设施</x:v>
      </x:c>
      <x:c r="G1805" s="32" t="str">
        <x:v>1109</x:v>
      </x:c>
      <x:c r="H1805" s="32" t="str">
        <x:v>1109</x:v>
      </x:c>
      <x:c r="I1805" s="22" t="str">
        <x:v>水工建筑用地</x:v>
      </x:c>
      <x:c r="J1805" s="22" t="str">
        <x:v>其他建设</x:v>
      </x:c>
      <x:c r="K1805" s="32" t="str">
        <x:v>201</x:v>
      </x:c>
      <x:c r="L1805" s="22" t="str">
        <x:v>城市范围</x:v>
      </x:c>
      <x:c r="M1805" s="33" t="n">
        <x:v>7832.97</x:v>
      </x:c>
      <x:c r="N1805" s="33" t="n">
        <x:v>0.783297</x:v>
      </x:c>
      <x:c r="O1805" s="22" t="str">
        <x:v>公顷</x:v>
      </x:c>
      <x:c r="P1805" s="22" t="str">
        <x:v>未提供（单期横截面）</x:v>
      </x:c>
      <x:c r="Q1805" s="23" t="n">
        <x:v>4784</x:v>
      </x:c>
    </x:row>
    <x:row r="1806">
      <x:c r="A1806" s="30" t="n">
        <x:v>350500</x:v>
      </x:c>
      <x:c r="B1806" s="22" t="str">
        <x:v>泉州市</x:v>
      </x:c>
      <x:c r="C1806" s="31" t="n">
        <x:v>350583</x:v>
      </x:c>
      <x:c r="D1806" s="22" t="str">
        <x:v>南安市</x:v>
      </x:c>
      <x:c r="E1806" s="22" t="str">
        <x:v>建设用地</x:v>
      </x:c>
      <x:c r="F1806" s="22" t="str">
        <x:v>其他建设用地</x:v>
      </x:c>
      <x:c r="G1806" s="32" t="str">
        <x:v>1201</x:v>
      </x:c>
      <x:c r="H1806" s="32" t="str">
        <x:v>1201</x:v>
      </x:c>
      <x:c r="I1806" s="22" t="str">
        <x:v>空闲地</x:v>
      </x:c>
      <x:c r="J1806" s="22" t="str">
        <x:v>其他建设</x:v>
      </x:c>
      <x:c r="K1806" s="32" t="str">
        <x:v>201</x:v>
      </x:c>
      <x:c r="L1806" s="22" t="str">
        <x:v>城市范围</x:v>
      </x:c>
      <x:c r="M1806" s="33" t="n">
        <x:v>4824.62</x:v>
      </x:c>
      <x:c r="N1806" s="33" t="n">
        <x:v>0.482462</x:v>
      </x:c>
      <x:c r="O1806" s="22" t="str">
        <x:v>公顷</x:v>
      </x:c>
      <x:c r="P1806" s="22" t="str">
        <x:v>未提供（单期横截面）</x:v>
      </x:c>
      <x:c r="Q1806" s="23" t="n">
        <x:v>4785</x:v>
      </x:c>
    </x:row>
    <x:row r="1807">
      <x:c r="A1807" s="30" t="n">
        <x:v>350500</x:v>
      </x:c>
      <x:c r="B1807" s="22" t="str">
        <x:v>泉州市</x:v>
      </x:c>
      <x:c r="C1807" s="31" t="n">
        <x:v>350583</x:v>
      </x:c>
      <x:c r="D1807" s="22" t="str">
        <x:v>南安市</x:v>
      </x:c>
      <x:c r="E1807" s="22" t="str">
        <x:v>建设用地</x:v>
      </x:c>
      <x:c r="F1807" s="22" t="str">
        <x:v>工矿仓储用地</x:v>
      </x:c>
      <x:c r="G1807" s="32" t="str">
        <x:v>601</x:v>
      </x:c>
      <x:c r="H1807" s="32" t="str">
        <x:v>601</x:v>
      </x:c>
      <x:c r="I1807" s="22" t="str">
        <x:v>工业用地</x:v>
      </x:c>
      <x:c r="J1807" s="22" t="str">
        <x:v>产业功能</x:v>
      </x:c>
      <x:c r="K1807" s="32" t="str">
        <x:v>201A</x:v>
      </x:c>
      <x:c r="L1807" s="22" t="str">
        <x:v>城市独立工业用地</x:v>
      </x:c>
      <x:c r="M1807" s="33" t="n">
        <x:v>3195.8099999999995</x:v>
      </x:c>
      <x:c r="N1807" s="33" t="n">
        <x:v>0.31958099999999995</x:v>
      </x:c>
      <x:c r="O1807" s="22" t="str">
        <x:v>公顷</x:v>
      </x:c>
      <x:c r="P1807" s="22" t="str">
        <x:v>未提供（单期横截面）</x:v>
      </x:c>
      <x:c r="Q1807" s="23" t="n">
        <x:v>4786</x:v>
      </x:c>
    </x:row>
    <x:row r="1808">
      <x:c r="A1808" s="30" t="n">
        <x:v>350500</x:v>
      </x:c>
      <x:c r="B1808" s="22" t="str">
        <x:v>泉州市</x:v>
      </x:c>
      <x:c r="C1808" s="31" t="n">
        <x:v>350583</x:v>
      </x:c>
      <x:c r="D1808" s="22" t="str">
        <x:v>南安市</x:v>
      </x:c>
      <x:c r="E1808" s="22" t="str">
        <x:v>建设用地</x:v>
      </x:c>
      <x:c r="F1808" s="22" t="str">
        <x:v>工矿仓储用地</x:v>
      </x:c>
      <x:c r="G1808" s="32" t="str">
        <x:v>508</x:v>
      </x:c>
      <x:c r="H1808" s="32" t="str">
        <x:v>508</x:v>
      </x:c>
      <x:c r="I1808" s="22" t="str">
        <x:v>物流仓储用地</x:v>
      </x:c>
      <x:c r="J1808" s="22" t="str">
        <x:v>产业功能</x:v>
      </x:c>
      <x:c r="K1808" s="32" t="str">
        <x:v>202</x:v>
      </x:c>
      <x:c r="L1808" s="22" t="str">
        <x:v>建制镇范围</x:v>
      </x:c>
      <x:c r="M1808" s="33" t="n">
        <x:v>168682.67</x:v>
      </x:c>
      <x:c r="N1808" s="33" t="n">
        <x:v>16.868267000000003</x:v>
      </x:c>
      <x:c r="O1808" s="22" t="str">
        <x:v>公顷</x:v>
      </x:c>
      <x:c r="P1808" s="22" t="str">
        <x:v>未提供（单期横截面）</x:v>
      </x:c>
      <x:c r="Q1808" s="23" t="n">
        <x:v>4787</x:v>
      </x:c>
    </x:row>
    <x:row r="1809">
      <x:c r="A1809" s="30" t="n">
        <x:v>350500</x:v>
      </x:c>
      <x:c r="B1809" s="22" t="str">
        <x:v>泉州市</x:v>
      </x:c>
      <x:c r="C1809" s="31" t="n">
        <x:v>350583</x:v>
      </x:c>
      <x:c r="D1809" s="22" t="str">
        <x:v>南安市</x:v>
      </x:c>
      <x:c r="E1809" s="22" t="str">
        <x:v>建设用地</x:v>
      </x:c>
      <x:c r="F1809" s="22" t="str">
        <x:v>商业服务业用地</x:v>
      </x:c>
      <x:c r="G1809" s="32" t="str">
        <x:v>05H1</x:v>
      </x:c>
      <x:c r="H1809" s="32" t="str">
        <x:v>05H1</x:v>
      </x:c>
      <x:c r="I1809" s="22" t="str">
        <x:v>商业服务业设施用地</x:v>
      </x:c>
      <x:c r="J1809" s="22" t="str">
        <x:v>商业服务</x:v>
      </x:c>
      <x:c r="K1809" s="32" t="str">
        <x:v>202</x:v>
      </x:c>
      <x:c r="L1809" s="22" t="str">
        <x:v>建制镇范围</x:v>
      </x:c>
      <x:c r="M1809" s="33" t="n">
        <x:v>4158123.760000002</x:v>
      </x:c>
      <x:c r="N1809" s="33" t="n">
        <x:v>415.8123760000002</x:v>
      </x:c>
      <x:c r="O1809" s="22" t="str">
        <x:v>公顷</x:v>
      </x:c>
      <x:c r="P1809" s="22" t="str">
        <x:v>未提供（单期横截面）</x:v>
      </x:c>
      <x:c r="Q1809" s="23" t="n">
        <x:v>4788</x:v>
      </x:c>
    </x:row>
    <x:row r="1810">
      <x:c r="A1810" s="30" t="n">
        <x:v>350500</x:v>
      </x:c>
      <x:c r="B1810" s="22" t="str">
        <x:v>泉州市</x:v>
      </x:c>
      <x:c r="C1810" s="31" t="n">
        <x:v>350583</x:v>
      </x:c>
      <x:c r="D1810" s="22" t="str">
        <x:v>南安市</x:v>
      </x:c>
      <x:c r="E1810" s="22" t="str">
        <x:v>建设用地</x:v>
      </x:c>
      <x:c r="F1810" s="22" t="str">
        <x:v>工矿仓储用地</x:v>
      </x:c>
      <x:c r="G1810" s="32" t="str">
        <x:v>601</x:v>
      </x:c>
      <x:c r="H1810" s="32" t="str">
        <x:v>601</x:v>
      </x:c>
      <x:c r="I1810" s="22" t="str">
        <x:v>工业用地</x:v>
      </x:c>
      <x:c r="J1810" s="22" t="str">
        <x:v>产业功能</x:v>
      </x:c>
      <x:c r="K1810" s="32" t="str">
        <x:v>202</x:v>
      </x:c>
      <x:c r="L1810" s="22" t="str">
        <x:v>建制镇范围</x:v>
      </x:c>
      <x:c r="M1810" s="33" t="n">
        <x:v>18929286.260000013</x:v>
      </x:c>
      <x:c r="N1810" s="33" t="n">
        <x:v>1892.9286260000013</x:v>
      </x:c>
      <x:c r="O1810" s="22" t="str">
        <x:v>公顷</x:v>
      </x:c>
      <x:c r="P1810" s="22" t="str">
        <x:v>未提供（单期横截面）</x:v>
      </x:c>
      <x:c r="Q1810" s="23" t="n">
        <x:v>4789</x:v>
      </x:c>
    </x:row>
    <x:row r="1811">
      <x:c r="A1811" s="30" t="n">
        <x:v>350500</x:v>
      </x:c>
      <x:c r="B1811" s="22" t="str">
        <x:v>泉州市</x:v>
      </x:c>
      <x:c r="C1811" s="31" t="n">
        <x:v>350583</x:v>
      </x:c>
      <x:c r="D1811" s="22" t="str">
        <x:v>南安市</x:v>
      </x:c>
      <x:c r="E1811" s="22" t="str">
        <x:v>建设用地</x:v>
      </x:c>
      <x:c r="F1811" s="22" t="str">
        <x:v>工矿仓储用地</x:v>
      </x:c>
      <x:c r="G1811" s="32" t="str">
        <x:v>602</x:v>
      </x:c>
      <x:c r="H1811" s="32" t="str">
        <x:v>602</x:v>
      </x:c>
      <x:c r="I1811" s="22" t="str">
        <x:v>采矿用地</x:v>
      </x:c>
      <x:c r="J1811" s="22" t="str">
        <x:v>产业功能</x:v>
      </x:c>
      <x:c r="K1811" s="32" t="str">
        <x:v>202</x:v>
      </x:c>
      <x:c r="L1811" s="22" t="str">
        <x:v>建制镇范围</x:v>
      </x:c>
      <x:c r="M1811" s="33" t="n">
        <x:v>5756.349999999999</x:v>
      </x:c>
      <x:c r="N1811" s="33" t="n">
        <x:v>0.5756349999999999</x:v>
      </x:c>
      <x:c r="O1811" s="22" t="str">
        <x:v>公顷</x:v>
      </x:c>
      <x:c r="P1811" s="22" t="str">
        <x:v>未提供（单期横截面）</x:v>
      </x:c>
      <x:c r="Q1811" s="23" t="n">
        <x:v>4790</x:v>
      </x:c>
    </x:row>
    <x:row r="1812">
      <x:c r="A1812" s="30" t="n">
        <x:v>350500</x:v>
      </x:c>
      <x:c r="B1812" s="22" t="str">
        <x:v>泉州市</x:v>
      </x:c>
      <x:c r="C1812" s="31" t="n">
        <x:v>350583</x:v>
      </x:c>
      <x:c r="D1812" s="22" t="str">
        <x:v>南安市</x:v>
      </x:c>
      <x:c r="E1812" s="22" t="str">
        <x:v>建设用地</x:v>
      </x:c>
      <x:c r="F1812" s="22" t="str">
        <x:v>居住用地</x:v>
      </x:c>
      <x:c r="G1812" s="32" t="str">
        <x:v>701</x:v>
      </x:c>
      <x:c r="H1812" s="32" t="str">
        <x:v>701</x:v>
      </x:c>
      <x:c r="I1812" s="22" t="str">
        <x:v>城镇住宅用地</x:v>
      </x:c>
      <x:c r="J1812" s="22" t="str">
        <x:v>居住功能</x:v>
      </x:c>
      <x:c r="K1812" s="32" t="str">
        <x:v>202</x:v>
      </x:c>
      <x:c r="L1812" s="22" t="str">
        <x:v>建制镇范围</x:v>
      </x:c>
      <x:c r="M1812" s="33" t="n">
        <x:v>31045763.779999975</x:v>
      </x:c>
      <x:c r="N1812" s="33" t="n">
        <x:v>3104.5763779999975</x:v>
      </x:c>
      <x:c r="O1812" s="22" t="str">
        <x:v>公顷</x:v>
      </x:c>
      <x:c r="P1812" s="22" t="str">
        <x:v>未提供（单期横截面）</x:v>
      </x:c>
      <x:c r="Q1812" s="23" t="n">
        <x:v>4791</x:v>
      </x:c>
    </x:row>
    <x:row r="1813">
      <x:c r="A1813" s="30" t="n">
        <x:v>350500</x:v>
      </x:c>
      <x:c r="B1813" s="22" t="str">
        <x:v>泉州市</x:v>
      </x:c>
      <x:c r="C1813" s="31" t="n">
        <x:v>350583</x:v>
      </x:c>
      <x:c r="D1813" s="22" t="str">
        <x:v>南安市</x:v>
      </x:c>
      <x:c r="E1813" s="22" t="str">
        <x:v>建设用地</x:v>
      </x:c>
      <x:c r="F1813" s="22" t="str">
        <x:v>居住用地</x:v>
      </x:c>
      <x:c r="G1813" s="32" t="str">
        <x:v>702</x:v>
      </x:c>
      <x:c r="H1813" s="32" t="str">
        <x:v>702</x:v>
      </x:c>
      <x:c r="I1813" s="22" t="str">
        <x:v>农村宅基地</x:v>
      </x:c>
      <x:c r="J1813" s="22" t="str">
        <x:v>居住功能</x:v>
      </x:c>
      <x:c r="K1813" s="32" t="str">
        <x:v>202</x:v>
      </x:c>
      <x:c r="L1813" s="22" t="str">
        <x:v>建制镇范围</x:v>
      </x:c>
      <x:c r="M1813" s="33" t="n">
        <x:v>8511846.149999997</x:v>
      </x:c>
      <x:c r="N1813" s="33" t="n">
        <x:v>851.1846149999997</x:v>
      </x:c>
      <x:c r="O1813" s="22" t="str">
        <x:v>公顷</x:v>
      </x:c>
      <x:c r="P1813" s="22" t="str">
        <x:v>未提供（单期横截面）</x:v>
      </x:c>
      <x:c r="Q1813" s="23" t="n">
        <x:v>4792</x:v>
      </x:c>
    </x:row>
    <x:row r="1814">
      <x:c r="A1814" s="30" t="n">
        <x:v>350500</x:v>
      </x:c>
      <x:c r="B1814" s="22" t="str">
        <x:v>泉州市</x:v>
      </x:c>
      <x:c r="C1814" s="31" t="n">
        <x:v>350583</x:v>
      </x:c>
      <x:c r="D1814" s="22" t="str">
        <x:v>南安市</x:v>
      </x:c>
      <x:c r="E1814" s="22" t="str">
        <x:v>建设用地</x:v>
      </x:c>
      <x:c r="F1814" s="22" t="str">
        <x:v>公用设施用地</x:v>
      </x:c>
      <x:c r="G1814" s="32" t="str">
        <x:v>809</x:v>
      </x:c>
      <x:c r="H1814" s="32" t="str">
        <x:v>809</x:v>
      </x:c>
      <x:c r="I1814" s="22" t="str">
        <x:v>公用设施用地</x:v>
      </x:c>
      <x:c r="J1814" s="22" t="str">
        <x:v>其他建设</x:v>
      </x:c>
      <x:c r="K1814" s="32" t="str">
        <x:v>202</x:v>
      </x:c>
      <x:c r="L1814" s="22" t="str">
        <x:v>建制镇范围</x:v>
      </x:c>
      <x:c r="M1814" s="33" t="n">
        <x:v>596207.0499999998</x:v>
      </x:c>
      <x:c r="N1814" s="33" t="n">
        <x:v>59.62070499999998</x:v>
      </x:c>
      <x:c r="O1814" s="22" t="str">
        <x:v>公顷</x:v>
      </x:c>
      <x:c r="P1814" s="22" t="str">
        <x:v>未提供（单期横截面）</x:v>
      </x:c>
      <x:c r="Q1814" s="23" t="n">
        <x:v>4793</x:v>
      </x:c>
    </x:row>
    <x:row r="1815">
      <x:c r="A1815" s="30" t="n">
        <x:v>350500</x:v>
      </x:c>
      <x:c r="B1815" s="22" t="str">
        <x:v>泉州市</x:v>
      </x:c>
      <x:c r="C1815" s="31" t="n">
        <x:v>350583</x:v>
      </x:c>
      <x:c r="D1815" s="22" t="str">
        <x:v>南安市</x:v>
      </x:c>
      <x:c r="E1815" s="22" t="str">
        <x:v>建设用地</x:v>
      </x:c>
      <x:c r="F1815" s="22" t="str">
        <x:v>绿地与广场用地</x:v>
      </x:c>
      <x:c r="G1815" s="32" t="str">
        <x:v>810</x:v>
      </x:c>
      <x:c r="H1815" s="32" t="str">
        <x:v>810</x:v>
      </x:c>
      <x:c r="I1815" s="22" t="str">
        <x:v>公园与绿地</x:v>
      </x:c>
      <x:c r="J1815" s="22" t="str">
        <x:v>公共空间</x:v>
      </x:c>
      <x:c r="K1815" s="32" t="str">
        <x:v>202</x:v>
      </x:c>
      <x:c r="L1815" s="22" t="str">
        <x:v>建制镇范围</x:v>
      </x:c>
      <x:c r="M1815" s="33" t="n">
        <x:v>283220.29000000004</x:v>
      </x:c>
      <x:c r="N1815" s="33" t="n">
        <x:v>28.322029000000004</x:v>
      </x:c>
      <x:c r="O1815" s="22" t="str">
        <x:v>公顷</x:v>
      </x:c>
      <x:c r="P1815" s="22" t="str">
        <x:v>未提供（单期横截面）</x:v>
      </x:c>
      <x:c r="Q1815" s="23" t="n">
        <x:v>4794</x:v>
      </x:c>
    </x:row>
    <x:row r="1816">
      <x:c r="A1816" s="30" t="n">
        <x:v>350500</x:v>
      </x:c>
      <x:c r="B1816" s="22" t="str">
        <x:v>泉州市</x:v>
      </x:c>
      <x:c r="C1816" s="31" t="n">
        <x:v>350583</x:v>
      </x:c>
      <x:c r="D1816" s="22" t="str">
        <x:v>南安市</x:v>
      </x:c>
      <x:c r="E1816" s="22" t="str">
        <x:v>建设用地</x:v>
      </x:c>
      <x:c r="F1816" s="22" t="str">
        <x:v>绿地与广场用地</x:v>
      </x:c>
      <x:c r="G1816" s="32" t="str">
        <x:v>0810A</x:v>
      </x:c>
      <x:c r="H1816" s="32" t="str">
        <x:v>0810</x:v>
      </x:c>
      <x:c r="I1816" s="22" t="str">
        <x:v>广场用地</x:v>
      </x:c>
      <x:c r="J1816" s="22" t="str">
        <x:v>公共空间</x:v>
      </x:c>
      <x:c r="K1816" s="32" t="str">
        <x:v>202</x:v>
      </x:c>
      <x:c r="L1816" s="22" t="str">
        <x:v>建制镇范围</x:v>
      </x:c>
      <x:c r="M1816" s="33" t="n">
        <x:v>55348.82000000001</x:v>
      </x:c>
      <x:c r="N1816" s="33" t="n">
        <x:v>5.5348820000000005</x:v>
      </x:c>
      <x:c r="O1816" s="22" t="str">
        <x:v>公顷</x:v>
      </x:c>
      <x:c r="P1816" s="22" t="str">
        <x:v>未提供（单期横截面）</x:v>
      </x:c>
      <x:c r="Q1816" s="23" t="n">
        <x:v>4795</x:v>
      </x:c>
    </x:row>
    <x:row r="1817">
      <x:c r="A1817" s="30" t="n">
        <x:v>350500</x:v>
      </x:c>
      <x:c r="B1817" s="22" t="str">
        <x:v>泉州市</x:v>
      </x:c>
      <x:c r="C1817" s="31" t="n">
        <x:v>350583</x:v>
      </x:c>
      <x:c r="D1817" s="22" t="str">
        <x:v>南安市</x:v>
      </x:c>
      <x:c r="E1817" s="22" t="str">
        <x:v>建设用地</x:v>
      </x:c>
      <x:c r="F1817" s="22" t="str">
        <x:v>公共管理与公共服务用地</x:v>
      </x:c>
      <x:c r="G1817" s="32" t="str">
        <x:v>08H1</x:v>
      </x:c>
      <x:c r="H1817" s="32" t="str">
        <x:v>08H1</x:v>
      </x:c>
      <x:c r="I1817" s="22" t="str">
        <x:v>机关团体新闻出版用地</x:v>
      </x:c>
      <x:c r="J1817" s="22" t="str">
        <x:v>公共服务</x:v>
      </x:c>
      <x:c r="K1817" s="32" t="str">
        <x:v>202</x:v>
      </x:c>
      <x:c r="L1817" s="22" t="str">
        <x:v>建制镇范围</x:v>
      </x:c>
      <x:c r="M1817" s="33" t="n">
        <x:v>788493.2400000003</x:v>
      </x:c>
      <x:c r="N1817" s="33" t="n">
        <x:v>78.84932400000004</x:v>
      </x:c>
      <x:c r="O1817" s="22" t="str">
        <x:v>公顷</x:v>
      </x:c>
      <x:c r="P1817" s="22" t="str">
        <x:v>未提供（单期横截面）</x:v>
      </x:c>
      <x:c r="Q1817" s="23" t="n">
        <x:v>4796</x:v>
      </x:c>
    </x:row>
    <x:row r="1818">
      <x:c r="A1818" s="30" t="n">
        <x:v>350500</x:v>
      </x:c>
      <x:c r="B1818" s="22" t="str">
        <x:v>泉州市</x:v>
      </x:c>
      <x:c r="C1818" s="31" t="n">
        <x:v>350583</x:v>
      </x:c>
      <x:c r="D1818" s="22" t="str">
        <x:v>南安市</x:v>
      </x:c>
      <x:c r="E1818" s="22" t="str">
        <x:v>建设用地</x:v>
      </x:c>
      <x:c r="F1818" s="22" t="str">
        <x:v>公共管理与公共服务用地</x:v>
      </x:c>
      <x:c r="G1818" s="32" t="str">
        <x:v>08H2</x:v>
      </x:c>
      <x:c r="H1818" s="32" t="str">
        <x:v>08H2</x:v>
      </x:c>
      <x:c r="I1818" s="22" t="str">
        <x:v>科教文卫用地</x:v>
      </x:c>
      <x:c r="J1818" s="22" t="str">
        <x:v>公共服务</x:v>
      </x:c>
      <x:c r="K1818" s="32" t="str">
        <x:v>202</x:v>
      </x:c>
      <x:c r="L1818" s="22" t="str">
        <x:v>建制镇范围</x:v>
      </x:c>
      <x:c r="M1818" s="33" t="n">
        <x:v>2816787.019999999</x:v>
      </x:c>
      <x:c r="N1818" s="33" t="n">
        <x:v>281.67870199999993</x:v>
      </x:c>
      <x:c r="O1818" s="22" t="str">
        <x:v>公顷</x:v>
      </x:c>
      <x:c r="P1818" s="22" t="str">
        <x:v>未提供（单期横截面）</x:v>
      </x:c>
      <x:c r="Q1818" s="23" t="n">
        <x:v>4797</x:v>
      </x:c>
    </x:row>
    <x:row r="1819">
      <x:c r="A1819" s="30" t="n">
        <x:v>350500</x:v>
      </x:c>
      <x:c r="B1819" s="22" t="str">
        <x:v>泉州市</x:v>
      </x:c>
      <x:c r="C1819" s="31" t="n">
        <x:v>350583</x:v>
      </x:c>
      <x:c r="D1819" s="22" t="str">
        <x:v>南安市</x:v>
      </x:c>
      <x:c r="E1819" s="22" t="str">
        <x:v>建设用地</x:v>
      </x:c>
      <x:c r="F1819" s="22" t="str">
        <x:v>公共管理与公共服务用地</x:v>
      </x:c>
      <x:c r="G1819" s="32" t="str">
        <x:v>08H2A</x:v>
      </x:c>
      <x:c r="H1819" s="32" t="str">
        <x:v>08H2</x:v>
      </x:c>
      <x:c r="I1819" s="22" t="str">
        <x:v>高教用地</x:v>
      </x:c>
      <x:c r="J1819" s="22" t="str">
        <x:v>公共服务</x:v>
      </x:c>
      <x:c r="K1819" s="32" t="str">
        <x:v>202</x:v>
      </x:c>
      <x:c r="L1819" s="22" t="str">
        <x:v>建制镇范围</x:v>
      </x:c>
      <x:c r="M1819" s="33" t="n">
        <x:v>427667.42</x:v>
      </x:c>
      <x:c r="N1819" s="33" t="n">
        <x:v>42.766742</x:v>
      </x:c>
      <x:c r="O1819" s="22" t="str">
        <x:v>公顷</x:v>
      </x:c>
      <x:c r="P1819" s="22" t="str">
        <x:v>未提供（单期横截面）</x:v>
      </x:c>
      <x:c r="Q1819" s="23" t="n">
        <x:v>4798</x:v>
      </x:c>
    </x:row>
    <x:row r="1820">
      <x:c r="A1820" s="30" t="n">
        <x:v>350500</x:v>
      </x:c>
      <x:c r="B1820" s="22" t="str">
        <x:v>泉州市</x:v>
      </x:c>
      <x:c r="C1820" s="31" t="n">
        <x:v>350583</x:v>
      </x:c>
      <x:c r="D1820" s="22" t="str">
        <x:v>南安市</x:v>
      </x:c>
      <x:c r="E1820" s="22" t="str">
        <x:v>建设用地</x:v>
      </x:c>
      <x:c r="F1820" s="22" t="str">
        <x:v>特殊用地</x:v>
      </x:c>
      <x:c r="G1820" s="32" t="str">
        <x:v>9</x:v>
      </x:c>
      <x:c r="H1820" s="32" t="str">
        <x:v>9</x:v>
      </x:c>
      <x:c r="I1820" s="22" t="str">
        <x:v>特殊用地</x:v>
      </x:c>
      <x:c r="J1820" s="22" t="str">
        <x:v>其他建设</x:v>
      </x:c>
      <x:c r="K1820" s="32" t="str">
        <x:v>202</x:v>
      </x:c>
      <x:c r="L1820" s="22" t="str">
        <x:v>建制镇范围</x:v>
      </x:c>
      <x:c r="M1820" s="33" t="n">
        <x:v>248471.08999999994</x:v>
      </x:c>
      <x:c r="N1820" s="33" t="n">
        <x:v>24.847108999999993</x:v>
      </x:c>
      <x:c r="O1820" s="22" t="str">
        <x:v>公顷</x:v>
      </x:c>
      <x:c r="P1820" s="22" t="str">
        <x:v>未提供（单期横截面）</x:v>
      </x:c>
      <x:c r="Q1820" s="23" t="n">
        <x:v>4799</x:v>
      </x:c>
    </x:row>
    <x:row r="1821">
      <x:c r="A1821" s="30" t="n">
        <x:v>350500</x:v>
      </x:c>
      <x:c r="B1821" s="22" t="str">
        <x:v>泉州市</x:v>
      </x:c>
      <x:c r="C1821" s="31" t="n">
        <x:v>350583</x:v>
      </x:c>
      <x:c r="D1821" s="22" t="str">
        <x:v>南安市</x:v>
      </x:c>
      <x:c r="E1821" s="22" t="str">
        <x:v>建设用地</x:v>
      </x:c>
      <x:c r="F1821" s="22" t="str">
        <x:v>交通运输用地</x:v>
      </x:c>
      <x:c r="G1821" s="32" t="str">
        <x:v>1003</x:v>
      </x:c>
      <x:c r="H1821" s="32" t="str">
        <x:v>1003</x:v>
      </x:c>
      <x:c r="I1821" s="22" t="str">
        <x:v>公路用地</x:v>
      </x:c>
      <x:c r="J1821" s="22" t="str">
        <x:v>交通门户</x:v>
      </x:c>
      <x:c r="K1821" s="32" t="str">
        <x:v>202</x:v>
      </x:c>
      <x:c r="L1821" s="22" t="str">
        <x:v>建制镇范围</x:v>
      </x:c>
      <x:c r="M1821" s="33" t="n">
        <x:v>1748.5900000000001</x:v>
      </x:c>
      <x:c r="N1821" s="33" t="n">
        <x:v>0.17485900000000001</x:v>
      </x:c>
      <x:c r="O1821" s="22" t="str">
        <x:v>公顷</x:v>
      </x:c>
      <x:c r="P1821" s="22" t="str">
        <x:v>未提供（单期横截面）</x:v>
      </x:c>
      <x:c r="Q1821" s="23" t="n">
        <x:v>4800</x:v>
      </x:c>
    </x:row>
    <x:row r="1822">
      <x:c r="A1822" s="30" t="n">
        <x:v>350500</x:v>
      </x:c>
      <x:c r="B1822" s="22" t="str">
        <x:v>泉州市</x:v>
      </x:c>
      <x:c r="C1822" s="31" t="n">
        <x:v>350583</x:v>
      </x:c>
      <x:c r="D1822" s="22" t="str">
        <x:v>南安市</x:v>
      </x:c>
      <x:c r="E1822" s="22" t="str">
        <x:v>建设用地</x:v>
      </x:c>
      <x:c r="F1822" s="22" t="str">
        <x:v>交通运输用地</x:v>
      </x:c>
      <x:c r="G1822" s="32" t="str">
        <x:v>1004</x:v>
      </x:c>
      <x:c r="H1822" s="32" t="str">
        <x:v>1004</x:v>
      </x:c>
      <x:c r="I1822" s="22" t="str">
        <x:v>城镇村道路用地</x:v>
      </x:c>
      <x:c r="J1822" s="22" t="str">
        <x:v>交通门户</x:v>
      </x:c>
      <x:c r="K1822" s="32" t="str">
        <x:v>202</x:v>
      </x:c>
      <x:c r="L1822" s="22" t="str">
        <x:v>建制镇范围</x:v>
      </x:c>
      <x:c r="M1822" s="33" t="n">
        <x:v>1889778.8599999982</x:v>
      </x:c>
      <x:c r="N1822" s="33" t="n">
        <x:v>188.9778859999998</x:v>
      </x:c>
      <x:c r="O1822" s="22" t="str">
        <x:v>公顷</x:v>
      </x:c>
      <x:c r="P1822" s="22" t="str">
        <x:v>未提供（单期横截面）</x:v>
      </x:c>
      <x:c r="Q1822" s="23" t="n">
        <x:v>4801</x:v>
      </x:c>
    </x:row>
    <x:row r="1823">
      <x:c r="A1823" s="30" t="n">
        <x:v>350500</x:v>
      </x:c>
      <x:c r="B1823" s="22" t="str">
        <x:v>泉州市</x:v>
      </x:c>
      <x:c r="C1823" s="31" t="n">
        <x:v>350583</x:v>
      </x:c>
      <x:c r="D1823" s="22" t="str">
        <x:v>南安市</x:v>
      </x:c>
      <x:c r="E1823" s="22" t="str">
        <x:v>建设用地</x:v>
      </x:c>
      <x:c r="F1823" s="22" t="str">
        <x:v>交通运输用地</x:v>
      </x:c>
      <x:c r="G1823" s="32" t="str">
        <x:v>1005</x:v>
      </x:c>
      <x:c r="H1823" s="32" t="str">
        <x:v>1005</x:v>
      </x:c>
      <x:c r="I1823" s="22" t="str">
        <x:v>交通服务场站用地</x:v>
      </x:c>
      <x:c r="J1823" s="22" t="str">
        <x:v>交通门户</x:v>
      </x:c>
      <x:c r="K1823" s="32" t="str">
        <x:v>202</x:v>
      </x:c>
      <x:c r="L1823" s="22" t="str">
        <x:v>建制镇范围</x:v>
      </x:c>
      <x:c r="M1823" s="33" t="n">
        <x:v>841110.4599999998</x:v>
      </x:c>
      <x:c r="N1823" s="33" t="n">
        <x:v>84.11104599999999</x:v>
      </x:c>
      <x:c r="O1823" s="22" t="str">
        <x:v>公顷</x:v>
      </x:c>
      <x:c r="P1823" s="22" t="str">
        <x:v>未提供（单期横截面）</x:v>
      </x:c>
      <x:c r="Q1823" s="23" t="n">
        <x:v>4802</x:v>
      </x:c>
    </x:row>
    <x:row r="1824">
      <x:c r="A1824" s="30" t="n">
        <x:v>350500</x:v>
      </x:c>
      <x:c r="B1824" s="22" t="str">
        <x:v>泉州市</x:v>
      </x:c>
      <x:c r="C1824" s="31" t="n">
        <x:v>350583</x:v>
      </x:c>
      <x:c r="D1824" s="22" t="str">
        <x:v>南安市</x:v>
      </x:c>
      <x:c r="E1824" s="22" t="str">
        <x:v>建设用地</x:v>
      </x:c>
      <x:c r="F1824" s="22" t="str">
        <x:v>交通运输用地</x:v>
      </x:c>
      <x:c r="G1824" s="32" t="str">
        <x:v>1008</x:v>
      </x:c>
      <x:c r="H1824" s="32" t="str">
        <x:v>1008</x:v>
      </x:c>
      <x:c r="I1824" s="22" t="str">
        <x:v>港口码头用地</x:v>
      </x:c>
      <x:c r="J1824" s="22" t="str">
        <x:v>交通门户</x:v>
      </x:c>
      <x:c r="K1824" s="32" t="str">
        <x:v>202</x:v>
      </x:c>
      <x:c r="L1824" s="22" t="str">
        <x:v>建制镇范围</x:v>
      </x:c>
      <x:c r="M1824" s="33" t="n">
        <x:v>115096.66</x:v>
      </x:c>
      <x:c r="N1824" s="33" t="n">
        <x:v>11.509666000000001</x:v>
      </x:c>
      <x:c r="O1824" s="22" t="str">
        <x:v>公顷</x:v>
      </x:c>
      <x:c r="P1824" s="22" t="str">
        <x:v>未提供（单期横截面）</x:v>
      </x:c>
      <x:c r="Q1824" s="23" t="n">
        <x:v>4803</x:v>
      </x:c>
    </x:row>
    <x:row r="1825">
      <x:c r="A1825" s="30" t="n">
        <x:v>350500</x:v>
      </x:c>
      <x:c r="B1825" s="22" t="str">
        <x:v>泉州市</x:v>
      </x:c>
      <x:c r="C1825" s="31" t="n">
        <x:v>350583</x:v>
      </x:c>
      <x:c r="D1825" s="22" t="str">
        <x:v>南安市</x:v>
      </x:c>
      <x:c r="E1825" s="22" t="str">
        <x:v>建设用地</x:v>
      </x:c>
      <x:c r="F1825" s="22" t="str">
        <x:v>交通运输用地</x:v>
      </x:c>
      <x:c r="G1825" s="32" t="str">
        <x:v>1009</x:v>
      </x:c>
      <x:c r="H1825" s="32" t="str">
        <x:v>1009</x:v>
      </x:c>
      <x:c r="I1825" s="22" t="str">
        <x:v>管道运输用地</x:v>
      </x:c>
      <x:c r="J1825" s="22" t="str">
        <x:v>交通门户</x:v>
      </x:c>
      <x:c r="K1825" s="32" t="str">
        <x:v>202</x:v>
      </x:c>
      <x:c r="L1825" s="22" t="str">
        <x:v>建制镇范围</x:v>
      </x:c>
      <x:c r="M1825" s="33" t="n">
        <x:v>200.61</x:v>
      </x:c>
      <x:c r="N1825" s="33" t="n">
        <x:v>0.020061000000000002</x:v>
      </x:c>
      <x:c r="O1825" s="22" t="str">
        <x:v>公顷</x:v>
      </x:c>
      <x:c r="P1825" s="22" t="str">
        <x:v>未提供（单期横截面）</x:v>
      </x:c>
      <x:c r="Q1825" s="23" t="n">
        <x:v>4804</x:v>
      </x:c>
    </x:row>
    <x:row r="1826">
      <x:c r="A1826" s="30" t="n">
        <x:v>350500</x:v>
      </x:c>
      <x:c r="B1826" s="22" t="str">
        <x:v>泉州市</x:v>
      </x:c>
      <x:c r="C1826" s="31" t="n">
        <x:v>350583</x:v>
      </x:c>
      <x:c r="D1826" s="22" t="str">
        <x:v>南安市</x:v>
      </x:c>
      <x:c r="E1826" s="22" t="str">
        <x:v>建设用地</x:v>
      </x:c>
      <x:c r="F1826" s="22" t="str">
        <x:v>其他建设用地</x:v>
      </x:c>
      <x:c r="G1826" s="32" t="str">
        <x:v>1201</x:v>
      </x:c>
      <x:c r="H1826" s="32" t="str">
        <x:v>1201</x:v>
      </x:c>
      <x:c r="I1826" s="22" t="str">
        <x:v>空闲地</x:v>
      </x:c>
      <x:c r="J1826" s="22" t="str">
        <x:v>其他建设</x:v>
      </x:c>
      <x:c r="K1826" s="32" t="str">
        <x:v>202</x:v>
      </x:c>
      <x:c r="L1826" s="22" t="str">
        <x:v>建制镇范围</x:v>
      </x:c>
      <x:c r="M1826" s="33" t="n">
        <x:v>338852.02</x:v>
      </x:c>
      <x:c r="N1826" s="33" t="n">
        <x:v>33.885202</x:v>
      </x:c>
      <x:c r="O1826" s="22" t="str">
        <x:v>公顷</x:v>
      </x:c>
      <x:c r="P1826" s="22" t="str">
        <x:v>未提供（单期横截面）</x:v>
      </x:c>
      <x:c r="Q1826" s="23" t="n">
        <x:v>4805</x:v>
      </x:c>
    </x:row>
    <x:row r="1827">
      <x:c r="A1827" s="30" t="n">
        <x:v>350500</x:v>
      </x:c>
      <x:c r="B1827" s="22" t="str">
        <x:v>泉州市</x:v>
      </x:c>
      <x:c r="C1827" s="31" t="n">
        <x:v>350583</x:v>
      </x:c>
      <x:c r="D1827" s="22" t="str">
        <x:v>南安市</x:v>
      </x:c>
      <x:c r="E1827" s="22" t="str">
        <x:v>建设用地</x:v>
      </x:c>
      <x:c r="F1827" s="22" t="str">
        <x:v>工矿仓储用地</x:v>
      </x:c>
      <x:c r="G1827" s="32" t="str">
        <x:v>601</x:v>
      </x:c>
      <x:c r="H1827" s="32" t="str">
        <x:v>601</x:v>
      </x:c>
      <x:c r="I1827" s="22" t="str">
        <x:v>工业用地</x:v>
      </x:c>
      <x:c r="J1827" s="22" t="str">
        <x:v>产业功能</x:v>
      </x:c>
      <x:c r="K1827" s="32" t="str">
        <x:v>202A</x:v>
      </x:c>
      <x:c r="L1827" s="22" t="str">
        <x:v>建制镇独立工业用地</x:v>
      </x:c>
      <x:c r="M1827" s="33" t="n">
        <x:v>1288410.1099999999</x:v>
      </x:c>
      <x:c r="N1827" s="33" t="n">
        <x:v>128.84101099999998</x:v>
      </x:c>
      <x:c r="O1827" s="22" t="str">
        <x:v>公顷</x:v>
      </x:c>
      <x:c r="P1827" s="22" t="str">
        <x:v>未提供（单期横截面）</x:v>
      </x:c>
      <x:c r="Q1827" s="23" t="n">
        <x:v>4806</x:v>
      </x:c>
    </x:row>
    <x:row r="1828">
      <x:c r="A1828" s="30" t="n">
        <x:v>350500</x:v>
      </x:c>
      <x:c r="B1828" s="22" t="str">
        <x:v>泉州市</x:v>
      </x:c>
      <x:c r="C1828" s="31" t="n">
        <x:v>350583</x:v>
      </x:c>
      <x:c r="D1828" s="22" t="str">
        <x:v>南安市</x:v>
      </x:c>
      <x:c r="E1828" s="22" t="str">
        <x:v>建设用地</x:v>
      </x:c>
      <x:c r="F1828" s="22" t="str">
        <x:v>工矿仓储用地</x:v>
      </x:c>
      <x:c r="G1828" s="32" t="str">
        <x:v>508</x:v>
      </x:c>
      <x:c r="H1828" s="32" t="str">
        <x:v>508</x:v>
      </x:c>
      <x:c r="I1828" s="22" t="str">
        <x:v>物流仓储用地</x:v>
      </x:c>
      <x:c r="J1828" s="22" t="str">
        <x:v>产业功能</x:v>
      </x:c>
      <x:c r="K1828" s="32" t="str">
        <x:v>203</x:v>
      </x:c>
      <x:c r="L1828" s="22" t="str">
        <x:v>村庄范围</x:v>
      </x:c>
      <x:c r="M1828" s="33" t="n">
        <x:v>1223442.3899999992</x:v>
      </x:c>
      <x:c r="N1828" s="33" t="n">
        <x:v>122.34423899999992</x:v>
      </x:c>
      <x:c r="O1828" s="22" t="str">
        <x:v>公顷</x:v>
      </x:c>
      <x:c r="P1828" s="22" t="str">
        <x:v>未提供（单期横截面）</x:v>
      </x:c>
      <x:c r="Q1828" s="23" t="n">
        <x:v>4807</x:v>
      </x:c>
    </x:row>
    <x:row r="1829">
      <x:c r="A1829" s="30" t="n">
        <x:v>350500</x:v>
      </x:c>
      <x:c r="B1829" s="22" t="str">
        <x:v>泉州市</x:v>
      </x:c>
      <x:c r="C1829" s="31" t="n">
        <x:v>350583</x:v>
      </x:c>
      <x:c r="D1829" s="22" t="str">
        <x:v>南安市</x:v>
      </x:c>
      <x:c r="E1829" s="22" t="str">
        <x:v>建设用地</x:v>
      </x:c>
      <x:c r="F1829" s="22" t="str">
        <x:v>商业服务业用地</x:v>
      </x:c>
      <x:c r="G1829" s="32" t="str">
        <x:v>05H1</x:v>
      </x:c>
      <x:c r="H1829" s="32" t="str">
        <x:v>05H1</x:v>
      </x:c>
      <x:c r="I1829" s="22" t="str">
        <x:v>商业服务业设施用地</x:v>
      </x:c>
      <x:c r="J1829" s="22" t="str">
        <x:v>商业服务</x:v>
      </x:c>
      <x:c r="K1829" s="32" t="str">
        <x:v>203</x:v>
      </x:c>
      <x:c r="L1829" s="22" t="str">
        <x:v>村庄范围</x:v>
      </x:c>
      <x:c r="M1829" s="33" t="n">
        <x:v>3179736.5000000005</x:v>
      </x:c>
      <x:c r="N1829" s="33" t="n">
        <x:v>317.97365</x:v>
      </x:c>
      <x:c r="O1829" s="22" t="str">
        <x:v>公顷</x:v>
      </x:c>
      <x:c r="P1829" s="22" t="str">
        <x:v>未提供（单期横截面）</x:v>
      </x:c>
      <x:c r="Q1829" s="23" t="n">
        <x:v>4808</x:v>
      </x:c>
    </x:row>
    <x:row r="1830">
      <x:c r="A1830" s="30" t="n">
        <x:v>350500</x:v>
      </x:c>
      <x:c r="B1830" s="22" t="str">
        <x:v>泉州市</x:v>
      </x:c>
      <x:c r="C1830" s="31" t="n">
        <x:v>350583</x:v>
      </x:c>
      <x:c r="D1830" s="22" t="str">
        <x:v>南安市</x:v>
      </x:c>
      <x:c r="E1830" s="22" t="str">
        <x:v>建设用地</x:v>
      </x:c>
      <x:c r="F1830" s="22" t="str">
        <x:v>工矿仓储用地</x:v>
      </x:c>
      <x:c r="G1830" s="32" t="str">
        <x:v>601</x:v>
      </x:c>
      <x:c r="H1830" s="32" t="str">
        <x:v>601</x:v>
      </x:c>
      <x:c r="I1830" s="22" t="str">
        <x:v>工业用地</x:v>
      </x:c>
      <x:c r="J1830" s="22" t="str">
        <x:v>产业功能</x:v>
      </x:c>
      <x:c r="K1830" s="32" t="str">
        <x:v>203</x:v>
      </x:c>
      <x:c r="L1830" s="22" t="str">
        <x:v>村庄范围</x:v>
      </x:c>
      <x:c r="M1830" s="33" t="n">
        <x:v>47032486.05999999</x:v>
      </x:c>
      <x:c r="N1830" s="33" t="n">
        <x:v>4703.248605999999</x:v>
      </x:c>
      <x:c r="O1830" s="22" t="str">
        <x:v>公顷</x:v>
      </x:c>
      <x:c r="P1830" s="22" t="str">
        <x:v>未提供（单期横截面）</x:v>
      </x:c>
      <x:c r="Q1830" s="23" t="n">
        <x:v>4809</x:v>
      </x:c>
    </x:row>
    <x:row r="1831">
      <x:c r="A1831" s="30" t="n">
        <x:v>350500</x:v>
      </x:c>
      <x:c r="B1831" s="22" t="str">
        <x:v>泉州市</x:v>
      </x:c>
      <x:c r="C1831" s="31" t="n">
        <x:v>350583</x:v>
      </x:c>
      <x:c r="D1831" s="22" t="str">
        <x:v>南安市</x:v>
      </x:c>
      <x:c r="E1831" s="22" t="str">
        <x:v>建设用地</x:v>
      </x:c>
      <x:c r="F1831" s="22" t="str">
        <x:v>工矿仓储用地</x:v>
      </x:c>
      <x:c r="G1831" s="32" t="str">
        <x:v>602</x:v>
      </x:c>
      <x:c r="H1831" s="32" t="str">
        <x:v>602</x:v>
      </x:c>
      <x:c r="I1831" s="22" t="str">
        <x:v>采矿用地</x:v>
      </x:c>
      <x:c r="J1831" s="22" t="str">
        <x:v>产业功能</x:v>
      </x:c>
      <x:c r="K1831" s="32" t="str">
        <x:v>203</x:v>
      </x:c>
      <x:c r="L1831" s="22" t="str">
        <x:v>村庄范围</x:v>
      </x:c>
      <x:c r="M1831" s="33" t="n">
        <x:v>42946.14</x:v>
      </x:c>
      <x:c r="N1831" s="33" t="n">
        <x:v>4.294614</x:v>
      </x:c>
      <x:c r="O1831" s="22" t="str">
        <x:v>公顷</x:v>
      </x:c>
      <x:c r="P1831" s="22" t="str">
        <x:v>未提供（单期横截面）</x:v>
      </x:c>
      <x:c r="Q1831" s="23" t="n">
        <x:v>4810</x:v>
      </x:c>
    </x:row>
    <x:row r="1832">
      <x:c r="A1832" s="30" t="n">
        <x:v>350500</x:v>
      </x:c>
      <x:c r="B1832" s="22" t="str">
        <x:v>泉州市</x:v>
      </x:c>
      <x:c r="C1832" s="31" t="n">
        <x:v>350583</x:v>
      </x:c>
      <x:c r="D1832" s="22" t="str">
        <x:v>南安市</x:v>
      </x:c>
      <x:c r="E1832" s="22" t="str">
        <x:v>建设用地</x:v>
      </x:c>
      <x:c r="F1832" s="22" t="str">
        <x:v>居住用地</x:v>
      </x:c>
      <x:c r="G1832" s="32" t="str">
        <x:v>701</x:v>
      </x:c>
      <x:c r="H1832" s="32" t="str">
        <x:v>701</x:v>
      </x:c>
      <x:c r="I1832" s="22" t="str">
        <x:v>城镇住宅用地</x:v>
      </x:c>
      <x:c r="J1832" s="22" t="str">
        <x:v>居住功能</x:v>
      </x:c>
      <x:c r="K1832" s="32" t="str">
        <x:v>203</x:v>
      </x:c>
      <x:c r="L1832" s="22" t="str">
        <x:v>村庄范围</x:v>
      </x:c>
      <x:c r="M1832" s="33" t="n">
        <x:v>2412425.529999999</x:v>
      </x:c>
      <x:c r="N1832" s="33" t="n">
        <x:v>241.24255299999987</x:v>
      </x:c>
      <x:c r="O1832" s="22" t="str">
        <x:v>公顷</x:v>
      </x:c>
      <x:c r="P1832" s="22" t="str">
        <x:v>未提供（单期横截面）</x:v>
      </x:c>
      <x:c r="Q1832" s="23" t="n">
        <x:v>4811</x:v>
      </x:c>
    </x:row>
    <x:row r="1833">
      <x:c r="A1833" s="30" t="n">
        <x:v>350500</x:v>
      </x:c>
      <x:c r="B1833" s="22" t="str">
        <x:v>泉州市</x:v>
      </x:c>
      <x:c r="C1833" s="31" t="n">
        <x:v>350583</x:v>
      </x:c>
      <x:c r="D1833" s="22" t="str">
        <x:v>南安市</x:v>
      </x:c>
      <x:c r="E1833" s="22" t="str">
        <x:v>建设用地</x:v>
      </x:c>
      <x:c r="F1833" s="22" t="str">
        <x:v>居住用地</x:v>
      </x:c>
      <x:c r="G1833" s="32" t="str">
        <x:v>702</x:v>
      </x:c>
      <x:c r="H1833" s="32" t="str">
        <x:v>702</x:v>
      </x:c>
      <x:c r="I1833" s="22" t="str">
        <x:v>农村宅基地</x:v>
      </x:c>
      <x:c r="J1833" s="22" t="str">
        <x:v>居住功能</x:v>
      </x:c>
      <x:c r="K1833" s="32" t="str">
        <x:v>203</x:v>
      </x:c>
      <x:c r="L1833" s="22" t="str">
        <x:v>村庄范围</x:v>
      </x:c>
      <x:c r="M1833" s="33" t="n">
        <x:v>158258879.65000045</x:v>
      </x:c>
      <x:c r="N1833" s="33" t="n">
        <x:v>15825.887965000045</x:v>
      </x:c>
      <x:c r="O1833" s="22" t="str">
        <x:v>公顷</x:v>
      </x:c>
      <x:c r="P1833" s="22" t="str">
        <x:v>未提供（单期横截面）</x:v>
      </x:c>
      <x:c r="Q1833" s="23" t="n">
        <x:v>4812</x:v>
      </x:c>
    </x:row>
    <x:row r="1834">
      <x:c r="A1834" s="30" t="n">
        <x:v>350500</x:v>
      </x:c>
      <x:c r="B1834" s="22" t="str">
        <x:v>泉州市</x:v>
      </x:c>
      <x:c r="C1834" s="31" t="n">
        <x:v>350583</x:v>
      </x:c>
      <x:c r="D1834" s="22" t="str">
        <x:v>南安市</x:v>
      </x:c>
      <x:c r="E1834" s="22" t="str">
        <x:v>建设用地</x:v>
      </x:c>
      <x:c r="F1834" s="22" t="str">
        <x:v>公用设施用地</x:v>
      </x:c>
      <x:c r="G1834" s="32" t="str">
        <x:v>809</x:v>
      </x:c>
      <x:c r="H1834" s="32" t="str">
        <x:v>809</x:v>
      </x:c>
      <x:c r="I1834" s="22" t="str">
        <x:v>公用设施用地</x:v>
      </x:c>
      <x:c r="J1834" s="22" t="str">
        <x:v>其他建设</x:v>
      </x:c>
      <x:c r="K1834" s="32" t="str">
        <x:v>203</x:v>
      </x:c>
      <x:c r="L1834" s="22" t="str">
        <x:v>村庄范围</x:v>
      </x:c>
      <x:c r="M1834" s="33" t="n">
        <x:v>1133672.0999999999</x:v>
      </x:c>
      <x:c r="N1834" s="33" t="n">
        <x:v>113.36720999999999</x:v>
      </x:c>
      <x:c r="O1834" s="22" t="str">
        <x:v>公顷</x:v>
      </x:c>
      <x:c r="P1834" s="22" t="str">
        <x:v>未提供（单期横截面）</x:v>
      </x:c>
      <x:c r="Q1834" s="23" t="n">
        <x:v>4813</x:v>
      </x:c>
    </x:row>
    <x:row r="1835">
      <x:c r="A1835" s="30" t="n">
        <x:v>350500</x:v>
      </x:c>
      <x:c r="B1835" s="22" t="str">
        <x:v>泉州市</x:v>
      </x:c>
      <x:c r="C1835" s="31" t="n">
        <x:v>350583</x:v>
      </x:c>
      <x:c r="D1835" s="22" t="str">
        <x:v>南安市</x:v>
      </x:c>
      <x:c r="E1835" s="22" t="str">
        <x:v>建设用地</x:v>
      </x:c>
      <x:c r="F1835" s="22" t="str">
        <x:v>绿地与广场用地</x:v>
      </x:c>
      <x:c r="G1835" s="32" t="str">
        <x:v>810</x:v>
      </x:c>
      <x:c r="H1835" s="32" t="str">
        <x:v>810</x:v>
      </x:c>
      <x:c r="I1835" s="22" t="str">
        <x:v>公园与绿地</x:v>
      </x:c>
      <x:c r="J1835" s="22" t="str">
        <x:v>公共空间</x:v>
      </x:c>
      <x:c r="K1835" s="32" t="str">
        <x:v>203</x:v>
      </x:c>
      <x:c r="L1835" s="22" t="str">
        <x:v>村庄范围</x:v>
      </x:c>
      <x:c r="M1835" s="33" t="n">
        <x:v>384103.21</x:v>
      </x:c>
      <x:c r="N1835" s="33" t="n">
        <x:v>38.410321</x:v>
      </x:c>
      <x:c r="O1835" s="22" t="str">
        <x:v>公顷</x:v>
      </x:c>
      <x:c r="P1835" s="22" t="str">
        <x:v>未提供（单期横截面）</x:v>
      </x:c>
      <x:c r="Q1835" s="23" t="n">
        <x:v>4814</x:v>
      </x:c>
    </x:row>
    <x:row r="1836">
      <x:c r="A1836" s="30" t="n">
        <x:v>350500</x:v>
      </x:c>
      <x:c r="B1836" s="22" t="str">
        <x:v>泉州市</x:v>
      </x:c>
      <x:c r="C1836" s="31" t="n">
        <x:v>350583</x:v>
      </x:c>
      <x:c r="D1836" s="22" t="str">
        <x:v>南安市</x:v>
      </x:c>
      <x:c r="E1836" s="22" t="str">
        <x:v>建设用地</x:v>
      </x:c>
      <x:c r="F1836" s="22" t="str">
        <x:v>绿地与广场用地</x:v>
      </x:c>
      <x:c r="G1836" s="32" t="str">
        <x:v>0810A</x:v>
      </x:c>
      <x:c r="H1836" s="32" t="str">
        <x:v>0810</x:v>
      </x:c>
      <x:c r="I1836" s="22" t="str">
        <x:v>广场用地</x:v>
      </x:c>
      <x:c r="J1836" s="22" t="str">
        <x:v>公共空间</x:v>
      </x:c>
      <x:c r="K1836" s="32" t="str">
        <x:v>203</x:v>
      </x:c>
      <x:c r="L1836" s="22" t="str">
        <x:v>村庄范围</x:v>
      </x:c>
      <x:c r="M1836" s="33" t="n">
        <x:v>87163.67000000003</x:v>
      </x:c>
      <x:c r="N1836" s="33" t="n">
        <x:v>8.716367000000004</x:v>
      </x:c>
      <x:c r="O1836" s="22" t="str">
        <x:v>公顷</x:v>
      </x:c>
      <x:c r="P1836" s="22" t="str">
        <x:v>未提供（单期横截面）</x:v>
      </x:c>
      <x:c r="Q1836" s="23" t="n">
        <x:v>4815</x:v>
      </x:c>
    </x:row>
    <x:row r="1837">
      <x:c r="A1837" s="30" t="n">
        <x:v>350500</x:v>
      </x:c>
      <x:c r="B1837" s="22" t="str">
        <x:v>泉州市</x:v>
      </x:c>
      <x:c r="C1837" s="31" t="n">
        <x:v>350583</x:v>
      </x:c>
      <x:c r="D1837" s="22" t="str">
        <x:v>南安市</x:v>
      </x:c>
      <x:c r="E1837" s="22" t="str">
        <x:v>建设用地</x:v>
      </x:c>
      <x:c r="F1837" s="22" t="str">
        <x:v>公共管理与公共服务用地</x:v>
      </x:c>
      <x:c r="G1837" s="32" t="str">
        <x:v>08H1</x:v>
      </x:c>
      <x:c r="H1837" s="32" t="str">
        <x:v>08H1</x:v>
      </x:c>
      <x:c r="I1837" s="22" t="str">
        <x:v>机关团体新闻出版用地</x:v>
      </x:c>
      <x:c r="J1837" s="22" t="str">
        <x:v>公共服务</x:v>
      </x:c>
      <x:c r="K1837" s="32" t="str">
        <x:v>203</x:v>
      </x:c>
      <x:c r="L1837" s="22" t="str">
        <x:v>村庄范围</x:v>
      </x:c>
      <x:c r="M1837" s="33" t="n">
        <x:v>539324.9299999999</x:v>
      </x:c>
      <x:c r="N1837" s="33" t="n">
        <x:v>53.932492999999994</x:v>
      </x:c>
      <x:c r="O1837" s="22" t="str">
        <x:v>公顷</x:v>
      </x:c>
      <x:c r="P1837" s="22" t="str">
        <x:v>未提供（单期横截面）</x:v>
      </x:c>
      <x:c r="Q1837" s="23" t="n">
        <x:v>4816</x:v>
      </x:c>
    </x:row>
    <x:row r="1838">
      <x:c r="A1838" s="30" t="n">
        <x:v>350500</x:v>
      </x:c>
      <x:c r="B1838" s="22" t="str">
        <x:v>泉州市</x:v>
      </x:c>
      <x:c r="C1838" s="31" t="n">
        <x:v>350583</x:v>
      </x:c>
      <x:c r="D1838" s="22" t="str">
        <x:v>南安市</x:v>
      </x:c>
      <x:c r="E1838" s="22" t="str">
        <x:v>建设用地</x:v>
      </x:c>
      <x:c r="F1838" s="22" t="str">
        <x:v>公共管理与公共服务用地</x:v>
      </x:c>
      <x:c r="G1838" s="32" t="str">
        <x:v>08H2</x:v>
      </x:c>
      <x:c r="H1838" s="32" t="str">
        <x:v>08H2</x:v>
      </x:c>
      <x:c r="I1838" s="22" t="str">
        <x:v>科教文卫用地</x:v>
      </x:c>
      <x:c r="J1838" s="22" t="str">
        <x:v>公共服务</x:v>
      </x:c>
      <x:c r="K1838" s="32" t="str">
        <x:v>203</x:v>
      </x:c>
      <x:c r="L1838" s="22" t="str">
        <x:v>村庄范围</x:v>
      </x:c>
      <x:c r="M1838" s="33" t="n">
        <x:v>4256691.27</x:v>
      </x:c>
      <x:c r="N1838" s="33" t="n">
        <x:v>425.66912699999995</x:v>
      </x:c>
      <x:c r="O1838" s="22" t="str">
        <x:v>公顷</x:v>
      </x:c>
      <x:c r="P1838" s="22" t="str">
        <x:v>未提供（单期横截面）</x:v>
      </x:c>
      <x:c r="Q1838" s="23" t="n">
        <x:v>4817</x:v>
      </x:c>
    </x:row>
    <x:row r="1839">
      <x:c r="A1839" s="30" t="n">
        <x:v>350500</x:v>
      </x:c>
      <x:c r="B1839" s="22" t="str">
        <x:v>泉州市</x:v>
      </x:c>
      <x:c r="C1839" s="31" t="n">
        <x:v>350583</x:v>
      </x:c>
      <x:c r="D1839" s="22" t="str">
        <x:v>南安市</x:v>
      </x:c>
      <x:c r="E1839" s="22" t="str">
        <x:v>建设用地</x:v>
      </x:c>
      <x:c r="F1839" s="22" t="str">
        <x:v>公共管理与公共服务用地</x:v>
      </x:c>
      <x:c r="G1839" s="32" t="str">
        <x:v>08H2A</x:v>
      </x:c>
      <x:c r="H1839" s="32" t="str">
        <x:v>08H2</x:v>
      </x:c>
      <x:c r="I1839" s="22" t="str">
        <x:v>高教用地</x:v>
      </x:c>
      <x:c r="J1839" s="22" t="str">
        <x:v>公共服务</x:v>
      </x:c>
      <x:c r="K1839" s="32" t="str">
        <x:v>203</x:v>
      </x:c>
      <x:c r="L1839" s="22" t="str">
        <x:v>村庄范围</x:v>
      </x:c>
      <x:c r="M1839" s="33" t="n">
        <x:v>122747.37000000001</x:v>
      </x:c>
      <x:c r="N1839" s="33" t="n">
        <x:v>12.274737000000002</x:v>
      </x:c>
      <x:c r="O1839" s="22" t="str">
        <x:v>公顷</x:v>
      </x:c>
      <x:c r="P1839" s="22" t="str">
        <x:v>未提供（单期横截面）</x:v>
      </x:c>
      <x:c r="Q1839" s="23" t="n">
        <x:v>4818</x:v>
      </x:c>
    </x:row>
    <x:row r="1840">
      <x:c r="A1840" s="30" t="n">
        <x:v>350500</x:v>
      </x:c>
      <x:c r="B1840" s="22" t="str">
        <x:v>泉州市</x:v>
      </x:c>
      <x:c r="C1840" s="31" t="n">
        <x:v>350583</x:v>
      </x:c>
      <x:c r="D1840" s="22" t="str">
        <x:v>南安市</x:v>
      </x:c>
      <x:c r="E1840" s="22" t="str">
        <x:v>建设用地</x:v>
      </x:c>
      <x:c r="F1840" s="22" t="str">
        <x:v>特殊用地</x:v>
      </x:c>
      <x:c r="G1840" s="32" t="str">
        <x:v>9</x:v>
      </x:c>
      <x:c r="H1840" s="32" t="str">
        <x:v>9</x:v>
      </x:c>
      <x:c r="I1840" s="22" t="str">
        <x:v>特殊用地</x:v>
      </x:c>
      <x:c r="J1840" s="22" t="str">
        <x:v>其他建设</x:v>
      </x:c>
      <x:c r="K1840" s="32" t="str">
        <x:v>203</x:v>
      </x:c>
      <x:c r="L1840" s="22" t="str">
        <x:v>村庄范围</x:v>
      </x:c>
      <x:c r="M1840" s="33" t="n">
        <x:v>611919.7699999997</x:v>
      </x:c>
      <x:c r="N1840" s="33" t="n">
        <x:v>61.191976999999966</x:v>
      </x:c>
      <x:c r="O1840" s="22" t="str">
        <x:v>公顷</x:v>
      </x:c>
      <x:c r="P1840" s="22" t="str">
        <x:v>未提供（单期横截面）</x:v>
      </x:c>
      <x:c r="Q1840" s="23" t="n">
        <x:v>4819</x:v>
      </x:c>
    </x:row>
    <x:row r="1841">
      <x:c r="A1841" s="30" t="n">
        <x:v>350500</x:v>
      </x:c>
      <x:c r="B1841" s="22" t="str">
        <x:v>泉州市</x:v>
      </x:c>
      <x:c r="C1841" s="31" t="n">
        <x:v>350583</x:v>
      </x:c>
      <x:c r="D1841" s="22" t="str">
        <x:v>南安市</x:v>
      </x:c>
      <x:c r="E1841" s="22" t="str">
        <x:v>建设用地</x:v>
      </x:c>
      <x:c r="F1841" s="22" t="str">
        <x:v>交通运输用地</x:v>
      </x:c>
      <x:c r="G1841" s="32" t="str">
        <x:v>1001</x:v>
      </x:c>
      <x:c r="H1841" s="32" t="str">
        <x:v>1001</x:v>
      </x:c>
      <x:c r="I1841" s="22" t="str">
        <x:v>铁路用地</x:v>
      </x:c>
      <x:c r="J1841" s="22" t="str">
        <x:v>交通门户</x:v>
      </x:c>
      <x:c r="K1841" s="32" t="str">
        <x:v>203</x:v>
      </x:c>
      <x:c r="L1841" s="22" t="str">
        <x:v>村庄范围</x:v>
      </x:c>
      <x:c r="M1841" s="33" t="n">
        <x:v>3091.42</x:v>
      </x:c>
      <x:c r="N1841" s="33" t="n">
        <x:v>0.30914200000000003</x:v>
      </x:c>
      <x:c r="O1841" s="22" t="str">
        <x:v>公顷</x:v>
      </x:c>
      <x:c r="P1841" s="22" t="str">
        <x:v>未提供（单期横截面）</x:v>
      </x:c>
      <x:c r="Q1841" s="23" t="n">
        <x:v>4820</x:v>
      </x:c>
    </x:row>
    <x:row r="1842">
      <x:c r="A1842" s="30" t="n">
        <x:v>350500</x:v>
      </x:c>
      <x:c r="B1842" s="22" t="str">
        <x:v>泉州市</x:v>
      </x:c>
      <x:c r="C1842" s="31" t="n">
        <x:v>350583</x:v>
      </x:c>
      <x:c r="D1842" s="22" t="str">
        <x:v>南安市</x:v>
      </x:c>
      <x:c r="E1842" s="22" t="str">
        <x:v>建设用地</x:v>
      </x:c>
      <x:c r="F1842" s="22" t="str">
        <x:v>交通运输用地</x:v>
      </x:c>
      <x:c r="G1842" s="32" t="str">
        <x:v>1004</x:v>
      </x:c>
      <x:c r="H1842" s="32" t="str">
        <x:v>1004</x:v>
      </x:c>
      <x:c r="I1842" s="22" t="str">
        <x:v>城镇村道路用地</x:v>
      </x:c>
      <x:c r="J1842" s="22" t="str">
        <x:v>交通门户</x:v>
      </x:c>
      <x:c r="K1842" s="32" t="str">
        <x:v>203</x:v>
      </x:c>
      <x:c r="L1842" s="22" t="str">
        <x:v>村庄范围</x:v>
      </x:c>
      <x:c r="M1842" s="33" t="n">
        <x:v>4721391.329999994</x:v>
      </x:c>
      <x:c r="N1842" s="33" t="n">
        <x:v>472.13913299999933</x:v>
      </x:c>
      <x:c r="O1842" s="22" t="str">
        <x:v>公顷</x:v>
      </x:c>
      <x:c r="P1842" s="22" t="str">
        <x:v>未提供（单期横截面）</x:v>
      </x:c>
      <x:c r="Q1842" s="23" t="n">
        <x:v>4821</x:v>
      </x:c>
    </x:row>
    <x:row r="1843">
      <x:c r="A1843" s="30" t="n">
        <x:v>350500</x:v>
      </x:c>
      <x:c r="B1843" s="22" t="str">
        <x:v>泉州市</x:v>
      </x:c>
      <x:c r="C1843" s="31" t="n">
        <x:v>350583</x:v>
      </x:c>
      <x:c r="D1843" s="22" t="str">
        <x:v>南安市</x:v>
      </x:c>
      <x:c r="E1843" s="22" t="str">
        <x:v>建设用地</x:v>
      </x:c>
      <x:c r="F1843" s="22" t="str">
        <x:v>交通运输用地</x:v>
      </x:c>
      <x:c r="G1843" s="32" t="str">
        <x:v>1005</x:v>
      </x:c>
      <x:c r="H1843" s="32" t="str">
        <x:v>1005</x:v>
      </x:c>
      <x:c r="I1843" s="22" t="str">
        <x:v>交通服务场站用地</x:v>
      </x:c>
      <x:c r="J1843" s="22" t="str">
        <x:v>交通门户</x:v>
      </x:c>
      <x:c r="K1843" s="32" t="str">
        <x:v>203</x:v>
      </x:c>
      <x:c r="L1843" s="22" t="str">
        <x:v>村庄范围</x:v>
      </x:c>
      <x:c r="M1843" s="33" t="n">
        <x:v>766583.6</x:v>
      </x:c>
      <x:c r="N1843" s="33" t="n">
        <x:v>76.65836</x:v>
      </x:c>
      <x:c r="O1843" s="22" t="str">
        <x:v>公顷</x:v>
      </x:c>
      <x:c r="P1843" s="22" t="str">
        <x:v>未提供（单期横截面）</x:v>
      </x:c>
      <x:c r="Q1843" s="23" t="n">
        <x:v>4822</x:v>
      </x:c>
    </x:row>
    <x:row r="1844">
      <x:c r="A1844" s="30" t="n">
        <x:v>350500</x:v>
      </x:c>
      <x:c r="B1844" s="22" t="str">
        <x:v>泉州市</x:v>
      </x:c>
      <x:c r="C1844" s="31" t="n">
        <x:v>350583</x:v>
      </x:c>
      <x:c r="D1844" s="22" t="str">
        <x:v>南安市</x:v>
      </x:c>
      <x:c r="E1844" s="22" t="str">
        <x:v>建设用地</x:v>
      </x:c>
      <x:c r="F1844" s="22" t="str">
        <x:v>交通运输用地</x:v>
      </x:c>
      <x:c r="G1844" s="32" t="str">
        <x:v>1008</x:v>
      </x:c>
      <x:c r="H1844" s="32" t="str">
        <x:v>1008</x:v>
      </x:c>
      <x:c r="I1844" s="22" t="str">
        <x:v>港口码头用地</x:v>
      </x:c>
      <x:c r="J1844" s="22" t="str">
        <x:v>交通门户</x:v>
      </x:c>
      <x:c r="K1844" s="32" t="str">
        <x:v>203</x:v>
      </x:c>
      <x:c r="L1844" s="22" t="str">
        <x:v>村庄范围</x:v>
      </x:c>
      <x:c r="M1844" s="33" t="n">
        <x:v>87157.69</x:v>
      </x:c>
      <x:c r="N1844" s="33" t="n">
        <x:v>8.715769</x:v>
      </x:c>
      <x:c r="O1844" s="22" t="str">
        <x:v>公顷</x:v>
      </x:c>
      <x:c r="P1844" s="22" t="str">
        <x:v>未提供（单期横截面）</x:v>
      </x:c>
      <x:c r="Q1844" s="23" t="n">
        <x:v>4823</x:v>
      </x:c>
    </x:row>
    <x:row r="1845">
      <x:c r="A1845" s="30" t="n">
        <x:v>350500</x:v>
      </x:c>
      <x:c r="B1845" s="22" t="str">
        <x:v>泉州市</x:v>
      </x:c>
      <x:c r="C1845" s="31" t="n">
        <x:v>350583</x:v>
      </x:c>
      <x:c r="D1845" s="22" t="str">
        <x:v>南安市</x:v>
      </x:c>
      <x:c r="E1845" s="22" t="str">
        <x:v>建设用地</x:v>
      </x:c>
      <x:c r="F1845" s="22" t="str">
        <x:v>交通运输用地</x:v>
      </x:c>
      <x:c r="G1845" s="32" t="str">
        <x:v>1009</x:v>
      </x:c>
      <x:c r="H1845" s="32" t="str">
        <x:v>1009</x:v>
      </x:c>
      <x:c r="I1845" s="22" t="str">
        <x:v>管道运输用地</x:v>
      </x:c>
      <x:c r="J1845" s="22" t="str">
        <x:v>交通门户</x:v>
      </x:c>
      <x:c r="K1845" s="32" t="str">
        <x:v>203</x:v>
      </x:c>
      <x:c r="L1845" s="22" t="str">
        <x:v>村庄范围</x:v>
      </x:c>
      <x:c r="M1845" s="33" t="n">
        <x:v>31271.77</x:v>
      </x:c>
      <x:c r="N1845" s="33" t="n">
        <x:v>3.127177</x:v>
      </x:c>
      <x:c r="O1845" s="22" t="str">
        <x:v>公顷</x:v>
      </x:c>
      <x:c r="P1845" s="22" t="str">
        <x:v>未提供（单期横截面）</x:v>
      </x:c>
      <x:c r="Q1845" s="23" t="n">
        <x:v>4824</x:v>
      </x:c>
    </x:row>
    <x:row r="1846">
      <x:c r="A1846" s="30" t="n">
        <x:v>350500</x:v>
      </x:c>
      <x:c r="B1846" s="22" t="str">
        <x:v>泉州市</x:v>
      </x:c>
      <x:c r="C1846" s="31" t="n">
        <x:v>350583</x:v>
      </x:c>
      <x:c r="D1846" s="22" t="str">
        <x:v>南安市</x:v>
      </x:c>
      <x:c r="E1846" s="22" t="str">
        <x:v>建设用地</x:v>
      </x:c>
      <x:c r="F1846" s="22" t="str">
        <x:v>水域及水利设施</x:v>
      </x:c>
      <x:c r="G1846" s="32" t="str">
        <x:v>1109</x:v>
      </x:c>
      <x:c r="H1846" s="32" t="str">
        <x:v>1109</x:v>
      </x:c>
      <x:c r="I1846" s="22" t="str">
        <x:v>水工建筑用地</x:v>
      </x:c>
      <x:c r="J1846" s="22" t="str">
        <x:v>其他建设</x:v>
      </x:c>
      <x:c r="K1846" s="32" t="str">
        <x:v>203</x:v>
      </x:c>
      <x:c r="L1846" s="22" t="str">
        <x:v>村庄范围</x:v>
      </x:c>
      <x:c r="M1846" s="33" t="n">
        <x:v>1216.14</x:v>
      </x:c>
      <x:c r="N1846" s="33" t="n">
        <x:v>0.12161400000000001</x:v>
      </x:c>
      <x:c r="O1846" s="22" t="str">
        <x:v>公顷</x:v>
      </x:c>
      <x:c r="P1846" s="22" t="str">
        <x:v>未提供（单期横截面）</x:v>
      </x:c>
      <x:c r="Q1846" s="23" t="n">
        <x:v>4825</x:v>
      </x:c>
    </x:row>
    <x:row r="1847">
      <x:c r="A1847" s="30" t="n">
        <x:v>350500</x:v>
      </x:c>
      <x:c r="B1847" s="22" t="str">
        <x:v>泉州市</x:v>
      </x:c>
      <x:c r="C1847" s="31" t="n">
        <x:v>350583</x:v>
      </x:c>
      <x:c r="D1847" s="22" t="str">
        <x:v>南安市</x:v>
      </x:c>
      <x:c r="E1847" s="22" t="str">
        <x:v>建设用地</x:v>
      </x:c>
      <x:c r="F1847" s="22" t="str">
        <x:v>其他建设用地</x:v>
      </x:c>
      <x:c r="G1847" s="32" t="str">
        <x:v>1201</x:v>
      </x:c>
      <x:c r="H1847" s="32" t="str">
        <x:v>1201</x:v>
      </x:c>
      <x:c r="I1847" s="22" t="str">
        <x:v>空闲地</x:v>
      </x:c>
      <x:c r="J1847" s="22" t="str">
        <x:v>其他建设</x:v>
      </x:c>
      <x:c r="K1847" s="32" t="str">
        <x:v>203</x:v>
      </x:c>
      <x:c r="L1847" s="22" t="str">
        <x:v>村庄范围</x:v>
      </x:c>
      <x:c r="M1847" s="33" t="n">
        <x:v>195844.7</x:v>
      </x:c>
      <x:c r="N1847" s="33" t="n">
        <x:v>19.58447</x:v>
      </x:c>
      <x:c r="O1847" s="22" t="str">
        <x:v>公顷</x:v>
      </x:c>
      <x:c r="P1847" s="22" t="str">
        <x:v>未提供（单期横截面）</x:v>
      </x:c>
      <x:c r="Q1847" s="23" t="n">
        <x:v>4826</x:v>
      </x:c>
    </x:row>
    <x:row r="1848">
      <x:c r="A1848" s="30" t="n">
        <x:v>350500</x:v>
      </x:c>
      <x:c r="B1848" s="22" t="str">
        <x:v>泉州市</x:v>
      </x:c>
      <x:c r="C1848" s="31" t="n">
        <x:v>350583</x:v>
      </x:c>
      <x:c r="D1848" s="22" t="str">
        <x:v>南安市</x:v>
      </x:c>
      <x:c r="E1848" s="22" t="str">
        <x:v>建设用地</x:v>
      </x:c>
      <x:c r="F1848" s="22" t="str">
        <x:v>工矿仓储用地</x:v>
      </x:c>
      <x:c r="G1848" s="32" t="str">
        <x:v>601</x:v>
      </x:c>
      <x:c r="H1848" s="32" t="str">
        <x:v>601</x:v>
      </x:c>
      <x:c r="I1848" s="22" t="str">
        <x:v>工业用地</x:v>
      </x:c>
      <x:c r="J1848" s="22" t="str">
        <x:v>产业功能</x:v>
      </x:c>
      <x:c r="K1848" s="32" t="str">
        <x:v>203A</x:v>
      </x:c>
      <x:c r="L1848" s="22" t="str">
        <x:v>村庄独立工业用地</x:v>
      </x:c>
      <x:c r="M1848" s="33" t="n">
        <x:v>3643215.979999998</x:v>
      </x:c>
      <x:c r="N1848" s="33" t="n">
        <x:v>364.3215979999998</x:v>
      </x:c>
      <x:c r="O1848" s="22" t="str">
        <x:v>公顷</x:v>
      </x:c>
      <x:c r="P1848" s="22" t="str">
        <x:v>未提供（单期横截面）</x:v>
      </x:c>
      <x:c r="Q1848" s="23" t="n">
        <x:v>4827</x:v>
      </x:c>
    </x:row>
    <x:row r="1849">
      <x:c r="A1849" s="30" t="n">
        <x:v>350500</x:v>
      </x:c>
      <x:c r="B1849" s="22" t="str">
        <x:v>泉州市</x:v>
      </x:c>
      <x:c r="C1849" s="31" t="n">
        <x:v>350583</x:v>
      </x:c>
      <x:c r="D1849" s="22" t="str">
        <x:v>南安市</x:v>
      </x:c>
      <x:c r="E1849" s="22" t="str">
        <x:v>建设用地</x:v>
      </x:c>
      <x:c r="F1849" s="22" t="str">
        <x:v>工矿仓储用地</x:v>
      </x:c>
      <x:c r="G1849" s="32" t="str">
        <x:v>601</x:v>
      </x:c>
      <x:c r="H1849" s="32" t="str">
        <x:v>601</x:v>
      </x:c>
      <x:c r="I1849" s="22" t="str">
        <x:v>工业用地</x:v>
      </x:c>
      <x:c r="J1849" s="22" t="str">
        <x:v>产业功能</x:v>
      </x:c>
      <x:c r="K1849" s="32" t="str">
        <x:v>204</x:v>
      </x:c>
      <x:c r="L1849" s="22" t="str">
        <x:v>盐田及采矿用地</x:v>
      </x:c>
      <x:c r="M1849" s="33" t="n">
        <x:v>2202.71</x:v>
      </x:c>
      <x:c r="N1849" s="33" t="n">
        <x:v>0.220271</x:v>
      </x:c>
      <x:c r="O1849" s="22" t="str">
        <x:v>公顷</x:v>
      </x:c>
      <x:c r="P1849" s="22" t="str">
        <x:v>未提供（单期横截面）</x:v>
      </x:c>
      <x:c r="Q1849" s="23" t="n">
        <x:v>4828</x:v>
      </x:c>
    </x:row>
    <x:row r="1850">
      <x:c r="A1850" s="30" t="n">
        <x:v>350500</x:v>
      </x:c>
      <x:c r="B1850" s="22" t="str">
        <x:v>泉州市</x:v>
      </x:c>
      <x:c r="C1850" s="31" t="n">
        <x:v>350583</x:v>
      </x:c>
      <x:c r="D1850" s="22" t="str">
        <x:v>南安市</x:v>
      </x:c>
      <x:c r="E1850" s="22" t="str">
        <x:v>建设用地</x:v>
      </x:c>
      <x:c r="F1850" s="22" t="str">
        <x:v>工矿仓储用地</x:v>
      </x:c>
      <x:c r="G1850" s="32" t="str">
        <x:v>602</x:v>
      </x:c>
      <x:c r="H1850" s="32" t="str">
        <x:v>602</x:v>
      </x:c>
      <x:c r="I1850" s="22" t="str">
        <x:v>采矿用地</x:v>
      </x:c>
      <x:c r="J1850" s="22" t="str">
        <x:v>产业功能</x:v>
      </x:c>
      <x:c r="K1850" s="32" t="str">
        <x:v>204</x:v>
      </x:c>
      <x:c r="L1850" s="22" t="str">
        <x:v>盐田及采矿用地</x:v>
      </x:c>
      <x:c r="M1850" s="33" t="n">
        <x:v>23874777.870000005</x:v>
      </x:c>
      <x:c r="N1850" s="33" t="n">
        <x:v>2387.4777870000003</x:v>
      </x:c>
      <x:c r="O1850" s="22" t="str">
        <x:v>公顷</x:v>
      </x:c>
      <x:c r="P1850" s="22" t="str">
        <x:v>未提供（单期横截面）</x:v>
      </x:c>
      <x:c r="Q1850" s="23" t="n">
        <x:v>4829</x:v>
      </x:c>
    </x:row>
    <x:row r="1851">
      <x:c r="A1851" s="30" t="n">
        <x:v>350500</x:v>
      </x:c>
      <x:c r="B1851" s="22" t="str">
        <x:v>泉州市</x:v>
      </x:c>
      <x:c r="C1851" s="31" t="n">
        <x:v>350583</x:v>
      </x:c>
      <x:c r="D1851" s="22" t="str">
        <x:v>南安市</x:v>
      </x:c>
      <x:c r="E1851" s="22" t="str">
        <x:v>建设用地</x:v>
      </x:c>
      <x:c r="F1851" s="22" t="str">
        <x:v>居住用地</x:v>
      </x:c>
      <x:c r="G1851" s="32" t="str">
        <x:v>702</x:v>
      </x:c>
      <x:c r="H1851" s="32" t="str">
        <x:v>702</x:v>
      </x:c>
      <x:c r="I1851" s="22" t="str">
        <x:v>农村宅基地</x:v>
      </x:c>
      <x:c r="J1851" s="22" t="str">
        <x:v>居住功能</x:v>
      </x:c>
      <x:c r="K1851" s="32" t="str">
        <x:v>204</x:v>
      </x:c>
      <x:c r="L1851" s="22" t="str">
        <x:v>盐田及采矿用地</x:v>
      </x:c>
      <x:c r="M1851" s="33" t="n">
        <x:v>938.6899999999999</x:v>
      </x:c>
      <x:c r="N1851" s="33" t="n">
        <x:v>0.093869</x:v>
      </x:c>
      <x:c r="O1851" s="22" t="str">
        <x:v>公顷</x:v>
      </x:c>
      <x:c r="P1851" s="22" t="str">
        <x:v>未提供（单期横截面）</x:v>
      </x:c>
      <x:c r="Q1851" s="23" t="n">
        <x:v>4830</x:v>
      </x:c>
    </x:row>
    <x:row r="1852">
      <x:c r="A1852" s="30" t="n">
        <x:v>350500</x:v>
      </x:c>
      <x:c r="B1852" s="22" t="str">
        <x:v>泉州市</x:v>
      </x:c>
      <x:c r="C1852" s="31" t="n">
        <x:v>350583</x:v>
      </x:c>
      <x:c r="D1852" s="22" t="str">
        <x:v>南安市</x:v>
      </x:c>
      <x:c r="E1852" s="22" t="str">
        <x:v>建设用地</x:v>
      </x:c>
      <x:c r="F1852" s="22" t="str">
        <x:v>公用设施用地</x:v>
      </x:c>
      <x:c r="G1852" s="32" t="str">
        <x:v>809</x:v>
      </x:c>
      <x:c r="H1852" s="32" t="str">
        <x:v>809</x:v>
      </x:c>
      <x:c r="I1852" s="22" t="str">
        <x:v>公用设施用地</x:v>
      </x:c>
      <x:c r="J1852" s="22" t="str">
        <x:v>其他建设</x:v>
      </x:c>
      <x:c r="K1852" s="32" t="str">
        <x:v>204</x:v>
      </x:c>
      <x:c r="L1852" s="22" t="str">
        <x:v>盐田及采矿用地</x:v>
      </x:c>
      <x:c r="M1852" s="33" t="n">
        <x:v>225.08</x:v>
      </x:c>
      <x:c r="N1852" s="33" t="n">
        <x:v>0.022508</x:v>
      </x:c>
      <x:c r="O1852" s="22" t="str">
        <x:v>公顷</x:v>
      </x:c>
      <x:c r="P1852" s="22" t="str">
        <x:v>未提供（单期横截面）</x:v>
      </x:c>
      <x:c r="Q1852" s="23" t="n">
        <x:v>4831</x:v>
      </x:c>
    </x:row>
    <x:row r="1853">
      <x:c r="A1853" s="30" t="n">
        <x:v>350500</x:v>
      </x:c>
      <x:c r="B1853" s="22" t="str">
        <x:v>泉州市</x:v>
      </x:c>
      <x:c r="C1853" s="31" t="n">
        <x:v>350583</x:v>
      </x:c>
      <x:c r="D1853" s="22" t="str">
        <x:v>南安市</x:v>
      </x:c>
      <x:c r="E1853" s="22" t="str">
        <x:v>建设用地</x:v>
      </x:c>
      <x:c r="F1853" s="22" t="str">
        <x:v>特殊用地</x:v>
      </x:c>
      <x:c r="G1853" s="32" t="str">
        <x:v>9</x:v>
      </x:c>
      <x:c r="H1853" s="32" t="str">
        <x:v>9</x:v>
      </x:c>
      <x:c r="I1853" s="22" t="str">
        <x:v>特殊用地</x:v>
      </x:c>
      <x:c r="J1853" s="22" t="str">
        <x:v>其他建设</x:v>
      </x:c>
      <x:c r="K1853" s="32" t="str">
        <x:v>204</x:v>
      </x:c>
      <x:c r="L1853" s="22" t="str">
        <x:v>盐田及采矿用地</x:v>
      </x:c>
      <x:c r="M1853" s="33" t="n">
        <x:v>1099.93</x:v>
      </x:c>
      <x:c r="N1853" s="33" t="n">
        <x:v>0.10999300000000001</x:v>
      </x:c>
      <x:c r="O1853" s="22" t="str">
        <x:v>公顷</x:v>
      </x:c>
      <x:c r="P1853" s="22" t="str">
        <x:v>未提供（单期横截面）</x:v>
      </x:c>
      <x:c r="Q1853" s="23" t="n">
        <x:v>4832</x:v>
      </x:c>
    </x:row>
    <x:row r="1854">
      <x:c r="A1854" s="30" t="n">
        <x:v>350500</x:v>
      </x:c>
      <x:c r="B1854" s="22" t="str">
        <x:v>泉州市</x:v>
      </x:c>
      <x:c r="C1854" s="31" t="n">
        <x:v>350583</x:v>
      </x:c>
      <x:c r="D1854" s="22" t="str">
        <x:v>南安市</x:v>
      </x:c>
      <x:c r="E1854" s="22" t="str">
        <x:v>建设用地</x:v>
      </x:c>
      <x:c r="F1854" s="22" t="str">
        <x:v>公用设施用地</x:v>
      </x:c>
      <x:c r="G1854" s="32" t="str">
        <x:v>809</x:v>
      </x:c>
      <x:c r="H1854" s="32" t="str">
        <x:v>809</x:v>
      </x:c>
      <x:c r="I1854" s="22" t="str">
        <x:v>公用设施用地</x:v>
      </x:c>
      <x:c r="J1854" s="22" t="str">
        <x:v>其他建设</x:v>
      </x:c>
      <x:c r="K1854" s="32" t="str">
        <x:v>205</x:v>
      </x:c>
      <x:c r="L1854" s="22" t="str">
        <x:v>特殊用地</x:v>
      </x:c>
      <x:c r="M1854" s="33" t="n">
        <x:v>174.4</x:v>
      </x:c>
      <x:c r="N1854" s="33" t="n">
        <x:v>0.01744</x:v>
      </x:c>
      <x:c r="O1854" s="22" t="str">
        <x:v>公顷</x:v>
      </x:c>
      <x:c r="P1854" s="22" t="str">
        <x:v>未提供（单期横截面）</x:v>
      </x:c>
      <x:c r="Q1854" s="23" t="n">
        <x:v>4833</x:v>
      </x:c>
    </x:row>
    <x:row r="1855">
      <x:c r="A1855" s="30" t="n">
        <x:v>350500</x:v>
      </x:c>
      <x:c r="B1855" s="22" t="str">
        <x:v>泉州市</x:v>
      </x:c>
      <x:c r="C1855" s="31" t="n">
        <x:v>350583</x:v>
      </x:c>
      <x:c r="D1855" s="22" t="str">
        <x:v>南安市</x:v>
      </x:c>
      <x:c r="E1855" s="22" t="str">
        <x:v>建设用地</x:v>
      </x:c>
      <x:c r="F1855" s="22" t="str">
        <x:v>绿地与广场用地</x:v>
      </x:c>
      <x:c r="G1855" s="32" t="str">
        <x:v>0810A</x:v>
      </x:c>
      <x:c r="H1855" s="32" t="str">
        <x:v>0810</x:v>
      </x:c>
      <x:c r="I1855" s="22" t="str">
        <x:v>广场用地</x:v>
      </x:c>
      <x:c r="J1855" s="22" t="str">
        <x:v>公共空间</x:v>
      </x:c>
      <x:c r="K1855" s="32" t="str">
        <x:v>205</x:v>
      </x:c>
      <x:c r="L1855" s="22" t="str">
        <x:v>特殊用地</x:v>
      </x:c>
      <x:c r="M1855" s="33" t="n">
        <x:v>909.2</x:v>
      </x:c>
      <x:c r="N1855" s="33" t="n">
        <x:v>0.09092</x:v>
      </x:c>
      <x:c r="O1855" s="22" t="str">
        <x:v>公顷</x:v>
      </x:c>
      <x:c r="P1855" s="22" t="str">
        <x:v>未提供（单期横截面）</x:v>
      </x:c>
      <x:c r="Q1855" s="23" t="n">
        <x:v>4834</x:v>
      </x:c>
    </x:row>
    <x:row r="1856">
      <x:c r="A1856" s="30" t="n">
        <x:v>350500</x:v>
      </x:c>
      <x:c r="B1856" s="22" t="str">
        <x:v>泉州市</x:v>
      </x:c>
      <x:c r="C1856" s="31" t="n">
        <x:v>350583</x:v>
      </x:c>
      <x:c r="D1856" s="22" t="str">
        <x:v>南安市</x:v>
      </x:c>
      <x:c r="E1856" s="22" t="str">
        <x:v>建设用地</x:v>
      </x:c>
      <x:c r="F1856" s="22" t="str">
        <x:v>特殊用地</x:v>
      </x:c>
      <x:c r="G1856" s="32" t="str">
        <x:v>9</x:v>
      </x:c>
      <x:c r="H1856" s="32" t="str">
        <x:v>9</x:v>
      </x:c>
      <x:c r="I1856" s="22" t="str">
        <x:v>特殊用地</x:v>
      </x:c>
      <x:c r="J1856" s="22" t="str">
        <x:v>其他建设</x:v>
      </x:c>
      <x:c r="K1856" s="32" t="str">
        <x:v>205</x:v>
      </x:c>
      <x:c r="L1856" s="22" t="str">
        <x:v>特殊用地</x:v>
      </x:c>
      <x:c r="M1856" s="33" t="n">
        <x:v>12559540.450000005</x:v>
      </x:c>
      <x:c r="N1856" s="33" t="n">
        <x:v>1255.9540450000004</x:v>
      </x:c>
      <x:c r="O1856" s="22" t="str">
        <x:v>公顷</x:v>
      </x:c>
      <x:c r="P1856" s="22" t="str">
        <x:v>未提供（单期横截面）</x:v>
      </x:c>
      <x:c r="Q1856" s="23" t="n">
        <x:v>4835</x:v>
      </x:c>
    </x:row>
    <x:row r="1857">
      <x:c r="A1857" s="30" t="n">
        <x:v>350500</x:v>
      </x:c>
      <x:c r="B1857" s="22" t="str">
        <x:v>泉州市</x:v>
      </x:c>
      <x:c r="C1857" s="31" t="n">
        <x:v>350583</x:v>
      </x:c>
      <x:c r="D1857" s="22" t="str">
        <x:v>南安市</x:v>
      </x:c>
      <x:c r="E1857" s="22" t="str">
        <x:v>农用地</x:v>
      </x:c>
      <x:c r="F1857" s="22" t="str">
        <x:v>耕地</x:v>
      </x:c>
      <x:c r="G1857" s="32" t="str">
        <x:v>101</x:v>
      </x:c>
      <x:c r="H1857" s="32" t="str">
        <x:v>101</x:v>
      </x:c>
      <x:c r="I1857" s="22" t="str">
        <x:v>水田</x:v>
      </x:c>
      <x:c r="J1857" s="22" t="str">
        <x:v>农业生态</x:v>
      </x:c>
      <x:c r="K1857" s="32" t="str"/>
      <x:c r="L1857" s="22" t="str">
        <x:v>不适用/未标注</x:v>
      </x:c>
      <x:c r="M1857" s="33" t="n">
        <x:v>226225085.28000093</x:v>
      </x:c>
      <x:c r="N1857" s="33" t="n">
        <x:v>22622.508528000093</x:v>
      </x:c>
      <x:c r="O1857" s="22" t="str">
        <x:v>公顷</x:v>
      </x:c>
      <x:c r="P1857" s="22" t="str">
        <x:v>未提供（单期横截面）</x:v>
      </x:c>
      <x:c r="Q1857" s="23" t="n">
        <x:v>4836</x:v>
      </x:c>
    </x:row>
    <x:row r="1858">
      <x:c r="A1858" s="30" t="n">
        <x:v>350500</x:v>
      </x:c>
      <x:c r="B1858" s="22" t="str">
        <x:v>泉州市</x:v>
      </x:c>
      <x:c r="C1858" s="31" t="n">
        <x:v>350583</x:v>
      </x:c>
      <x:c r="D1858" s="22" t="str">
        <x:v>南安市</x:v>
      </x:c>
      <x:c r="E1858" s="22" t="str">
        <x:v>农用地</x:v>
      </x:c>
      <x:c r="F1858" s="22" t="str">
        <x:v>耕地</x:v>
      </x:c>
      <x:c r="G1858" s="32" t="str">
        <x:v>102</x:v>
      </x:c>
      <x:c r="H1858" s="32" t="str">
        <x:v>102</x:v>
      </x:c>
      <x:c r="I1858" s="22" t="str">
        <x:v>水浇地</x:v>
      </x:c>
      <x:c r="J1858" s="22" t="str">
        <x:v>农业生态</x:v>
      </x:c>
      <x:c r="K1858" s="32" t="str"/>
      <x:c r="L1858" s="22" t="str">
        <x:v>不适用/未标注</x:v>
      </x:c>
      <x:c r="M1858" s="33" t="n">
        <x:v>7129904.370000012</x:v>
      </x:c>
      <x:c r="N1858" s="33" t="n">
        <x:v>712.9904370000012</x:v>
      </x:c>
      <x:c r="O1858" s="22" t="str">
        <x:v>公顷</x:v>
      </x:c>
      <x:c r="P1858" s="22" t="str">
        <x:v>未提供（单期横截面）</x:v>
      </x:c>
      <x:c r="Q1858" s="23" t="n">
        <x:v>4837</x:v>
      </x:c>
    </x:row>
    <x:row r="1859">
      <x:c r="A1859" s="30" t="n">
        <x:v>350500</x:v>
      </x:c>
      <x:c r="B1859" s="22" t="str">
        <x:v>泉州市</x:v>
      </x:c>
      <x:c r="C1859" s="31" t="n">
        <x:v>350583</x:v>
      </x:c>
      <x:c r="D1859" s="22" t="str">
        <x:v>南安市</x:v>
      </x:c>
      <x:c r="E1859" s="22" t="str">
        <x:v>农用地</x:v>
      </x:c>
      <x:c r="F1859" s="22" t="str">
        <x:v>耕地</x:v>
      </x:c>
      <x:c r="G1859" s="32" t="str">
        <x:v>103</x:v>
      </x:c>
      <x:c r="H1859" s="32" t="str">
        <x:v>103</x:v>
      </x:c>
      <x:c r="I1859" s="22" t="str">
        <x:v>旱地</x:v>
      </x:c>
      <x:c r="J1859" s="22" t="str">
        <x:v>农业生态</x:v>
      </x:c>
      <x:c r="K1859" s="32" t="str"/>
      <x:c r="L1859" s="22" t="str">
        <x:v>不适用/未标注</x:v>
      </x:c>
      <x:c r="M1859" s="33" t="n">
        <x:v>27044631.749999892</x:v>
      </x:c>
      <x:c r="N1859" s="33" t="n">
        <x:v>2704.4631749999894</x:v>
      </x:c>
      <x:c r="O1859" s="22" t="str">
        <x:v>公顷</x:v>
      </x:c>
      <x:c r="P1859" s="22" t="str">
        <x:v>未提供（单期横截面）</x:v>
      </x:c>
      <x:c r="Q1859" s="23" t="n">
        <x:v>4838</x:v>
      </x:c>
    </x:row>
    <x:row r="1860">
      <x:c r="A1860" s="30" t="n">
        <x:v>350500</x:v>
      </x:c>
      <x:c r="B1860" s="22" t="str">
        <x:v>泉州市</x:v>
      </x:c>
      <x:c r="C1860" s="31" t="n">
        <x:v>350583</x:v>
      </x:c>
      <x:c r="D1860" s="22" t="str">
        <x:v>南安市</x:v>
      </x:c>
      <x:c r="E1860" s="22" t="str">
        <x:v>农用地</x:v>
      </x:c>
      <x:c r="F1860" s="22" t="str">
        <x:v>园地</x:v>
      </x:c>
      <x:c r="G1860" s="32" t="str">
        <x:v>201</x:v>
      </x:c>
      <x:c r="H1860" s="32" t="str">
        <x:v>201</x:v>
      </x:c>
      <x:c r="I1860" s="22" t="str">
        <x:v>果园</x:v>
      </x:c>
      <x:c r="J1860" s="22" t="str">
        <x:v>农业生态</x:v>
      </x:c>
      <x:c r="K1860" s="32" t="str"/>
      <x:c r="L1860" s="22" t="str">
        <x:v>不适用/未标注</x:v>
      </x:c>
      <x:c r="M1860" s="33" t="n">
        <x:v>114106812.79999952</x:v>
      </x:c>
      <x:c r="N1860" s="33" t="n">
        <x:v>11410.681279999952</x:v>
      </x:c>
      <x:c r="O1860" s="22" t="str">
        <x:v>公顷</x:v>
      </x:c>
      <x:c r="P1860" s="22" t="str">
        <x:v>未提供（单期横截面）</x:v>
      </x:c>
      <x:c r="Q1860" s="23" t="n">
        <x:v>4839</x:v>
      </x:c>
    </x:row>
    <x:row r="1861">
      <x:c r="A1861" s="30" t="n">
        <x:v>350500</x:v>
      </x:c>
      <x:c r="B1861" s="22" t="str">
        <x:v>泉州市</x:v>
      </x:c>
      <x:c r="C1861" s="31" t="n">
        <x:v>350583</x:v>
      </x:c>
      <x:c r="D1861" s="22" t="str">
        <x:v>南安市</x:v>
      </x:c>
      <x:c r="E1861" s="22" t="str">
        <x:v>农用地</x:v>
      </x:c>
      <x:c r="F1861" s="22" t="str">
        <x:v>园地</x:v>
      </x:c>
      <x:c r="G1861" s="32" t="str">
        <x:v>0201K</x:v>
      </x:c>
      <x:c r="H1861" s="32" t="str">
        <x:v>201</x:v>
      </x:c>
      <x:c r="I1861" s="22" t="str">
        <x:v>可调整果园</x:v>
      </x:c>
      <x:c r="J1861" s="22" t="str">
        <x:v>农业生态</x:v>
      </x:c>
      <x:c r="K1861" s="32" t="str"/>
      <x:c r="L1861" s="22" t="str">
        <x:v>不适用/未标注</x:v>
      </x:c>
      <x:c r="M1861" s="33" t="n">
        <x:v>14329717.279999968</x:v>
      </x:c>
      <x:c r="N1861" s="33" t="n">
        <x:v>1432.9717279999968</x:v>
      </x:c>
      <x:c r="O1861" s="22" t="str">
        <x:v>公顷</x:v>
      </x:c>
      <x:c r="P1861" s="22" t="str">
        <x:v>未提供（单期横截面）</x:v>
      </x:c>
      <x:c r="Q1861" s="23" t="n">
        <x:v>4840</x:v>
      </x:c>
    </x:row>
    <x:row r="1862">
      <x:c r="A1862" s="30" t="n">
        <x:v>350500</x:v>
      </x:c>
      <x:c r="B1862" s="22" t="str">
        <x:v>泉州市</x:v>
      </x:c>
      <x:c r="C1862" s="31" t="n">
        <x:v>350583</x:v>
      </x:c>
      <x:c r="D1862" s="22" t="str">
        <x:v>南安市</x:v>
      </x:c>
      <x:c r="E1862" s="22" t="str">
        <x:v>农用地</x:v>
      </x:c>
      <x:c r="F1862" s="22" t="str">
        <x:v>园地</x:v>
      </x:c>
      <x:c r="G1862" s="32" t="str">
        <x:v>202</x:v>
      </x:c>
      <x:c r="H1862" s="32" t="str">
        <x:v>202</x:v>
      </x:c>
      <x:c r="I1862" s="22" t="str">
        <x:v>茶园</x:v>
      </x:c>
      <x:c r="J1862" s="22" t="str">
        <x:v>农业生态</x:v>
      </x:c>
      <x:c r="K1862" s="32" t="str"/>
      <x:c r="L1862" s="22" t="str">
        <x:v>不适用/未标注</x:v>
      </x:c>
      <x:c r="M1862" s="33" t="n">
        <x:v>12532279.790000005</x:v>
      </x:c>
      <x:c r="N1862" s="33" t="n">
        <x:v>1253.2279790000005</x:v>
      </x:c>
      <x:c r="O1862" s="22" t="str">
        <x:v>公顷</x:v>
      </x:c>
      <x:c r="P1862" s="22" t="str">
        <x:v>未提供（单期横截面）</x:v>
      </x:c>
      <x:c r="Q1862" s="23" t="n">
        <x:v>4841</x:v>
      </x:c>
    </x:row>
    <x:row r="1863">
      <x:c r="A1863" s="30" t="n">
        <x:v>350500</x:v>
      </x:c>
      <x:c r="B1863" s="22" t="str">
        <x:v>泉州市</x:v>
      </x:c>
      <x:c r="C1863" s="31" t="n">
        <x:v>350583</x:v>
      </x:c>
      <x:c r="D1863" s="22" t="str">
        <x:v>南安市</x:v>
      </x:c>
      <x:c r="E1863" s="22" t="str">
        <x:v>农用地</x:v>
      </x:c>
      <x:c r="F1863" s="22" t="str">
        <x:v>园地</x:v>
      </x:c>
      <x:c r="G1863" s="32" t="str">
        <x:v>0202K</x:v>
      </x:c>
      <x:c r="H1863" s="32" t="str">
        <x:v>0202</x:v>
      </x:c>
      <x:c r="I1863" s="22" t="str">
        <x:v>可调整茶园</x:v>
      </x:c>
      <x:c r="J1863" s="22" t="str">
        <x:v>农业生态</x:v>
      </x:c>
      <x:c r="K1863" s="32" t="str"/>
      <x:c r="L1863" s="22" t="str">
        <x:v>不适用/未标注</x:v>
      </x:c>
      <x:c r="M1863" s="33" t="n">
        <x:v>396888.26000000007</x:v>
      </x:c>
      <x:c r="N1863" s="33" t="n">
        <x:v>39.688826000000006</x:v>
      </x:c>
      <x:c r="O1863" s="22" t="str">
        <x:v>公顷</x:v>
      </x:c>
      <x:c r="P1863" s="22" t="str">
        <x:v>未提供（单期横截面）</x:v>
      </x:c>
      <x:c r="Q1863" s="23" t="n">
        <x:v>4842</x:v>
      </x:c>
    </x:row>
    <x:row r="1864">
      <x:c r="A1864" s="30" t="n">
        <x:v>350500</x:v>
      </x:c>
      <x:c r="B1864" s="22" t="str">
        <x:v>泉州市</x:v>
      </x:c>
      <x:c r="C1864" s="31" t="n">
        <x:v>350583</x:v>
      </x:c>
      <x:c r="D1864" s="22" t="str">
        <x:v>南安市</x:v>
      </x:c>
      <x:c r="E1864" s="22" t="str">
        <x:v>农用地</x:v>
      </x:c>
      <x:c r="F1864" s="22" t="str">
        <x:v>园地</x:v>
      </x:c>
      <x:c r="G1864" s="32" t="str">
        <x:v>204</x:v>
      </x:c>
      <x:c r="H1864" s="32" t="str">
        <x:v>204</x:v>
      </x:c>
      <x:c r="I1864" s="22" t="str">
        <x:v>其他园地</x:v>
      </x:c>
      <x:c r="J1864" s="22" t="str">
        <x:v>农业生态</x:v>
      </x:c>
      <x:c r="K1864" s="32" t="str"/>
      <x:c r="L1864" s="22" t="str">
        <x:v>不适用/未标注</x:v>
      </x:c>
      <x:c r="M1864" s="33" t="n">
        <x:v>5881556.1000000015</x:v>
      </x:c>
      <x:c r="N1864" s="33" t="n">
        <x:v>588.1556100000001</x:v>
      </x:c>
      <x:c r="O1864" s="22" t="str">
        <x:v>公顷</x:v>
      </x:c>
      <x:c r="P1864" s="22" t="str">
        <x:v>未提供（单期横截面）</x:v>
      </x:c>
      <x:c r="Q1864" s="23" t="n">
        <x:v>4843</x:v>
      </x:c>
    </x:row>
    <x:row r="1865">
      <x:c r="A1865" s="30" t="n">
        <x:v>350500</x:v>
      </x:c>
      <x:c r="B1865" s="22" t="str">
        <x:v>泉州市</x:v>
      </x:c>
      <x:c r="C1865" s="31" t="n">
        <x:v>350583</x:v>
      </x:c>
      <x:c r="D1865" s="22" t="str">
        <x:v>南安市</x:v>
      </x:c>
      <x:c r="E1865" s="22" t="str">
        <x:v>农用地</x:v>
      </x:c>
      <x:c r="F1865" s="22" t="str">
        <x:v>林地</x:v>
      </x:c>
      <x:c r="G1865" s="32" t="str">
        <x:v>301</x:v>
      </x:c>
      <x:c r="H1865" s="32" t="str">
        <x:v>301</x:v>
      </x:c>
      <x:c r="I1865" s="22" t="str">
        <x:v>乔木林地</x:v>
      </x:c>
      <x:c r="J1865" s="22" t="str">
        <x:v>农业生态</x:v>
      </x:c>
      <x:c r="K1865" s="32" t="str"/>
      <x:c r="L1865" s="22" t="str">
        <x:v>不适用/未标注</x:v>
      </x:c>
      <x:c r="M1865" s="33" t="n">
        <x:v>887489751.8600019</x:v>
      </x:c>
      <x:c r="N1865" s="33" t="n">
        <x:v>88748.97518600019</x:v>
      </x:c>
      <x:c r="O1865" s="22" t="str">
        <x:v>公顷</x:v>
      </x:c>
      <x:c r="P1865" s="22" t="str">
        <x:v>未提供（单期横截面）</x:v>
      </x:c>
      <x:c r="Q1865" s="23" t="n">
        <x:v>4844</x:v>
      </x:c>
    </x:row>
    <x:row r="1866">
      <x:c r="A1866" s="30" t="n">
        <x:v>350500</x:v>
      </x:c>
      <x:c r="B1866" s="22" t="str">
        <x:v>泉州市</x:v>
      </x:c>
      <x:c r="C1866" s="31" t="n">
        <x:v>350583</x:v>
      </x:c>
      <x:c r="D1866" s="22" t="str">
        <x:v>南安市</x:v>
      </x:c>
      <x:c r="E1866" s="22" t="str">
        <x:v>农用地</x:v>
      </x:c>
      <x:c r="F1866" s="22" t="str">
        <x:v>林地</x:v>
      </x:c>
      <x:c r="G1866" s="32" t="str">
        <x:v>0301K</x:v>
      </x:c>
      <x:c r="H1866" s="32" t="str">
        <x:v>0301</x:v>
      </x:c>
      <x:c r="I1866" s="22" t="str">
        <x:v>可调整乔木林地</x:v>
      </x:c>
      <x:c r="J1866" s="22" t="str">
        <x:v>农业生态</x:v>
      </x:c>
      <x:c r="K1866" s="32" t="str"/>
      <x:c r="L1866" s="22" t="str">
        <x:v>不适用/未标注</x:v>
      </x:c>
      <x:c r="M1866" s="33" t="n">
        <x:v>1563568.7600000019</x:v>
      </x:c>
      <x:c r="N1866" s="33" t="n">
        <x:v>156.3568760000002</x:v>
      </x:c>
      <x:c r="O1866" s="22" t="str">
        <x:v>公顷</x:v>
      </x:c>
      <x:c r="P1866" s="22" t="str">
        <x:v>未提供（单期横截面）</x:v>
      </x:c>
      <x:c r="Q1866" s="23" t="n">
        <x:v>4845</x:v>
      </x:c>
    </x:row>
    <x:row r="1867">
      <x:c r="A1867" s="30" t="n">
        <x:v>350500</x:v>
      </x:c>
      <x:c r="B1867" s="22" t="str">
        <x:v>泉州市</x:v>
      </x:c>
      <x:c r="C1867" s="31" t="n">
        <x:v>350583</x:v>
      </x:c>
      <x:c r="D1867" s="22" t="str">
        <x:v>南安市</x:v>
      </x:c>
      <x:c r="E1867" s="22" t="str">
        <x:v>农用地</x:v>
      </x:c>
      <x:c r="F1867" s="22" t="str">
        <x:v>林地</x:v>
      </x:c>
      <x:c r="G1867" s="32" t="str">
        <x:v>302</x:v>
      </x:c>
      <x:c r="H1867" s="32" t="str">
        <x:v>302</x:v>
      </x:c>
      <x:c r="I1867" s="22" t="str">
        <x:v>竹林地</x:v>
      </x:c>
      <x:c r="J1867" s="22" t="str">
        <x:v>农业生态</x:v>
      </x:c>
      <x:c r="K1867" s="32" t="str"/>
      <x:c r="L1867" s="22" t="str">
        <x:v>不适用/未标注</x:v>
      </x:c>
      <x:c r="M1867" s="33" t="n">
        <x:v>7098623.199999997</x:v>
      </x:c>
      <x:c r="N1867" s="33" t="n">
        <x:v>709.8623199999997</x:v>
      </x:c>
      <x:c r="O1867" s="22" t="str">
        <x:v>公顷</x:v>
      </x:c>
      <x:c r="P1867" s="22" t="str">
        <x:v>未提供（单期横截面）</x:v>
      </x:c>
      <x:c r="Q1867" s="23" t="n">
        <x:v>4846</x:v>
      </x:c>
    </x:row>
    <x:row r="1868">
      <x:c r="A1868" s="30" t="n">
        <x:v>350500</x:v>
      </x:c>
      <x:c r="B1868" s="22" t="str">
        <x:v>泉州市</x:v>
      </x:c>
      <x:c r="C1868" s="31" t="n">
        <x:v>350583</x:v>
      </x:c>
      <x:c r="D1868" s="22" t="str">
        <x:v>南安市</x:v>
      </x:c>
      <x:c r="E1868" s="22" t="str">
        <x:v>农用地</x:v>
      </x:c>
      <x:c r="F1868" s="22" t="str">
        <x:v>林地</x:v>
      </x:c>
      <x:c r="G1868" s="32" t="str">
        <x:v>305</x:v>
      </x:c>
      <x:c r="H1868" s="32" t="str">
        <x:v>305</x:v>
      </x:c>
      <x:c r="I1868" s="22" t="str">
        <x:v>灌木林地</x:v>
      </x:c>
      <x:c r="J1868" s="22" t="str">
        <x:v>农业生态</x:v>
      </x:c>
      <x:c r="K1868" s="32" t="str"/>
      <x:c r="L1868" s="22" t="str">
        <x:v>不适用/未标注</x:v>
      </x:c>
      <x:c r="M1868" s="33" t="n">
        <x:v>10748351.58000003</x:v>
      </x:c>
      <x:c r="N1868" s="33" t="n">
        <x:v>1074.835158000003</x:v>
      </x:c>
      <x:c r="O1868" s="22" t="str">
        <x:v>公顷</x:v>
      </x:c>
      <x:c r="P1868" s="22" t="str">
        <x:v>未提供（单期横截面）</x:v>
      </x:c>
      <x:c r="Q1868" s="23" t="n">
        <x:v>4847</x:v>
      </x:c>
    </x:row>
    <x:row r="1869">
      <x:c r="A1869" s="30" t="n">
        <x:v>350500</x:v>
      </x:c>
      <x:c r="B1869" s="22" t="str">
        <x:v>泉州市</x:v>
      </x:c>
      <x:c r="C1869" s="31" t="n">
        <x:v>350583</x:v>
      </x:c>
      <x:c r="D1869" s="22" t="str">
        <x:v>南安市</x:v>
      </x:c>
      <x:c r="E1869" s="22" t="str">
        <x:v>农用地</x:v>
      </x:c>
      <x:c r="F1869" s="22" t="str">
        <x:v>林地</x:v>
      </x:c>
      <x:c r="G1869" s="32" t="str">
        <x:v>307</x:v>
      </x:c>
      <x:c r="H1869" s="32" t="str">
        <x:v>307</x:v>
      </x:c>
      <x:c r="I1869" s="22" t="str">
        <x:v>其他林地</x:v>
      </x:c>
      <x:c r="J1869" s="22" t="str">
        <x:v>农业生态</x:v>
      </x:c>
      <x:c r="K1869" s="32" t="str"/>
      <x:c r="L1869" s="22" t="str">
        <x:v>不适用/未标注</x:v>
      </x:c>
      <x:c r="M1869" s="33" t="n">
        <x:v>157872023.3399995</x:v>
      </x:c>
      <x:c r="N1869" s="33" t="n">
        <x:v>15787.20233399995</x:v>
      </x:c>
      <x:c r="O1869" s="22" t="str">
        <x:v>公顷</x:v>
      </x:c>
      <x:c r="P1869" s="22" t="str">
        <x:v>未提供（单期横截面）</x:v>
      </x:c>
      <x:c r="Q1869" s="23" t="n">
        <x:v>4848</x:v>
      </x:c>
    </x:row>
    <x:row r="1870">
      <x:c r="A1870" s="30" t="n">
        <x:v>350500</x:v>
      </x:c>
      <x:c r="B1870" s="22" t="str">
        <x:v>泉州市</x:v>
      </x:c>
      <x:c r="C1870" s="31" t="n">
        <x:v>350583</x:v>
      </x:c>
      <x:c r="D1870" s="22" t="str">
        <x:v>南安市</x:v>
      </x:c>
      <x:c r="E1870" s="22" t="str">
        <x:v>农用地</x:v>
      </x:c>
      <x:c r="F1870" s="22" t="str">
        <x:v>林地</x:v>
      </x:c>
      <x:c r="G1870" s="32" t="str">
        <x:v>0307K</x:v>
      </x:c>
      <x:c r="H1870" s="32" t="str">
        <x:v>0307</x:v>
      </x:c>
      <x:c r="I1870" s="22" t="str">
        <x:v>可调整其他林地</x:v>
      </x:c>
      <x:c r="J1870" s="22" t="str">
        <x:v>农业生态</x:v>
      </x:c>
      <x:c r="K1870" s="32" t="str"/>
      <x:c r="L1870" s="22" t="str">
        <x:v>不适用/未标注</x:v>
      </x:c>
      <x:c r="M1870" s="33" t="n">
        <x:v>57002.7</x:v>
      </x:c>
      <x:c r="N1870" s="33" t="n">
        <x:v>5.70027</x:v>
      </x:c>
      <x:c r="O1870" s="22" t="str">
        <x:v>公顷</x:v>
      </x:c>
      <x:c r="P1870" s="22" t="str">
        <x:v>未提供（单期横截面）</x:v>
      </x:c>
      <x:c r="Q1870" s="23" t="n">
        <x:v>4849</x:v>
      </x:c>
    </x:row>
    <x:row r="1871">
      <x:c r="A1871" s="30" t="n">
        <x:v>350500</x:v>
      </x:c>
      <x:c r="B1871" s="22" t="str">
        <x:v>泉州市</x:v>
      </x:c>
      <x:c r="C1871" s="31" t="n">
        <x:v>350583</x:v>
      </x:c>
      <x:c r="D1871" s="22" t="str">
        <x:v>南安市</x:v>
      </x:c>
      <x:c r="E1871" s="22" t="str">
        <x:v>农用地</x:v>
      </x:c>
      <x:c r="F1871" s="22" t="str">
        <x:v>其他农用地</x:v>
      </x:c>
      <x:c r="G1871" s="32" t="str">
        <x:v>1006</x:v>
      </x:c>
      <x:c r="H1871" s="32" t="str">
        <x:v>1006</x:v>
      </x:c>
      <x:c r="I1871" s="22" t="str">
        <x:v>农村道路</x:v>
      </x:c>
      <x:c r="J1871" s="22" t="str">
        <x:v>农业生态</x:v>
      </x:c>
      <x:c r="K1871" s="32" t="str"/>
      <x:c r="L1871" s="22" t="str">
        <x:v>不适用/未标注</x:v>
      </x:c>
      <x:c r="M1871" s="33" t="n">
        <x:v>20146507.749999996</x:v>
      </x:c>
      <x:c r="N1871" s="33" t="n">
        <x:v>2014.6507749999996</x:v>
      </x:c>
      <x:c r="O1871" s="22" t="str">
        <x:v>公顷</x:v>
      </x:c>
      <x:c r="P1871" s="22" t="str">
        <x:v>未提供（单期横截面）</x:v>
      </x:c>
      <x:c r="Q1871" s="23" t="n">
        <x:v>4850</x:v>
      </x:c>
    </x:row>
    <x:row r="1872">
      <x:c r="A1872" s="30" t="n">
        <x:v>350500</x:v>
      </x:c>
      <x:c r="B1872" s="22" t="str">
        <x:v>泉州市</x:v>
      </x:c>
      <x:c r="C1872" s="31" t="n">
        <x:v>350583</x:v>
      </x:c>
      <x:c r="D1872" s="22" t="str">
        <x:v>南安市</x:v>
      </x:c>
      <x:c r="E1872" s="22" t="str">
        <x:v>农用地</x:v>
      </x:c>
      <x:c r="F1872" s="22" t="str">
        <x:v>水域及水利设施</x:v>
      </x:c>
      <x:c r="G1872" s="32" t="str">
        <x:v>1103</x:v>
      </x:c>
      <x:c r="H1872" s="32" t="str">
        <x:v>1103</x:v>
      </x:c>
      <x:c r="I1872" s="22" t="str">
        <x:v>水库水面</x:v>
      </x:c>
      <x:c r="J1872" s="22" t="str">
        <x:v>农业生态</x:v>
      </x:c>
      <x:c r="K1872" s="32" t="str"/>
      <x:c r="L1872" s="22" t="str">
        <x:v>不适用/未标注</x:v>
      </x:c>
      <x:c r="M1872" s="33" t="n">
        <x:v>32875721.000000004</x:v>
      </x:c>
      <x:c r="N1872" s="33" t="n">
        <x:v>3287.5721000000003</x:v>
      </x:c>
      <x:c r="O1872" s="22" t="str">
        <x:v>公顷</x:v>
      </x:c>
      <x:c r="P1872" s="22" t="str">
        <x:v>未提供（单期横截面）</x:v>
      </x:c>
      <x:c r="Q1872" s="23" t="n">
        <x:v>4851</x:v>
      </x:c>
    </x:row>
    <x:row r="1873">
      <x:c r="A1873" s="30" t="n">
        <x:v>350500</x:v>
      </x:c>
      <x:c r="B1873" s="22" t="str">
        <x:v>泉州市</x:v>
      </x:c>
      <x:c r="C1873" s="31" t="n">
        <x:v>350583</x:v>
      </x:c>
      <x:c r="D1873" s="22" t="str">
        <x:v>南安市</x:v>
      </x:c>
      <x:c r="E1873" s="22" t="str">
        <x:v>农用地</x:v>
      </x:c>
      <x:c r="F1873" s="22" t="str">
        <x:v>水域及水利设施</x:v>
      </x:c>
      <x:c r="G1873" s="32" t="str">
        <x:v>1104</x:v>
      </x:c>
      <x:c r="H1873" s="32" t="str">
        <x:v>1104</x:v>
      </x:c>
      <x:c r="I1873" s="22" t="str">
        <x:v>坑塘水面</x:v>
      </x:c>
      <x:c r="J1873" s="22" t="str">
        <x:v>农业生态</x:v>
      </x:c>
      <x:c r="K1873" s="32" t="str"/>
      <x:c r="L1873" s="22" t="str">
        <x:v>不适用/未标注</x:v>
      </x:c>
      <x:c r="M1873" s="33" t="n">
        <x:v>12208968.680000018</x:v>
      </x:c>
      <x:c r="N1873" s="33" t="n">
        <x:v>1220.8968680000019</x:v>
      </x:c>
      <x:c r="O1873" s="22" t="str">
        <x:v>公顷</x:v>
      </x:c>
      <x:c r="P1873" s="22" t="str">
        <x:v>未提供（单期横截面）</x:v>
      </x:c>
      <x:c r="Q1873" s="23" t="n">
        <x:v>4852</x:v>
      </x:c>
    </x:row>
    <x:row r="1874">
      <x:c r="A1874" s="30" t="n">
        <x:v>350500</x:v>
      </x:c>
      <x:c r="B1874" s="22" t="str">
        <x:v>泉州市</x:v>
      </x:c>
      <x:c r="C1874" s="31" t="n">
        <x:v>350583</x:v>
      </x:c>
      <x:c r="D1874" s="22" t="str">
        <x:v>南安市</x:v>
      </x:c>
      <x:c r="E1874" s="22" t="str">
        <x:v>农用地</x:v>
      </x:c>
      <x:c r="F1874" s="22" t="str">
        <x:v>水域及水利设施</x:v>
      </x:c>
      <x:c r="G1874" s="32" t="str">
        <x:v>1104A</x:v>
      </x:c>
      <x:c r="H1874" s="32" t="str">
        <x:v>1104</x:v>
      </x:c>
      <x:c r="I1874" s="22" t="str">
        <x:v>养殖坑塘</x:v>
      </x:c>
      <x:c r="J1874" s="22" t="str">
        <x:v>农业生态</x:v>
      </x:c>
      <x:c r="K1874" s="32" t="str"/>
      <x:c r="L1874" s="22" t="str">
        <x:v>不适用/未标注</x:v>
      </x:c>
      <x:c r="M1874" s="33" t="n">
        <x:v>1341067.8500000003</x:v>
      </x:c>
      <x:c r="N1874" s="33" t="n">
        <x:v>134.10678500000003</x:v>
      </x:c>
      <x:c r="O1874" s="22" t="str">
        <x:v>公顷</x:v>
      </x:c>
      <x:c r="P1874" s="22" t="str">
        <x:v>未提供（单期横截面）</x:v>
      </x:c>
      <x:c r="Q1874" s="23" t="n">
        <x:v>4853</x:v>
      </x:c>
    </x:row>
    <x:row r="1875">
      <x:c r="A1875" s="30" t="n">
        <x:v>350500</x:v>
      </x:c>
      <x:c r="B1875" s="22" t="str">
        <x:v>泉州市</x:v>
      </x:c>
      <x:c r="C1875" s="31" t="n">
        <x:v>350583</x:v>
      </x:c>
      <x:c r="D1875" s="22" t="str">
        <x:v>南安市</x:v>
      </x:c>
      <x:c r="E1875" s="22" t="str">
        <x:v>农用地</x:v>
      </x:c>
      <x:c r="F1875" s="22" t="str">
        <x:v>水域及水利设施</x:v>
      </x:c>
      <x:c r="G1875" s="32" t="str">
        <x:v>1104K</x:v>
      </x:c>
      <x:c r="H1875" s="32" t="str">
        <x:v>1104</x:v>
      </x:c>
      <x:c r="I1875" s="22" t="str">
        <x:v>可调整养殖坑塘</x:v>
      </x:c>
      <x:c r="J1875" s="22" t="str">
        <x:v>农业生态</x:v>
      </x:c>
      <x:c r="K1875" s="32" t="str"/>
      <x:c r="L1875" s="22" t="str">
        <x:v>不适用/未标注</x:v>
      </x:c>
      <x:c r="M1875" s="33" t="n">
        <x:v>612069.3099999996</x:v>
      </x:c>
      <x:c r="N1875" s="33" t="n">
        <x:v>61.20693099999996</x:v>
      </x:c>
      <x:c r="O1875" s="22" t="str">
        <x:v>公顷</x:v>
      </x:c>
      <x:c r="P1875" s="22" t="str">
        <x:v>未提供（单期横截面）</x:v>
      </x:c>
      <x:c r="Q1875" s="23" t="n">
        <x:v>4854</x:v>
      </x:c>
    </x:row>
    <x:row r="1876">
      <x:c r="A1876" s="30" t="n">
        <x:v>350500</x:v>
      </x:c>
      <x:c r="B1876" s="22" t="str">
        <x:v>泉州市</x:v>
      </x:c>
      <x:c r="C1876" s="31" t="n">
        <x:v>350583</x:v>
      </x:c>
      <x:c r="D1876" s="22" t="str">
        <x:v>南安市</x:v>
      </x:c>
      <x:c r="E1876" s="22" t="str">
        <x:v>农用地</x:v>
      </x:c>
      <x:c r="F1876" s="22" t="str">
        <x:v>水域及水利设施</x:v>
      </x:c>
      <x:c r="G1876" s="32" t="str">
        <x:v>1107</x:v>
      </x:c>
      <x:c r="H1876" s="32" t="str">
        <x:v>1107</x:v>
      </x:c>
      <x:c r="I1876" s="22" t="str">
        <x:v>沟渠</x:v>
      </x:c>
      <x:c r="J1876" s="22" t="str">
        <x:v>农业生态</x:v>
      </x:c>
      <x:c r="K1876" s="32" t="str"/>
      <x:c r="L1876" s="22" t="str">
        <x:v>不适用/未标注</x:v>
      </x:c>
      <x:c r="M1876" s="33" t="n">
        <x:v>5039170.5</x:v>
      </x:c>
      <x:c r="N1876" s="33" t="n">
        <x:v>503.91705</x:v>
      </x:c>
      <x:c r="O1876" s="22" t="str">
        <x:v>公顷</x:v>
      </x:c>
      <x:c r="P1876" s="22" t="str">
        <x:v>未提供（单期横截面）</x:v>
      </x:c>
      <x:c r="Q1876" s="23" t="n">
        <x:v>4855</x:v>
      </x:c>
    </x:row>
    <x:row r="1877">
      <x:c r="A1877" s="30" t="n">
        <x:v>350500</x:v>
      </x:c>
      <x:c r="B1877" s="22" t="str">
        <x:v>泉州市</x:v>
      </x:c>
      <x:c r="C1877" s="31" t="n">
        <x:v>350583</x:v>
      </x:c>
      <x:c r="D1877" s="22" t="str">
        <x:v>南安市</x:v>
      </x:c>
      <x:c r="E1877" s="22" t="str">
        <x:v>农用地</x:v>
      </x:c>
      <x:c r="F1877" s="22" t="str">
        <x:v>水域及水利设施</x:v>
      </x:c>
      <x:c r="G1877" s="32" t="str">
        <x:v>1107A</x:v>
      </x:c>
      <x:c r="H1877" s="32" t="str">
        <x:v>1107</x:v>
      </x:c>
      <x:c r="I1877" s="22" t="str">
        <x:v>干渠</x:v>
      </x:c>
      <x:c r="J1877" s="22" t="str">
        <x:v>农业生态</x:v>
      </x:c>
      <x:c r="K1877" s="32" t="str"/>
      <x:c r="L1877" s="22" t="str">
        <x:v>不适用/未标注</x:v>
      </x:c>
      <x:c r="M1877" s="33" t="n">
        <x:v>24573.48</x:v>
      </x:c>
      <x:c r="N1877" s="33" t="n">
        <x:v>2.457348</x:v>
      </x:c>
      <x:c r="O1877" s="22" t="str">
        <x:v>公顷</x:v>
      </x:c>
      <x:c r="P1877" s="22" t="str">
        <x:v>未提供（单期横截面）</x:v>
      </x:c>
      <x:c r="Q1877" s="23" t="n">
        <x:v>4856</x:v>
      </x:c>
    </x:row>
    <x:row r="1878">
      <x:c r="A1878" s="30" t="n">
        <x:v>350500</x:v>
      </x:c>
      <x:c r="B1878" s="22" t="str">
        <x:v>泉州市</x:v>
      </x:c>
      <x:c r="C1878" s="31" t="n">
        <x:v>350583</x:v>
      </x:c>
      <x:c r="D1878" s="22" t="str">
        <x:v>南安市</x:v>
      </x:c>
      <x:c r="E1878" s="22" t="str">
        <x:v>农用地</x:v>
      </x:c>
      <x:c r="F1878" s="22" t="str">
        <x:v>其他农用地</x:v>
      </x:c>
      <x:c r="G1878" s="32" t="str">
        <x:v>1202</x:v>
      </x:c>
      <x:c r="H1878" s="32" t="str">
        <x:v>1202</x:v>
      </x:c>
      <x:c r="I1878" s="22" t="str">
        <x:v>设施农用地</x:v>
      </x:c>
      <x:c r="J1878" s="22" t="str">
        <x:v>农业生态</x:v>
      </x:c>
      <x:c r="K1878" s="32" t="str"/>
      <x:c r="L1878" s="22" t="str">
        <x:v>不适用/未标注</x:v>
      </x:c>
      <x:c r="M1878" s="33" t="n">
        <x:v>6722652.339999997</x:v>
      </x:c>
      <x:c r="N1878" s="33" t="n">
        <x:v>672.2652339999997</x:v>
      </x:c>
      <x:c r="O1878" s="22" t="str">
        <x:v>公顷</x:v>
      </x:c>
      <x:c r="P1878" s="22" t="str">
        <x:v>未提供（单期横截面）</x:v>
      </x:c>
      <x:c r="Q1878" s="23" t="n">
        <x:v>4857</x:v>
      </x:c>
    </x:row>
    <x:row r="1879">
      <x:c r="A1879" s="30" t="n">
        <x:v>350500</x:v>
      </x:c>
      <x:c r="B1879" s="22" t="str">
        <x:v>泉州市</x:v>
      </x:c>
      <x:c r="C1879" s="31" t="n">
        <x:v>350583</x:v>
      </x:c>
      <x:c r="D1879" s="22" t="str">
        <x:v>南安市</x:v>
      </x:c>
      <x:c r="E1879" s="22" t="str">
        <x:v>农用地</x:v>
      </x:c>
      <x:c r="F1879" s="22" t="str">
        <x:v>耕地</x:v>
      </x:c>
      <x:c r="G1879" s="32" t="str">
        <x:v>101</x:v>
      </x:c>
      <x:c r="H1879" s="32" t="str">
        <x:v>101</x:v>
      </x:c>
      <x:c r="I1879" s="22" t="str">
        <x:v>水田</x:v>
      </x:c>
      <x:c r="J1879" s="22" t="str">
        <x:v>农业生态</x:v>
      </x:c>
      <x:c r="K1879" s="32" t="str">
        <x:v>201</x:v>
      </x:c>
      <x:c r="L1879" s="22" t="str">
        <x:v>城市范围</x:v>
      </x:c>
      <x:c r="M1879" s="33" t="n">
        <x:v>48585.79</x:v>
      </x:c>
      <x:c r="N1879" s="33" t="n">
        <x:v>4.858579</x:v>
      </x:c>
      <x:c r="O1879" s="22" t="str">
        <x:v>公顷</x:v>
      </x:c>
      <x:c r="P1879" s="22" t="str">
        <x:v>未提供（单期横截面）</x:v>
      </x:c>
      <x:c r="Q1879" s="23" t="n">
        <x:v>4858</x:v>
      </x:c>
    </x:row>
    <x:row r="1880">
      <x:c r="A1880" s="30" t="n">
        <x:v>350500</x:v>
      </x:c>
      <x:c r="B1880" s="22" t="str">
        <x:v>泉州市</x:v>
      </x:c>
      <x:c r="C1880" s="31" t="n">
        <x:v>350583</x:v>
      </x:c>
      <x:c r="D1880" s="22" t="str">
        <x:v>南安市</x:v>
      </x:c>
      <x:c r="E1880" s="22" t="str">
        <x:v>农用地</x:v>
      </x:c>
      <x:c r="F1880" s="22" t="str">
        <x:v>耕地</x:v>
      </x:c>
      <x:c r="G1880" s="32" t="str">
        <x:v>102</x:v>
      </x:c>
      <x:c r="H1880" s="32" t="str">
        <x:v>102</x:v>
      </x:c>
      <x:c r="I1880" s="22" t="str">
        <x:v>水浇地</x:v>
      </x:c>
      <x:c r="J1880" s="22" t="str">
        <x:v>农业生态</x:v>
      </x:c>
      <x:c r="K1880" s="32" t="str">
        <x:v>201</x:v>
      </x:c>
      <x:c r="L1880" s="22" t="str">
        <x:v>城市范围</x:v>
      </x:c>
      <x:c r="M1880" s="33" t="n">
        <x:v>12832.589999999998</x:v>
      </x:c>
      <x:c r="N1880" s="33" t="n">
        <x:v>1.283259</x:v>
      </x:c>
      <x:c r="O1880" s="22" t="str">
        <x:v>公顷</x:v>
      </x:c>
      <x:c r="P1880" s="22" t="str">
        <x:v>未提供（单期横截面）</x:v>
      </x:c>
      <x:c r="Q1880" s="23" t="n">
        <x:v>4859</x:v>
      </x:c>
    </x:row>
    <x:row r="1881">
      <x:c r="A1881" s="30" t="n">
        <x:v>350500</x:v>
      </x:c>
      <x:c r="B1881" s="22" t="str">
        <x:v>泉州市</x:v>
      </x:c>
      <x:c r="C1881" s="31" t="n">
        <x:v>350583</x:v>
      </x:c>
      <x:c r="D1881" s="22" t="str">
        <x:v>南安市</x:v>
      </x:c>
      <x:c r="E1881" s="22" t="str">
        <x:v>农用地</x:v>
      </x:c>
      <x:c r="F1881" s="22" t="str">
        <x:v>耕地</x:v>
      </x:c>
      <x:c r="G1881" s="32" t="str">
        <x:v>103</x:v>
      </x:c>
      <x:c r="H1881" s="32" t="str">
        <x:v>103</x:v>
      </x:c>
      <x:c r="I1881" s="22" t="str">
        <x:v>旱地</x:v>
      </x:c>
      <x:c r="J1881" s="22" t="str">
        <x:v>农业生态</x:v>
      </x:c>
      <x:c r="K1881" s="32" t="str">
        <x:v>201</x:v>
      </x:c>
      <x:c r="L1881" s="22" t="str">
        <x:v>城市范围</x:v>
      </x:c>
      <x:c r="M1881" s="33" t="n">
        <x:v>100465.76999999999</x:v>
      </x:c>
      <x:c r="N1881" s="33" t="n">
        <x:v>10.046577</x:v>
      </x:c>
      <x:c r="O1881" s="22" t="str">
        <x:v>公顷</x:v>
      </x:c>
      <x:c r="P1881" s="22" t="str">
        <x:v>未提供（单期横截面）</x:v>
      </x:c>
      <x:c r="Q1881" s="23" t="n">
        <x:v>4860</x:v>
      </x:c>
    </x:row>
    <x:row r="1882">
      <x:c r="A1882" s="30" t="n">
        <x:v>350500</x:v>
      </x:c>
      <x:c r="B1882" s="22" t="str">
        <x:v>泉州市</x:v>
      </x:c>
      <x:c r="C1882" s="31" t="n">
        <x:v>350583</x:v>
      </x:c>
      <x:c r="D1882" s="22" t="str">
        <x:v>南安市</x:v>
      </x:c>
      <x:c r="E1882" s="22" t="str">
        <x:v>农用地</x:v>
      </x:c>
      <x:c r="F1882" s="22" t="str">
        <x:v>园地</x:v>
      </x:c>
      <x:c r="G1882" s="32" t="str">
        <x:v>201</x:v>
      </x:c>
      <x:c r="H1882" s="32" t="str">
        <x:v>201</x:v>
      </x:c>
      <x:c r="I1882" s="22" t="str">
        <x:v>果园</x:v>
      </x:c>
      <x:c r="J1882" s="22" t="str">
        <x:v>农业生态</x:v>
      </x:c>
      <x:c r="K1882" s="32" t="str">
        <x:v>201</x:v>
      </x:c>
      <x:c r="L1882" s="22" t="str">
        <x:v>城市范围</x:v>
      </x:c>
      <x:c r="M1882" s="33" t="n">
        <x:v>28891.000000000007</x:v>
      </x:c>
      <x:c r="N1882" s="33" t="n">
        <x:v>2.889100000000001</x:v>
      </x:c>
      <x:c r="O1882" s="22" t="str">
        <x:v>公顷</x:v>
      </x:c>
      <x:c r="P1882" s="22" t="str">
        <x:v>未提供（单期横截面）</x:v>
      </x:c>
      <x:c r="Q1882" s="23" t="n">
        <x:v>4861</x:v>
      </x:c>
    </x:row>
    <x:row r="1883">
      <x:c r="A1883" s="30" t="n">
        <x:v>350500</x:v>
      </x:c>
      <x:c r="B1883" s="22" t="str">
        <x:v>泉州市</x:v>
      </x:c>
      <x:c r="C1883" s="31" t="n">
        <x:v>350583</x:v>
      </x:c>
      <x:c r="D1883" s="22" t="str">
        <x:v>南安市</x:v>
      </x:c>
      <x:c r="E1883" s="22" t="str">
        <x:v>农用地</x:v>
      </x:c>
      <x:c r="F1883" s="22" t="str">
        <x:v>园地</x:v>
      </x:c>
      <x:c r="G1883" s="32" t="str">
        <x:v>204</x:v>
      </x:c>
      <x:c r="H1883" s="32" t="str">
        <x:v>204</x:v>
      </x:c>
      <x:c r="I1883" s="22" t="str">
        <x:v>其他园地</x:v>
      </x:c>
      <x:c r="J1883" s="22" t="str">
        <x:v>农业生态</x:v>
      </x:c>
      <x:c r="K1883" s="32" t="str">
        <x:v>201</x:v>
      </x:c>
      <x:c r="L1883" s="22" t="str">
        <x:v>城市范围</x:v>
      </x:c>
      <x:c r="M1883" s="33" t="n">
        <x:v>2615.96</x:v>
      </x:c>
      <x:c r="N1883" s="33" t="n">
        <x:v>0.261596</x:v>
      </x:c>
      <x:c r="O1883" s="22" t="str">
        <x:v>公顷</x:v>
      </x:c>
      <x:c r="P1883" s="22" t="str">
        <x:v>未提供（单期横截面）</x:v>
      </x:c>
      <x:c r="Q1883" s="23" t="n">
        <x:v>4862</x:v>
      </x:c>
    </x:row>
    <x:row r="1884">
      <x:c r="A1884" s="30" t="n">
        <x:v>350500</x:v>
      </x:c>
      <x:c r="B1884" s="22" t="str">
        <x:v>泉州市</x:v>
      </x:c>
      <x:c r="C1884" s="31" t="n">
        <x:v>350583</x:v>
      </x:c>
      <x:c r="D1884" s="22" t="str">
        <x:v>南安市</x:v>
      </x:c>
      <x:c r="E1884" s="22" t="str">
        <x:v>农用地</x:v>
      </x:c>
      <x:c r="F1884" s="22" t="str">
        <x:v>林地</x:v>
      </x:c>
      <x:c r="G1884" s="32" t="str">
        <x:v>301</x:v>
      </x:c>
      <x:c r="H1884" s="32" t="str">
        <x:v>301</x:v>
      </x:c>
      <x:c r="I1884" s="22" t="str">
        <x:v>乔木林地</x:v>
      </x:c>
      <x:c r="J1884" s="22" t="str">
        <x:v>农业生态</x:v>
      </x:c>
      <x:c r="K1884" s="32" t="str">
        <x:v>201</x:v>
      </x:c>
      <x:c r="L1884" s="22" t="str">
        <x:v>城市范围</x:v>
      </x:c>
      <x:c r="M1884" s="33" t="n">
        <x:v>105153.46999999997</x:v>
      </x:c>
      <x:c r="N1884" s="33" t="n">
        <x:v>10.515346999999997</x:v>
      </x:c>
      <x:c r="O1884" s="22" t="str">
        <x:v>公顷</x:v>
      </x:c>
      <x:c r="P1884" s="22" t="str">
        <x:v>未提供（单期横截面）</x:v>
      </x:c>
      <x:c r="Q1884" s="23" t="n">
        <x:v>4863</x:v>
      </x:c>
    </x:row>
    <x:row r="1885">
      <x:c r="A1885" s="30" t="n">
        <x:v>350500</x:v>
      </x:c>
      <x:c r="B1885" s="22" t="str">
        <x:v>泉州市</x:v>
      </x:c>
      <x:c r="C1885" s="31" t="n">
        <x:v>350583</x:v>
      </x:c>
      <x:c r="D1885" s="22" t="str">
        <x:v>南安市</x:v>
      </x:c>
      <x:c r="E1885" s="22" t="str">
        <x:v>农用地</x:v>
      </x:c>
      <x:c r="F1885" s="22" t="str">
        <x:v>林地</x:v>
      </x:c>
      <x:c r="G1885" s="32" t="str">
        <x:v>305</x:v>
      </x:c>
      <x:c r="H1885" s="32" t="str">
        <x:v>305</x:v>
      </x:c>
      <x:c r="I1885" s="22" t="str">
        <x:v>灌木林地</x:v>
      </x:c>
      <x:c r="J1885" s="22" t="str">
        <x:v>农业生态</x:v>
      </x:c>
      <x:c r="K1885" s="32" t="str">
        <x:v>201</x:v>
      </x:c>
      <x:c r="L1885" s="22" t="str">
        <x:v>城市范围</x:v>
      </x:c>
      <x:c r="M1885" s="33" t="n">
        <x:v>27843.37</x:v>
      </x:c>
      <x:c r="N1885" s="33" t="n">
        <x:v>2.784337</x:v>
      </x:c>
      <x:c r="O1885" s="22" t="str">
        <x:v>公顷</x:v>
      </x:c>
      <x:c r="P1885" s="22" t="str">
        <x:v>未提供（单期横截面）</x:v>
      </x:c>
      <x:c r="Q1885" s="23" t="n">
        <x:v>4864</x:v>
      </x:c>
    </x:row>
    <x:row r="1886">
      <x:c r="A1886" s="30" t="n">
        <x:v>350500</x:v>
      </x:c>
      <x:c r="B1886" s="22" t="str">
        <x:v>泉州市</x:v>
      </x:c>
      <x:c r="C1886" s="31" t="n">
        <x:v>350583</x:v>
      </x:c>
      <x:c r="D1886" s="22" t="str">
        <x:v>南安市</x:v>
      </x:c>
      <x:c r="E1886" s="22" t="str">
        <x:v>农用地</x:v>
      </x:c>
      <x:c r="F1886" s="22" t="str">
        <x:v>林地</x:v>
      </x:c>
      <x:c r="G1886" s="32" t="str">
        <x:v>307</x:v>
      </x:c>
      <x:c r="H1886" s="32" t="str">
        <x:v>307</x:v>
      </x:c>
      <x:c r="I1886" s="22" t="str">
        <x:v>其他林地</x:v>
      </x:c>
      <x:c r="J1886" s="22" t="str">
        <x:v>农业生态</x:v>
      </x:c>
      <x:c r="K1886" s="32" t="str">
        <x:v>201</x:v>
      </x:c>
      <x:c r="L1886" s="22" t="str">
        <x:v>城市范围</x:v>
      </x:c>
      <x:c r="M1886" s="33" t="n">
        <x:v>8517.77</x:v>
      </x:c>
      <x:c r="N1886" s="33" t="n">
        <x:v>0.851777</x:v>
      </x:c>
      <x:c r="O1886" s="22" t="str">
        <x:v>公顷</x:v>
      </x:c>
      <x:c r="P1886" s="22" t="str">
        <x:v>未提供（单期横截面）</x:v>
      </x:c>
      <x:c r="Q1886" s="23" t="n">
        <x:v>4865</x:v>
      </x:c>
    </x:row>
    <x:row r="1887">
      <x:c r="A1887" s="30" t="n">
        <x:v>350500</x:v>
      </x:c>
      <x:c r="B1887" s="22" t="str">
        <x:v>泉州市</x:v>
      </x:c>
      <x:c r="C1887" s="31" t="n">
        <x:v>350583</x:v>
      </x:c>
      <x:c r="D1887" s="22" t="str">
        <x:v>南安市</x:v>
      </x:c>
      <x:c r="E1887" s="22" t="str">
        <x:v>农用地</x:v>
      </x:c>
      <x:c r="F1887" s="22" t="str">
        <x:v>其他农用地</x:v>
      </x:c>
      <x:c r="G1887" s="32" t="str">
        <x:v>1006</x:v>
      </x:c>
      <x:c r="H1887" s="32" t="str">
        <x:v>1006</x:v>
      </x:c>
      <x:c r="I1887" s="22" t="str">
        <x:v>农村道路</x:v>
      </x:c>
      <x:c r="J1887" s="22" t="str">
        <x:v>农业生态</x:v>
      </x:c>
      <x:c r="K1887" s="32" t="str">
        <x:v>201</x:v>
      </x:c>
      <x:c r="L1887" s="22" t="str">
        <x:v>城市范围</x:v>
      </x:c>
      <x:c r="M1887" s="33" t="n">
        <x:v>342.99</x:v>
      </x:c>
      <x:c r="N1887" s="33" t="n">
        <x:v>0.034299</x:v>
      </x:c>
      <x:c r="O1887" s="22" t="str">
        <x:v>公顷</x:v>
      </x:c>
      <x:c r="P1887" s="22" t="str">
        <x:v>未提供（单期横截面）</x:v>
      </x:c>
      <x:c r="Q1887" s="23" t="n">
        <x:v>4866</x:v>
      </x:c>
    </x:row>
    <x:row r="1888">
      <x:c r="A1888" s="30" t="n">
        <x:v>350500</x:v>
      </x:c>
      <x:c r="B1888" s="22" t="str">
        <x:v>泉州市</x:v>
      </x:c>
      <x:c r="C1888" s="31" t="n">
        <x:v>350583</x:v>
      </x:c>
      <x:c r="D1888" s="22" t="str">
        <x:v>南安市</x:v>
      </x:c>
      <x:c r="E1888" s="22" t="str">
        <x:v>农用地</x:v>
      </x:c>
      <x:c r="F1888" s="22" t="str">
        <x:v>水域及水利设施</x:v>
      </x:c>
      <x:c r="G1888" s="32" t="str">
        <x:v>1104</x:v>
      </x:c>
      <x:c r="H1888" s="32" t="str">
        <x:v>1104</x:v>
      </x:c>
      <x:c r="I1888" s="22" t="str">
        <x:v>坑塘水面</x:v>
      </x:c>
      <x:c r="J1888" s="22" t="str">
        <x:v>农业生态</x:v>
      </x:c>
      <x:c r="K1888" s="32" t="str">
        <x:v>201</x:v>
      </x:c>
      <x:c r="L1888" s="22" t="str">
        <x:v>城市范围</x:v>
      </x:c>
      <x:c r="M1888" s="33" t="n">
        <x:v>30187.720000000005</x:v>
      </x:c>
      <x:c r="N1888" s="33" t="n">
        <x:v>3.0187720000000007</x:v>
      </x:c>
      <x:c r="O1888" s="22" t="str">
        <x:v>公顷</x:v>
      </x:c>
      <x:c r="P1888" s="22" t="str">
        <x:v>未提供（单期横截面）</x:v>
      </x:c>
      <x:c r="Q1888" s="23" t="n">
        <x:v>4867</x:v>
      </x:c>
    </x:row>
    <x:row r="1889">
      <x:c r="A1889" s="30" t="n">
        <x:v>350500</x:v>
      </x:c>
      <x:c r="B1889" s="22" t="str">
        <x:v>泉州市</x:v>
      </x:c>
      <x:c r="C1889" s="31" t="n">
        <x:v>350583</x:v>
      </x:c>
      <x:c r="D1889" s="22" t="str">
        <x:v>南安市</x:v>
      </x:c>
      <x:c r="E1889" s="22" t="str">
        <x:v>农用地</x:v>
      </x:c>
      <x:c r="F1889" s="22" t="str">
        <x:v>水域及水利设施</x:v>
      </x:c>
      <x:c r="G1889" s="32" t="str">
        <x:v>1107</x:v>
      </x:c>
      <x:c r="H1889" s="32" t="str">
        <x:v>1107</x:v>
      </x:c>
      <x:c r="I1889" s="22" t="str">
        <x:v>沟渠</x:v>
      </x:c>
      <x:c r="J1889" s="22" t="str">
        <x:v>农业生态</x:v>
      </x:c>
      <x:c r="K1889" s="32" t="str">
        <x:v>201</x:v>
      </x:c>
      <x:c r="L1889" s="22" t="str">
        <x:v>城市范围</x:v>
      </x:c>
      <x:c r="M1889" s="33" t="n">
        <x:v>23223.87</x:v>
      </x:c>
      <x:c r="N1889" s="33" t="n">
        <x:v>2.322387</x:v>
      </x:c>
      <x:c r="O1889" s="22" t="str">
        <x:v>公顷</x:v>
      </x:c>
      <x:c r="P1889" s="22" t="str">
        <x:v>未提供（单期横截面）</x:v>
      </x:c>
      <x:c r="Q1889" s="23" t="n">
        <x:v>4868</x:v>
      </x:c>
    </x:row>
    <x:row r="1890">
      <x:c r="A1890" s="30" t="n">
        <x:v>350500</x:v>
      </x:c>
      <x:c r="B1890" s="22" t="str">
        <x:v>泉州市</x:v>
      </x:c>
      <x:c r="C1890" s="31" t="n">
        <x:v>350583</x:v>
      </x:c>
      <x:c r="D1890" s="22" t="str">
        <x:v>南安市</x:v>
      </x:c>
      <x:c r="E1890" s="22" t="str">
        <x:v>农用地</x:v>
      </x:c>
      <x:c r="F1890" s="22" t="str">
        <x:v>其他农用地</x:v>
      </x:c>
      <x:c r="G1890" s="32" t="str">
        <x:v>1202</x:v>
      </x:c>
      <x:c r="H1890" s="32" t="str">
        <x:v>1202</x:v>
      </x:c>
      <x:c r="I1890" s="22" t="str">
        <x:v>设施农用地</x:v>
      </x:c>
      <x:c r="J1890" s="22" t="str">
        <x:v>农业生态</x:v>
      </x:c>
      <x:c r="K1890" s="32" t="str">
        <x:v>201</x:v>
      </x:c>
      <x:c r="L1890" s="22" t="str">
        <x:v>城市范围</x:v>
      </x:c>
      <x:c r="M1890" s="33" t="n">
        <x:v>361.57</x:v>
      </x:c>
      <x:c r="N1890" s="33" t="n">
        <x:v>0.036157</x:v>
      </x:c>
      <x:c r="O1890" s="22" t="str">
        <x:v>公顷</x:v>
      </x:c>
      <x:c r="P1890" s="22" t="str">
        <x:v>未提供（单期横截面）</x:v>
      </x:c>
      <x:c r="Q1890" s="23" t="n">
        <x:v>4869</x:v>
      </x:c>
    </x:row>
    <x:row r="1891">
      <x:c r="A1891" s="30" t="n">
        <x:v>350500</x:v>
      </x:c>
      <x:c r="B1891" s="22" t="str">
        <x:v>泉州市</x:v>
      </x:c>
      <x:c r="C1891" s="31" t="n">
        <x:v>350583</x:v>
      </x:c>
      <x:c r="D1891" s="22" t="str">
        <x:v>南安市</x:v>
      </x:c>
      <x:c r="E1891" s="22" t="str">
        <x:v>农用地</x:v>
      </x:c>
      <x:c r="F1891" s="22" t="str">
        <x:v>耕地</x:v>
      </x:c>
      <x:c r="G1891" s="32" t="str">
        <x:v>101</x:v>
      </x:c>
      <x:c r="H1891" s="32" t="str">
        <x:v>101</x:v>
      </x:c>
      <x:c r="I1891" s="22" t="str">
        <x:v>水田</x:v>
      </x:c>
      <x:c r="J1891" s="22" t="str">
        <x:v>农业生态</x:v>
      </x:c>
      <x:c r="K1891" s="32" t="str">
        <x:v>202</x:v>
      </x:c>
      <x:c r="L1891" s="22" t="str">
        <x:v>建制镇范围</x:v>
      </x:c>
      <x:c r="M1891" s="33" t="n">
        <x:v>808635.16</x:v>
      </x:c>
      <x:c r="N1891" s="33" t="n">
        <x:v>80.863516</x:v>
      </x:c>
      <x:c r="O1891" s="22" t="str">
        <x:v>公顷</x:v>
      </x:c>
      <x:c r="P1891" s="22" t="str">
        <x:v>未提供（单期横截面）</x:v>
      </x:c>
      <x:c r="Q1891" s="23" t="n">
        <x:v>4870</x:v>
      </x:c>
    </x:row>
    <x:row r="1892">
      <x:c r="A1892" s="30" t="n">
        <x:v>350500</x:v>
      </x:c>
      <x:c r="B1892" s="22" t="str">
        <x:v>泉州市</x:v>
      </x:c>
      <x:c r="C1892" s="31" t="n">
        <x:v>350583</x:v>
      </x:c>
      <x:c r="D1892" s="22" t="str">
        <x:v>南安市</x:v>
      </x:c>
      <x:c r="E1892" s="22" t="str">
        <x:v>农用地</x:v>
      </x:c>
      <x:c r="F1892" s="22" t="str">
        <x:v>耕地</x:v>
      </x:c>
      <x:c r="G1892" s="32" t="str">
        <x:v>102</x:v>
      </x:c>
      <x:c r="H1892" s="32" t="str">
        <x:v>102</x:v>
      </x:c>
      <x:c r="I1892" s="22" t="str">
        <x:v>水浇地</x:v>
      </x:c>
      <x:c r="J1892" s="22" t="str">
        <x:v>农业生态</x:v>
      </x:c>
      <x:c r="K1892" s="32" t="str">
        <x:v>202</x:v>
      </x:c>
      <x:c r="L1892" s="22" t="str">
        <x:v>建制镇范围</x:v>
      </x:c>
      <x:c r="M1892" s="33" t="n">
        <x:v>47594.19</x:v>
      </x:c>
      <x:c r="N1892" s="33" t="n">
        <x:v>4.759419</x:v>
      </x:c>
      <x:c r="O1892" s="22" t="str">
        <x:v>公顷</x:v>
      </x:c>
      <x:c r="P1892" s="22" t="str">
        <x:v>未提供（单期横截面）</x:v>
      </x:c>
      <x:c r="Q1892" s="23" t="n">
        <x:v>4871</x:v>
      </x:c>
    </x:row>
    <x:row r="1893">
      <x:c r="A1893" s="30" t="n">
        <x:v>350500</x:v>
      </x:c>
      <x:c r="B1893" s="22" t="str">
        <x:v>泉州市</x:v>
      </x:c>
      <x:c r="C1893" s="31" t="n">
        <x:v>350583</x:v>
      </x:c>
      <x:c r="D1893" s="22" t="str">
        <x:v>南安市</x:v>
      </x:c>
      <x:c r="E1893" s="22" t="str">
        <x:v>农用地</x:v>
      </x:c>
      <x:c r="F1893" s="22" t="str">
        <x:v>耕地</x:v>
      </x:c>
      <x:c r="G1893" s="32" t="str">
        <x:v>103</x:v>
      </x:c>
      <x:c r="H1893" s="32" t="str">
        <x:v>103</x:v>
      </x:c>
      <x:c r="I1893" s="22" t="str">
        <x:v>旱地</x:v>
      </x:c>
      <x:c r="J1893" s="22" t="str">
        <x:v>农业生态</x:v>
      </x:c>
      <x:c r="K1893" s="32" t="str">
        <x:v>202</x:v>
      </x:c>
      <x:c r="L1893" s="22" t="str">
        <x:v>建制镇范围</x:v>
      </x:c>
      <x:c r="M1893" s="33" t="n">
        <x:v>415045.85</x:v>
      </x:c>
      <x:c r="N1893" s="33" t="n">
        <x:v>41.504585</x:v>
      </x:c>
      <x:c r="O1893" s="22" t="str">
        <x:v>公顷</x:v>
      </x:c>
      <x:c r="P1893" s="22" t="str">
        <x:v>未提供（单期横截面）</x:v>
      </x:c>
      <x:c r="Q1893" s="23" t="n">
        <x:v>4872</x:v>
      </x:c>
    </x:row>
    <x:row r="1894">
      <x:c r="A1894" s="30" t="n">
        <x:v>350500</x:v>
      </x:c>
      <x:c r="B1894" s="22" t="str">
        <x:v>泉州市</x:v>
      </x:c>
      <x:c r="C1894" s="31" t="n">
        <x:v>350583</x:v>
      </x:c>
      <x:c r="D1894" s="22" t="str">
        <x:v>南安市</x:v>
      </x:c>
      <x:c r="E1894" s="22" t="str">
        <x:v>农用地</x:v>
      </x:c>
      <x:c r="F1894" s="22" t="str">
        <x:v>园地</x:v>
      </x:c>
      <x:c r="G1894" s="32" t="str">
        <x:v>201</x:v>
      </x:c>
      <x:c r="H1894" s="32" t="str">
        <x:v>201</x:v>
      </x:c>
      <x:c r="I1894" s="22" t="str">
        <x:v>果园</x:v>
      </x:c>
      <x:c r="J1894" s="22" t="str">
        <x:v>农业生态</x:v>
      </x:c>
      <x:c r="K1894" s="32" t="str">
        <x:v>202</x:v>
      </x:c>
      <x:c r="L1894" s="22" t="str">
        <x:v>建制镇范围</x:v>
      </x:c>
      <x:c r="M1894" s="33" t="n">
        <x:v>218663.50000000006</x:v>
      </x:c>
      <x:c r="N1894" s="33" t="n">
        <x:v>21.866350000000004</x:v>
      </x:c>
      <x:c r="O1894" s="22" t="str">
        <x:v>公顷</x:v>
      </x:c>
      <x:c r="P1894" s="22" t="str">
        <x:v>未提供（单期横截面）</x:v>
      </x:c>
      <x:c r="Q1894" s="23" t="n">
        <x:v>4873</x:v>
      </x:c>
    </x:row>
    <x:row r="1895">
      <x:c r="A1895" s="30" t="n">
        <x:v>350500</x:v>
      </x:c>
      <x:c r="B1895" s="22" t="str">
        <x:v>泉州市</x:v>
      </x:c>
      <x:c r="C1895" s="31" t="n">
        <x:v>350583</x:v>
      </x:c>
      <x:c r="D1895" s="22" t="str">
        <x:v>南安市</x:v>
      </x:c>
      <x:c r="E1895" s="22" t="str">
        <x:v>农用地</x:v>
      </x:c>
      <x:c r="F1895" s="22" t="str">
        <x:v>园地</x:v>
      </x:c>
      <x:c r="G1895" s="32" t="str">
        <x:v>0201K</x:v>
      </x:c>
      <x:c r="H1895" s="32" t="str">
        <x:v>201</x:v>
      </x:c>
      <x:c r="I1895" s="22" t="str">
        <x:v>可调整果园</x:v>
      </x:c>
      <x:c r="J1895" s="22" t="str">
        <x:v>农业生态</x:v>
      </x:c>
      <x:c r="K1895" s="32" t="str">
        <x:v>202</x:v>
      </x:c>
      <x:c r="L1895" s="22" t="str">
        <x:v>建制镇范围</x:v>
      </x:c>
      <x:c r="M1895" s="33" t="n">
        <x:v>4037.1200000000003</x:v>
      </x:c>
      <x:c r="N1895" s="33" t="n">
        <x:v>0.403712</x:v>
      </x:c>
      <x:c r="O1895" s="22" t="str">
        <x:v>公顷</x:v>
      </x:c>
      <x:c r="P1895" s="22" t="str">
        <x:v>未提供（单期横截面）</x:v>
      </x:c>
      <x:c r="Q1895" s="23" t="n">
        <x:v>4874</x:v>
      </x:c>
    </x:row>
    <x:row r="1896">
      <x:c r="A1896" s="30" t="n">
        <x:v>350500</x:v>
      </x:c>
      <x:c r="B1896" s="22" t="str">
        <x:v>泉州市</x:v>
      </x:c>
      <x:c r="C1896" s="31" t="n">
        <x:v>350583</x:v>
      </x:c>
      <x:c r="D1896" s="22" t="str">
        <x:v>南安市</x:v>
      </x:c>
      <x:c r="E1896" s="22" t="str">
        <x:v>农用地</x:v>
      </x:c>
      <x:c r="F1896" s="22" t="str">
        <x:v>园地</x:v>
      </x:c>
      <x:c r="G1896" s="32" t="str">
        <x:v>204</x:v>
      </x:c>
      <x:c r="H1896" s="32" t="str">
        <x:v>204</x:v>
      </x:c>
      <x:c r="I1896" s="22" t="str">
        <x:v>其他园地</x:v>
      </x:c>
      <x:c r="J1896" s="22" t="str">
        <x:v>农业生态</x:v>
      </x:c>
      <x:c r="K1896" s="32" t="str">
        <x:v>202</x:v>
      </x:c>
      <x:c r="L1896" s="22" t="str">
        <x:v>建制镇范围</x:v>
      </x:c>
      <x:c r="M1896" s="33" t="n">
        <x:v>6270.860000000001</x:v>
      </x:c>
      <x:c r="N1896" s="33" t="n">
        <x:v>0.627086</x:v>
      </x:c>
      <x:c r="O1896" s="22" t="str">
        <x:v>公顷</x:v>
      </x:c>
      <x:c r="P1896" s="22" t="str">
        <x:v>未提供（单期横截面）</x:v>
      </x:c>
      <x:c r="Q1896" s="23" t="n">
        <x:v>4875</x:v>
      </x:c>
    </x:row>
    <x:row r="1897">
      <x:c r="A1897" s="30" t="n">
        <x:v>350500</x:v>
      </x:c>
      <x:c r="B1897" s="22" t="str">
        <x:v>泉州市</x:v>
      </x:c>
      <x:c r="C1897" s="31" t="n">
        <x:v>350583</x:v>
      </x:c>
      <x:c r="D1897" s="22" t="str">
        <x:v>南安市</x:v>
      </x:c>
      <x:c r="E1897" s="22" t="str">
        <x:v>农用地</x:v>
      </x:c>
      <x:c r="F1897" s="22" t="str">
        <x:v>林地</x:v>
      </x:c>
      <x:c r="G1897" s="32" t="str">
        <x:v>301</x:v>
      </x:c>
      <x:c r="H1897" s="32" t="str">
        <x:v>301</x:v>
      </x:c>
      <x:c r="I1897" s="22" t="str">
        <x:v>乔木林地</x:v>
      </x:c>
      <x:c r="J1897" s="22" t="str">
        <x:v>农业生态</x:v>
      </x:c>
      <x:c r="K1897" s="32" t="str">
        <x:v>202</x:v>
      </x:c>
      <x:c r="L1897" s="22" t="str">
        <x:v>建制镇范围</x:v>
      </x:c>
      <x:c r="M1897" s="33" t="n">
        <x:v>350944.0100000001</x:v>
      </x:c>
      <x:c r="N1897" s="33" t="n">
        <x:v>35.09440100000001</x:v>
      </x:c>
      <x:c r="O1897" s="22" t="str">
        <x:v>公顷</x:v>
      </x:c>
      <x:c r="P1897" s="22" t="str">
        <x:v>未提供（单期横截面）</x:v>
      </x:c>
      <x:c r="Q1897" s="23" t="n">
        <x:v>4876</x:v>
      </x:c>
    </x:row>
    <x:row r="1898">
      <x:c r="A1898" s="30" t="n">
        <x:v>350500</x:v>
      </x:c>
      <x:c r="B1898" s="22" t="str">
        <x:v>泉州市</x:v>
      </x:c>
      <x:c r="C1898" s="31" t="n">
        <x:v>350583</x:v>
      </x:c>
      <x:c r="D1898" s="22" t="str">
        <x:v>南安市</x:v>
      </x:c>
      <x:c r="E1898" s="22" t="str">
        <x:v>农用地</x:v>
      </x:c>
      <x:c r="F1898" s="22" t="str">
        <x:v>林地</x:v>
      </x:c>
      <x:c r="G1898" s="32" t="str">
        <x:v>302</x:v>
      </x:c>
      <x:c r="H1898" s="32" t="str">
        <x:v>302</x:v>
      </x:c>
      <x:c r="I1898" s="22" t="str">
        <x:v>竹林地</x:v>
      </x:c>
      <x:c r="J1898" s="22" t="str">
        <x:v>农业生态</x:v>
      </x:c>
      <x:c r="K1898" s="32" t="str">
        <x:v>202</x:v>
      </x:c>
      <x:c r="L1898" s="22" t="str">
        <x:v>建制镇范围</x:v>
      </x:c>
      <x:c r="M1898" s="33" t="n">
        <x:v>5936.4</x:v>
      </x:c>
      <x:c r="N1898" s="33" t="n">
        <x:v>0.59364</x:v>
      </x:c>
      <x:c r="O1898" s="22" t="str">
        <x:v>公顷</x:v>
      </x:c>
      <x:c r="P1898" s="22" t="str">
        <x:v>未提供（单期横截面）</x:v>
      </x:c>
      <x:c r="Q1898" s="23" t="n">
        <x:v>4877</x:v>
      </x:c>
    </x:row>
    <x:row r="1899">
      <x:c r="A1899" s="30" t="n">
        <x:v>350500</x:v>
      </x:c>
      <x:c r="B1899" s="22" t="str">
        <x:v>泉州市</x:v>
      </x:c>
      <x:c r="C1899" s="31" t="n">
        <x:v>350583</x:v>
      </x:c>
      <x:c r="D1899" s="22" t="str">
        <x:v>南安市</x:v>
      </x:c>
      <x:c r="E1899" s="22" t="str">
        <x:v>农用地</x:v>
      </x:c>
      <x:c r="F1899" s="22" t="str">
        <x:v>林地</x:v>
      </x:c>
      <x:c r="G1899" s="32" t="str">
        <x:v>305</x:v>
      </x:c>
      <x:c r="H1899" s="32" t="str">
        <x:v>305</x:v>
      </x:c>
      <x:c r="I1899" s="22" t="str">
        <x:v>灌木林地</x:v>
      </x:c>
      <x:c r="J1899" s="22" t="str">
        <x:v>农业生态</x:v>
      </x:c>
      <x:c r="K1899" s="32" t="str">
        <x:v>202</x:v>
      </x:c>
      <x:c r="L1899" s="22" t="str">
        <x:v>建制镇范围</x:v>
      </x:c>
      <x:c r="M1899" s="33" t="n">
        <x:v>63653.31999999999</x:v>
      </x:c>
      <x:c r="N1899" s="33" t="n">
        <x:v>6.3653319999999995</x:v>
      </x:c>
      <x:c r="O1899" s="22" t="str">
        <x:v>公顷</x:v>
      </x:c>
      <x:c r="P1899" s="22" t="str">
        <x:v>未提供（单期横截面）</x:v>
      </x:c>
      <x:c r="Q1899" s="23" t="n">
        <x:v>4878</x:v>
      </x:c>
    </x:row>
    <x:row r="1900">
      <x:c r="A1900" s="30" t="n">
        <x:v>350500</x:v>
      </x:c>
      <x:c r="B1900" s="22" t="str">
        <x:v>泉州市</x:v>
      </x:c>
      <x:c r="C1900" s="31" t="n">
        <x:v>350583</x:v>
      </x:c>
      <x:c r="D1900" s="22" t="str">
        <x:v>南安市</x:v>
      </x:c>
      <x:c r="E1900" s="22" t="str">
        <x:v>农用地</x:v>
      </x:c>
      <x:c r="F1900" s="22" t="str">
        <x:v>林地</x:v>
      </x:c>
      <x:c r="G1900" s="32" t="str">
        <x:v>307</x:v>
      </x:c>
      <x:c r="H1900" s="32" t="str">
        <x:v>307</x:v>
      </x:c>
      <x:c r="I1900" s="22" t="str">
        <x:v>其他林地</x:v>
      </x:c>
      <x:c r="J1900" s="22" t="str">
        <x:v>农业生态</x:v>
      </x:c>
      <x:c r="K1900" s="32" t="str">
        <x:v>202</x:v>
      </x:c>
      <x:c r="L1900" s="22" t="str">
        <x:v>建制镇范围</x:v>
      </x:c>
      <x:c r="M1900" s="33" t="n">
        <x:v>45458.25999999999</x:v>
      </x:c>
      <x:c r="N1900" s="33" t="n">
        <x:v>4.545825999999999</x:v>
      </x:c>
      <x:c r="O1900" s="22" t="str">
        <x:v>公顷</x:v>
      </x:c>
      <x:c r="P1900" s="22" t="str">
        <x:v>未提供（单期横截面）</x:v>
      </x:c>
      <x:c r="Q1900" s="23" t="n">
        <x:v>4879</x:v>
      </x:c>
    </x:row>
    <x:row r="1901">
      <x:c r="A1901" s="30" t="n">
        <x:v>350500</x:v>
      </x:c>
      <x:c r="B1901" s="22" t="str">
        <x:v>泉州市</x:v>
      </x:c>
      <x:c r="C1901" s="31" t="n">
        <x:v>350583</x:v>
      </x:c>
      <x:c r="D1901" s="22" t="str">
        <x:v>南安市</x:v>
      </x:c>
      <x:c r="E1901" s="22" t="str">
        <x:v>农用地</x:v>
      </x:c>
      <x:c r="F1901" s="22" t="str">
        <x:v>其他农用地</x:v>
      </x:c>
      <x:c r="G1901" s="32" t="str">
        <x:v>1006</x:v>
      </x:c>
      <x:c r="H1901" s="32" t="str">
        <x:v>1006</x:v>
      </x:c>
      <x:c r="I1901" s="22" t="str">
        <x:v>农村道路</x:v>
      </x:c>
      <x:c r="J1901" s="22" t="str">
        <x:v>农业生态</x:v>
      </x:c>
      <x:c r="K1901" s="32" t="str">
        <x:v>202</x:v>
      </x:c>
      <x:c r="L1901" s="22" t="str">
        <x:v>建制镇范围</x:v>
      </x:c>
      <x:c r="M1901" s="33" t="n">
        <x:v>2903.74</x:v>
      </x:c>
      <x:c r="N1901" s="33" t="n">
        <x:v>0.29037399999999997</x:v>
      </x:c>
      <x:c r="O1901" s="22" t="str">
        <x:v>公顷</x:v>
      </x:c>
      <x:c r="P1901" s="22" t="str">
        <x:v>未提供（单期横截面）</x:v>
      </x:c>
      <x:c r="Q1901" s="23" t="n">
        <x:v>4880</x:v>
      </x:c>
    </x:row>
    <x:row r="1902">
      <x:c r="A1902" s="30" t="n">
        <x:v>350500</x:v>
      </x:c>
      <x:c r="B1902" s="22" t="str">
        <x:v>泉州市</x:v>
      </x:c>
      <x:c r="C1902" s="31" t="n">
        <x:v>350583</x:v>
      </x:c>
      <x:c r="D1902" s="22" t="str">
        <x:v>南安市</x:v>
      </x:c>
      <x:c r="E1902" s="22" t="str">
        <x:v>农用地</x:v>
      </x:c>
      <x:c r="F1902" s="22" t="str">
        <x:v>水域及水利设施</x:v>
      </x:c>
      <x:c r="G1902" s="32" t="str">
        <x:v>1104</x:v>
      </x:c>
      <x:c r="H1902" s="32" t="str">
        <x:v>1104</x:v>
      </x:c>
      <x:c r="I1902" s="22" t="str">
        <x:v>坑塘水面</x:v>
      </x:c>
      <x:c r="J1902" s="22" t="str">
        <x:v>农业生态</x:v>
      </x:c>
      <x:c r="K1902" s="32" t="str">
        <x:v>202</x:v>
      </x:c>
      <x:c r="L1902" s="22" t="str">
        <x:v>建制镇范围</x:v>
      </x:c>
      <x:c r="M1902" s="33" t="n">
        <x:v>71899.24</x:v>
      </x:c>
      <x:c r="N1902" s="33" t="n">
        <x:v>7.189924</x:v>
      </x:c>
      <x:c r="O1902" s="22" t="str">
        <x:v>公顷</x:v>
      </x:c>
      <x:c r="P1902" s="22" t="str">
        <x:v>未提供（单期横截面）</x:v>
      </x:c>
      <x:c r="Q1902" s="23" t="n">
        <x:v>4881</x:v>
      </x:c>
    </x:row>
    <x:row r="1903">
      <x:c r="A1903" s="30" t="n">
        <x:v>350500</x:v>
      </x:c>
      <x:c r="B1903" s="22" t="str">
        <x:v>泉州市</x:v>
      </x:c>
      <x:c r="C1903" s="31" t="n">
        <x:v>350583</x:v>
      </x:c>
      <x:c r="D1903" s="22" t="str">
        <x:v>南安市</x:v>
      </x:c>
      <x:c r="E1903" s="22" t="str">
        <x:v>农用地</x:v>
      </x:c>
      <x:c r="F1903" s="22" t="str">
        <x:v>水域及水利设施</x:v>
      </x:c>
      <x:c r="G1903" s="32" t="str">
        <x:v>1104K</x:v>
      </x:c>
      <x:c r="H1903" s="32" t="str">
        <x:v>1104</x:v>
      </x:c>
      <x:c r="I1903" s="22" t="str">
        <x:v>可调整养殖坑塘</x:v>
      </x:c>
      <x:c r="J1903" s="22" t="str">
        <x:v>农业生态</x:v>
      </x:c>
      <x:c r="K1903" s="32" t="str">
        <x:v>202</x:v>
      </x:c>
      <x:c r="L1903" s="22" t="str">
        <x:v>建制镇范围</x:v>
      </x:c>
      <x:c r="M1903" s="33" t="n">
        <x:v>1087.65</x:v>
      </x:c>
      <x:c r="N1903" s="33" t="n">
        <x:v>0.10876500000000001</x:v>
      </x:c>
      <x:c r="O1903" s="22" t="str">
        <x:v>公顷</x:v>
      </x:c>
      <x:c r="P1903" s="22" t="str">
        <x:v>未提供（单期横截面）</x:v>
      </x:c>
      <x:c r="Q1903" s="23" t="n">
        <x:v>4882</x:v>
      </x:c>
    </x:row>
    <x:row r="1904">
      <x:c r="A1904" s="30" t="n">
        <x:v>350500</x:v>
      </x:c>
      <x:c r="B1904" s="22" t="str">
        <x:v>泉州市</x:v>
      </x:c>
      <x:c r="C1904" s="31" t="n">
        <x:v>350583</x:v>
      </x:c>
      <x:c r="D1904" s="22" t="str">
        <x:v>南安市</x:v>
      </x:c>
      <x:c r="E1904" s="22" t="str">
        <x:v>农用地</x:v>
      </x:c>
      <x:c r="F1904" s="22" t="str">
        <x:v>水域及水利设施</x:v>
      </x:c>
      <x:c r="G1904" s="32" t="str">
        <x:v>1107</x:v>
      </x:c>
      <x:c r="H1904" s="32" t="str">
        <x:v>1107</x:v>
      </x:c>
      <x:c r="I1904" s="22" t="str">
        <x:v>沟渠</x:v>
      </x:c>
      <x:c r="J1904" s="22" t="str">
        <x:v>农业生态</x:v>
      </x:c>
      <x:c r="K1904" s="32" t="str">
        <x:v>202</x:v>
      </x:c>
      <x:c r="L1904" s="22" t="str">
        <x:v>建制镇范围</x:v>
      </x:c>
      <x:c r="M1904" s="33" t="n">
        <x:v>14628.960000000001</x:v>
      </x:c>
      <x:c r="N1904" s="33" t="n">
        <x:v>1.4628960000000002</x:v>
      </x:c>
      <x:c r="O1904" s="22" t="str">
        <x:v>公顷</x:v>
      </x:c>
      <x:c r="P1904" s="22" t="str">
        <x:v>未提供（单期横截面）</x:v>
      </x:c>
      <x:c r="Q1904" s="23" t="n">
        <x:v>4883</x:v>
      </x:c>
    </x:row>
    <x:row r="1905">
      <x:c r="A1905" s="30" t="n">
        <x:v>350500</x:v>
      </x:c>
      <x:c r="B1905" s="22" t="str">
        <x:v>泉州市</x:v>
      </x:c>
      <x:c r="C1905" s="31" t="n">
        <x:v>350583</x:v>
      </x:c>
      <x:c r="D1905" s="22" t="str">
        <x:v>南安市</x:v>
      </x:c>
      <x:c r="E1905" s="22" t="str">
        <x:v>农用地</x:v>
      </x:c>
      <x:c r="F1905" s="22" t="str">
        <x:v>其他农用地</x:v>
      </x:c>
      <x:c r="G1905" s="32" t="str">
        <x:v>1202</x:v>
      </x:c>
      <x:c r="H1905" s="32" t="str">
        <x:v>1202</x:v>
      </x:c>
      <x:c r="I1905" s="22" t="str">
        <x:v>设施农用地</x:v>
      </x:c>
      <x:c r="J1905" s="22" t="str">
        <x:v>农业生态</x:v>
      </x:c>
      <x:c r="K1905" s="32" t="str">
        <x:v>202</x:v>
      </x:c>
      <x:c r="L1905" s="22" t="str">
        <x:v>建制镇范围</x:v>
      </x:c>
      <x:c r="M1905" s="33" t="n">
        <x:v>8086.5599999999995</x:v>
      </x:c>
      <x:c r="N1905" s="33" t="n">
        <x:v>0.8086559999999999</x:v>
      </x:c>
      <x:c r="O1905" s="22" t="str">
        <x:v>公顷</x:v>
      </x:c>
      <x:c r="P1905" s="22" t="str">
        <x:v>未提供（单期横截面）</x:v>
      </x:c>
      <x:c r="Q1905" s="23" t="n">
        <x:v>4884</x:v>
      </x:c>
    </x:row>
    <x:row r="1906">
      <x:c r="A1906" s="30" t="n">
        <x:v>350500</x:v>
      </x:c>
      <x:c r="B1906" s="22" t="str">
        <x:v>泉州市</x:v>
      </x:c>
      <x:c r="C1906" s="31" t="n">
        <x:v>350583</x:v>
      </x:c>
      <x:c r="D1906" s="22" t="str">
        <x:v>南安市</x:v>
      </x:c>
      <x:c r="E1906" s="22" t="str">
        <x:v>农用地</x:v>
      </x:c>
      <x:c r="F1906" s="22" t="str">
        <x:v>耕地</x:v>
      </x:c>
      <x:c r="G1906" s="32" t="str">
        <x:v>101</x:v>
      </x:c>
      <x:c r="H1906" s="32" t="str">
        <x:v>101</x:v>
      </x:c>
      <x:c r="I1906" s="22" t="str">
        <x:v>水田</x:v>
      </x:c>
      <x:c r="J1906" s="22" t="str">
        <x:v>农业生态</x:v>
      </x:c>
      <x:c r="K1906" s="32" t="str">
        <x:v>203</x:v>
      </x:c>
      <x:c r="L1906" s="22" t="str">
        <x:v>村庄范围</x:v>
      </x:c>
      <x:c r="M1906" s="33" t="n">
        <x:v>1612546.0200000007</x:v>
      </x:c>
      <x:c r="N1906" s="33" t="n">
        <x:v>161.25460200000006</x:v>
      </x:c>
      <x:c r="O1906" s="22" t="str">
        <x:v>公顷</x:v>
      </x:c>
      <x:c r="P1906" s="22" t="str">
        <x:v>未提供（单期横截面）</x:v>
      </x:c>
      <x:c r="Q1906" s="23" t="n">
        <x:v>4885</x:v>
      </x:c>
    </x:row>
    <x:row r="1907">
      <x:c r="A1907" s="30" t="n">
        <x:v>350500</x:v>
      </x:c>
      <x:c r="B1907" s="22" t="str">
        <x:v>泉州市</x:v>
      </x:c>
      <x:c r="C1907" s="31" t="n">
        <x:v>350583</x:v>
      </x:c>
      <x:c r="D1907" s="22" t="str">
        <x:v>南安市</x:v>
      </x:c>
      <x:c r="E1907" s="22" t="str">
        <x:v>农用地</x:v>
      </x:c>
      <x:c r="F1907" s="22" t="str">
        <x:v>耕地</x:v>
      </x:c>
      <x:c r="G1907" s="32" t="str">
        <x:v>102</x:v>
      </x:c>
      <x:c r="H1907" s="32" t="str">
        <x:v>102</x:v>
      </x:c>
      <x:c r="I1907" s="22" t="str">
        <x:v>水浇地</x:v>
      </x:c>
      <x:c r="J1907" s="22" t="str">
        <x:v>农业生态</x:v>
      </x:c>
      <x:c r="K1907" s="32" t="str">
        <x:v>203</x:v>
      </x:c>
      <x:c r="L1907" s="22" t="str">
        <x:v>村庄范围</x:v>
      </x:c>
      <x:c r="M1907" s="33" t="n">
        <x:v>110182.81</x:v>
      </x:c>
      <x:c r="N1907" s="33" t="n">
        <x:v>11.018281</x:v>
      </x:c>
      <x:c r="O1907" s="22" t="str">
        <x:v>公顷</x:v>
      </x:c>
      <x:c r="P1907" s="22" t="str">
        <x:v>未提供（单期横截面）</x:v>
      </x:c>
      <x:c r="Q1907" s="23" t="n">
        <x:v>4886</x:v>
      </x:c>
    </x:row>
    <x:row r="1908">
      <x:c r="A1908" s="30" t="n">
        <x:v>350500</x:v>
      </x:c>
      <x:c r="B1908" s="22" t="str">
        <x:v>泉州市</x:v>
      </x:c>
      <x:c r="C1908" s="31" t="n">
        <x:v>350583</x:v>
      </x:c>
      <x:c r="D1908" s="22" t="str">
        <x:v>南安市</x:v>
      </x:c>
      <x:c r="E1908" s="22" t="str">
        <x:v>农用地</x:v>
      </x:c>
      <x:c r="F1908" s="22" t="str">
        <x:v>耕地</x:v>
      </x:c>
      <x:c r="G1908" s="32" t="str">
        <x:v>103</x:v>
      </x:c>
      <x:c r="H1908" s="32" t="str">
        <x:v>103</x:v>
      </x:c>
      <x:c r="I1908" s="22" t="str">
        <x:v>旱地</x:v>
      </x:c>
      <x:c r="J1908" s="22" t="str">
        <x:v>农业生态</x:v>
      </x:c>
      <x:c r="K1908" s="32" t="str">
        <x:v>203</x:v>
      </x:c>
      <x:c r="L1908" s="22" t="str">
        <x:v>村庄范围</x:v>
      </x:c>
      <x:c r="M1908" s="33" t="n">
        <x:v>634116.3100000005</x:v>
      </x:c>
      <x:c r="N1908" s="33" t="n">
        <x:v>63.41163100000005</x:v>
      </x:c>
      <x:c r="O1908" s="22" t="str">
        <x:v>公顷</x:v>
      </x:c>
      <x:c r="P1908" s="22" t="str">
        <x:v>未提供（单期横截面）</x:v>
      </x:c>
      <x:c r="Q1908" s="23" t="n">
        <x:v>4887</x:v>
      </x:c>
    </x:row>
    <x:row r="1909">
      <x:c r="A1909" s="30" t="n">
        <x:v>350500</x:v>
      </x:c>
      <x:c r="B1909" s="22" t="str">
        <x:v>泉州市</x:v>
      </x:c>
      <x:c r="C1909" s="31" t="n">
        <x:v>350583</x:v>
      </x:c>
      <x:c r="D1909" s="22" t="str">
        <x:v>南安市</x:v>
      </x:c>
      <x:c r="E1909" s="22" t="str">
        <x:v>农用地</x:v>
      </x:c>
      <x:c r="F1909" s="22" t="str">
        <x:v>园地</x:v>
      </x:c>
      <x:c r="G1909" s="32" t="str">
        <x:v>201</x:v>
      </x:c>
      <x:c r="H1909" s="32" t="str">
        <x:v>201</x:v>
      </x:c>
      <x:c r="I1909" s="22" t="str">
        <x:v>果园</x:v>
      </x:c>
      <x:c r="J1909" s="22" t="str">
        <x:v>农业生态</x:v>
      </x:c>
      <x:c r="K1909" s="32" t="str">
        <x:v>203</x:v>
      </x:c>
      <x:c r="L1909" s="22" t="str">
        <x:v>村庄范围</x:v>
      </x:c>
      <x:c r="M1909" s="33" t="n">
        <x:v>549005.2000000001</x:v>
      </x:c>
      <x:c r="N1909" s="33" t="n">
        <x:v>54.90052000000001</x:v>
      </x:c>
      <x:c r="O1909" s="22" t="str">
        <x:v>公顷</x:v>
      </x:c>
      <x:c r="P1909" s="22" t="str">
        <x:v>未提供（单期横截面）</x:v>
      </x:c>
      <x:c r="Q1909" s="23" t="n">
        <x:v>4888</x:v>
      </x:c>
    </x:row>
    <x:row r="1910">
      <x:c r="A1910" s="30" t="n">
        <x:v>350500</x:v>
      </x:c>
      <x:c r="B1910" s="22" t="str">
        <x:v>泉州市</x:v>
      </x:c>
      <x:c r="C1910" s="31" t="n">
        <x:v>350583</x:v>
      </x:c>
      <x:c r="D1910" s="22" t="str">
        <x:v>南安市</x:v>
      </x:c>
      <x:c r="E1910" s="22" t="str">
        <x:v>农用地</x:v>
      </x:c>
      <x:c r="F1910" s="22" t="str">
        <x:v>园地</x:v>
      </x:c>
      <x:c r="G1910" s="32" t="str">
        <x:v>0201K</x:v>
      </x:c>
      <x:c r="H1910" s="32" t="str">
        <x:v>201</x:v>
      </x:c>
      <x:c r="I1910" s="22" t="str">
        <x:v>可调整果园</x:v>
      </x:c>
      <x:c r="J1910" s="22" t="str">
        <x:v>农业生态</x:v>
      </x:c>
      <x:c r="K1910" s="32" t="str">
        <x:v>203</x:v>
      </x:c>
      <x:c r="L1910" s="22" t="str">
        <x:v>村庄范围</x:v>
      </x:c>
      <x:c r="M1910" s="33" t="n">
        <x:v>22447.420000000006</x:v>
      </x:c>
      <x:c r="N1910" s="33" t="n">
        <x:v>2.2447420000000005</x:v>
      </x:c>
      <x:c r="O1910" s="22" t="str">
        <x:v>公顷</x:v>
      </x:c>
      <x:c r="P1910" s="22" t="str">
        <x:v>未提供（单期横截面）</x:v>
      </x:c>
      <x:c r="Q1910" s="23" t="n">
        <x:v>4889</x:v>
      </x:c>
    </x:row>
    <x:row r="1911">
      <x:c r="A1911" s="30" t="n">
        <x:v>350500</x:v>
      </x:c>
      <x:c r="B1911" s="22" t="str">
        <x:v>泉州市</x:v>
      </x:c>
      <x:c r="C1911" s="31" t="n">
        <x:v>350583</x:v>
      </x:c>
      <x:c r="D1911" s="22" t="str">
        <x:v>南安市</x:v>
      </x:c>
      <x:c r="E1911" s="22" t="str">
        <x:v>农用地</x:v>
      </x:c>
      <x:c r="F1911" s="22" t="str">
        <x:v>园地</x:v>
      </x:c>
      <x:c r="G1911" s="32" t="str">
        <x:v>202</x:v>
      </x:c>
      <x:c r="H1911" s="32" t="str">
        <x:v>202</x:v>
      </x:c>
      <x:c r="I1911" s="22" t="str">
        <x:v>茶园</x:v>
      </x:c>
      <x:c r="J1911" s="22" t="str">
        <x:v>农业生态</x:v>
      </x:c>
      <x:c r="K1911" s="32" t="str">
        <x:v>203</x:v>
      </x:c>
      <x:c r="L1911" s="22" t="str">
        <x:v>村庄范围</x:v>
      </x:c>
      <x:c r="M1911" s="33" t="n">
        <x:v>874.2</x:v>
      </x:c>
      <x:c r="N1911" s="33" t="n">
        <x:v>0.08742</x:v>
      </x:c>
      <x:c r="O1911" s="22" t="str">
        <x:v>公顷</x:v>
      </x:c>
      <x:c r="P1911" s="22" t="str">
        <x:v>未提供（单期横截面）</x:v>
      </x:c>
      <x:c r="Q1911" s="23" t="n">
        <x:v>4890</x:v>
      </x:c>
    </x:row>
    <x:row r="1912">
      <x:c r="A1912" s="30" t="n">
        <x:v>350500</x:v>
      </x:c>
      <x:c r="B1912" s="22" t="str">
        <x:v>泉州市</x:v>
      </x:c>
      <x:c r="C1912" s="31" t="n">
        <x:v>350583</x:v>
      </x:c>
      <x:c r="D1912" s="22" t="str">
        <x:v>南安市</x:v>
      </x:c>
      <x:c r="E1912" s="22" t="str">
        <x:v>农用地</x:v>
      </x:c>
      <x:c r="F1912" s="22" t="str">
        <x:v>园地</x:v>
      </x:c>
      <x:c r="G1912" s="32" t="str">
        <x:v>204</x:v>
      </x:c>
      <x:c r="H1912" s="32" t="str">
        <x:v>204</x:v>
      </x:c>
      <x:c r="I1912" s="22" t="str">
        <x:v>其他园地</x:v>
      </x:c>
      <x:c r="J1912" s="22" t="str">
        <x:v>农业生态</x:v>
      </x:c>
      <x:c r="K1912" s="32" t="str">
        <x:v>203</x:v>
      </x:c>
      <x:c r="L1912" s="22" t="str">
        <x:v>村庄范围</x:v>
      </x:c>
      <x:c r="M1912" s="33" t="n">
        <x:v>30929.43</x:v>
      </x:c>
      <x:c r="N1912" s="33" t="n">
        <x:v>3.092943</x:v>
      </x:c>
      <x:c r="O1912" s="22" t="str">
        <x:v>公顷</x:v>
      </x:c>
      <x:c r="P1912" s="22" t="str">
        <x:v>未提供（单期横截面）</x:v>
      </x:c>
      <x:c r="Q1912" s="23" t="n">
        <x:v>4891</x:v>
      </x:c>
    </x:row>
    <x:row r="1913">
      <x:c r="A1913" s="30" t="n">
        <x:v>350500</x:v>
      </x:c>
      <x:c r="B1913" s="22" t="str">
        <x:v>泉州市</x:v>
      </x:c>
      <x:c r="C1913" s="31" t="n">
        <x:v>350583</x:v>
      </x:c>
      <x:c r="D1913" s="22" t="str">
        <x:v>南安市</x:v>
      </x:c>
      <x:c r="E1913" s="22" t="str">
        <x:v>农用地</x:v>
      </x:c>
      <x:c r="F1913" s="22" t="str">
        <x:v>林地</x:v>
      </x:c>
      <x:c r="G1913" s="32" t="str">
        <x:v>301</x:v>
      </x:c>
      <x:c r="H1913" s="32" t="str">
        <x:v>301</x:v>
      </x:c>
      <x:c r="I1913" s="22" t="str">
        <x:v>乔木林地</x:v>
      </x:c>
      <x:c r="J1913" s="22" t="str">
        <x:v>农业生态</x:v>
      </x:c>
      <x:c r="K1913" s="32" t="str">
        <x:v>203</x:v>
      </x:c>
      <x:c r="L1913" s="22" t="str">
        <x:v>村庄范围</x:v>
      </x:c>
      <x:c r="M1913" s="33" t="n">
        <x:v>274753.74000000005</x:v>
      </x:c>
      <x:c r="N1913" s="33" t="n">
        <x:v>27.475374000000006</x:v>
      </x:c>
      <x:c r="O1913" s="22" t="str">
        <x:v>公顷</x:v>
      </x:c>
      <x:c r="P1913" s="22" t="str">
        <x:v>未提供（单期横截面）</x:v>
      </x:c>
      <x:c r="Q1913" s="23" t="n">
        <x:v>4892</x:v>
      </x:c>
    </x:row>
    <x:row r="1914">
      <x:c r="A1914" s="30" t="n">
        <x:v>350500</x:v>
      </x:c>
      <x:c r="B1914" s="22" t="str">
        <x:v>泉州市</x:v>
      </x:c>
      <x:c r="C1914" s="31" t="n">
        <x:v>350583</x:v>
      </x:c>
      <x:c r="D1914" s="22" t="str">
        <x:v>南安市</x:v>
      </x:c>
      <x:c r="E1914" s="22" t="str">
        <x:v>农用地</x:v>
      </x:c>
      <x:c r="F1914" s="22" t="str">
        <x:v>林地</x:v>
      </x:c>
      <x:c r="G1914" s="32" t="str">
        <x:v>0301K</x:v>
      </x:c>
      <x:c r="H1914" s="32" t="str">
        <x:v>0301</x:v>
      </x:c>
      <x:c r="I1914" s="22" t="str">
        <x:v>可调整乔木林地</x:v>
      </x:c>
      <x:c r="J1914" s="22" t="str">
        <x:v>农业生态</x:v>
      </x:c>
      <x:c r="K1914" s="32" t="str">
        <x:v>203</x:v>
      </x:c>
      <x:c r="L1914" s="22" t="str">
        <x:v>村庄范围</x:v>
      </x:c>
      <x:c r="M1914" s="33" t="n">
        <x:v>584.77</x:v>
      </x:c>
      <x:c r="N1914" s="33" t="n">
        <x:v>0.058477</x:v>
      </x:c>
      <x:c r="O1914" s="22" t="str">
        <x:v>公顷</x:v>
      </x:c>
      <x:c r="P1914" s="22" t="str">
        <x:v>未提供（单期横截面）</x:v>
      </x:c>
      <x:c r="Q1914" s="23" t="n">
        <x:v>4893</x:v>
      </x:c>
    </x:row>
    <x:row r="1915">
      <x:c r="A1915" s="30" t="n">
        <x:v>350500</x:v>
      </x:c>
      <x:c r="B1915" s="22" t="str">
        <x:v>泉州市</x:v>
      </x:c>
      <x:c r="C1915" s="31" t="n">
        <x:v>350583</x:v>
      </x:c>
      <x:c r="D1915" s="22" t="str">
        <x:v>南安市</x:v>
      </x:c>
      <x:c r="E1915" s="22" t="str">
        <x:v>农用地</x:v>
      </x:c>
      <x:c r="F1915" s="22" t="str">
        <x:v>林地</x:v>
      </x:c>
      <x:c r="G1915" s="32" t="str">
        <x:v>302</x:v>
      </x:c>
      <x:c r="H1915" s="32" t="str">
        <x:v>302</x:v>
      </x:c>
      <x:c r="I1915" s="22" t="str">
        <x:v>竹林地</x:v>
      </x:c>
      <x:c r="J1915" s="22" t="str">
        <x:v>农业生态</x:v>
      </x:c>
      <x:c r="K1915" s="32" t="str">
        <x:v>203</x:v>
      </x:c>
      <x:c r="L1915" s="22" t="str">
        <x:v>村庄范围</x:v>
      </x:c>
      <x:c r="M1915" s="33" t="n">
        <x:v>9532.76</x:v>
      </x:c>
      <x:c r="N1915" s="33" t="n">
        <x:v>0.953276</x:v>
      </x:c>
      <x:c r="O1915" s="22" t="str">
        <x:v>公顷</x:v>
      </x:c>
      <x:c r="P1915" s="22" t="str">
        <x:v>未提供（单期横截面）</x:v>
      </x:c>
      <x:c r="Q1915" s="23" t="n">
        <x:v>4894</x:v>
      </x:c>
    </x:row>
    <x:row r="1916">
      <x:c r="A1916" s="30" t="n">
        <x:v>350500</x:v>
      </x:c>
      <x:c r="B1916" s="22" t="str">
        <x:v>泉州市</x:v>
      </x:c>
      <x:c r="C1916" s="31" t="n">
        <x:v>350583</x:v>
      </x:c>
      <x:c r="D1916" s="22" t="str">
        <x:v>南安市</x:v>
      </x:c>
      <x:c r="E1916" s="22" t="str">
        <x:v>农用地</x:v>
      </x:c>
      <x:c r="F1916" s="22" t="str">
        <x:v>林地</x:v>
      </x:c>
      <x:c r="G1916" s="32" t="str">
        <x:v>305</x:v>
      </x:c>
      <x:c r="H1916" s="32" t="str">
        <x:v>305</x:v>
      </x:c>
      <x:c r="I1916" s="22" t="str">
        <x:v>灌木林地</x:v>
      </x:c>
      <x:c r="J1916" s="22" t="str">
        <x:v>农业生态</x:v>
      </x:c>
      <x:c r="K1916" s="32" t="str">
        <x:v>203</x:v>
      </x:c>
      <x:c r="L1916" s="22" t="str">
        <x:v>村庄范围</x:v>
      </x:c>
      <x:c r="M1916" s="33" t="n">
        <x:v>85122.25</x:v>
      </x:c>
      <x:c r="N1916" s="33" t="n">
        <x:v>8.512225</x:v>
      </x:c>
      <x:c r="O1916" s="22" t="str">
        <x:v>公顷</x:v>
      </x:c>
      <x:c r="P1916" s="22" t="str">
        <x:v>未提供（单期横截面）</x:v>
      </x:c>
      <x:c r="Q1916" s="23" t="n">
        <x:v>4895</x:v>
      </x:c>
    </x:row>
    <x:row r="1917">
      <x:c r="A1917" s="30" t="n">
        <x:v>350500</x:v>
      </x:c>
      <x:c r="B1917" s="22" t="str">
        <x:v>泉州市</x:v>
      </x:c>
      <x:c r="C1917" s="31" t="n">
        <x:v>350583</x:v>
      </x:c>
      <x:c r="D1917" s="22" t="str">
        <x:v>南安市</x:v>
      </x:c>
      <x:c r="E1917" s="22" t="str">
        <x:v>农用地</x:v>
      </x:c>
      <x:c r="F1917" s="22" t="str">
        <x:v>林地</x:v>
      </x:c>
      <x:c r="G1917" s="32" t="str">
        <x:v>307</x:v>
      </x:c>
      <x:c r="H1917" s="32" t="str">
        <x:v>307</x:v>
      </x:c>
      <x:c r="I1917" s="22" t="str">
        <x:v>其他林地</x:v>
      </x:c>
      <x:c r="J1917" s="22" t="str">
        <x:v>农业生态</x:v>
      </x:c>
      <x:c r="K1917" s="32" t="str">
        <x:v>203</x:v>
      </x:c>
      <x:c r="L1917" s="22" t="str">
        <x:v>村庄范围</x:v>
      </x:c>
      <x:c r="M1917" s="33" t="n">
        <x:v>51480.96</x:v>
      </x:c>
      <x:c r="N1917" s="33" t="n">
        <x:v>5.148096</x:v>
      </x:c>
      <x:c r="O1917" s="22" t="str">
        <x:v>公顷</x:v>
      </x:c>
      <x:c r="P1917" s="22" t="str">
        <x:v>未提供（单期横截面）</x:v>
      </x:c>
      <x:c r="Q1917" s="23" t="n">
        <x:v>4896</x:v>
      </x:c>
    </x:row>
    <x:row r="1918">
      <x:c r="A1918" s="30" t="n">
        <x:v>350500</x:v>
      </x:c>
      <x:c r="B1918" s="22" t="str">
        <x:v>泉州市</x:v>
      </x:c>
      <x:c r="C1918" s="31" t="n">
        <x:v>350583</x:v>
      </x:c>
      <x:c r="D1918" s="22" t="str">
        <x:v>南安市</x:v>
      </x:c>
      <x:c r="E1918" s="22" t="str">
        <x:v>农用地</x:v>
      </x:c>
      <x:c r="F1918" s="22" t="str">
        <x:v>其他农用地</x:v>
      </x:c>
      <x:c r="G1918" s="32" t="str">
        <x:v>1006</x:v>
      </x:c>
      <x:c r="H1918" s="32" t="str">
        <x:v>1006</x:v>
      </x:c>
      <x:c r="I1918" s="22" t="str">
        <x:v>农村道路</x:v>
      </x:c>
      <x:c r="J1918" s="22" t="str">
        <x:v>农业生态</x:v>
      </x:c>
      <x:c r="K1918" s="32" t="str">
        <x:v>203</x:v>
      </x:c>
      <x:c r="L1918" s="22" t="str">
        <x:v>村庄范围</x:v>
      </x:c>
      <x:c r="M1918" s="33" t="n">
        <x:v>6529.340000000001</x:v>
      </x:c>
      <x:c r="N1918" s="33" t="n">
        <x:v>0.6529340000000001</x:v>
      </x:c>
      <x:c r="O1918" s="22" t="str">
        <x:v>公顷</x:v>
      </x:c>
      <x:c r="P1918" s="22" t="str">
        <x:v>未提供（单期横截面）</x:v>
      </x:c>
      <x:c r="Q1918" s="23" t="n">
        <x:v>4897</x:v>
      </x:c>
    </x:row>
    <x:row r="1919">
      <x:c r="A1919" s="30" t="n">
        <x:v>350500</x:v>
      </x:c>
      <x:c r="B1919" s="22" t="str">
        <x:v>泉州市</x:v>
      </x:c>
      <x:c r="C1919" s="31" t="n">
        <x:v>350583</x:v>
      </x:c>
      <x:c r="D1919" s="22" t="str">
        <x:v>南安市</x:v>
      </x:c>
      <x:c r="E1919" s="22" t="str">
        <x:v>农用地</x:v>
      </x:c>
      <x:c r="F1919" s="22" t="str">
        <x:v>水域及水利设施</x:v>
      </x:c>
      <x:c r="G1919" s="32" t="str">
        <x:v>1104</x:v>
      </x:c>
      <x:c r="H1919" s="32" t="str">
        <x:v>1104</x:v>
      </x:c>
      <x:c r="I1919" s="22" t="str">
        <x:v>坑塘水面</x:v>
      </x:c>
      <x:c r="J1919" s="22" t="str">
        <x:v>农业生态</x:v>
      </x:c>
      <x:c r="K1919" s="32" t="str">
        <x:v>203</x:v>
      </x:c>
      <x:c r="L1919" s="22" t="str">
        <x:v>村庄范围</x:v>
      </x:c>
      <x:c r="M1919" s="33" t="n">
        <x:v>109658.48</x:v>
      </x:c>
      <x:c r="N1919" s="33" t="n">
        <x:v>10.965848</x:v>
      </x:c>
      <x:c r="O1919" s="22" t="str">
        <x:v>公顷</x:v>
      </x:c>
      <x:c r="P1919" s="22" t="str">
        <x:v>未提供（单期横截面）</x:v>
      </x:c>
      <x:c r="Q1919" s="23" t="n">
        <x:v>4898</x:v>
      </x:c>
    </x:row>
    <x:row r="1920">
      <x:c r="A1920" s="30" t="n">
        <x:v>350500</x:v>
      </x:c>
      <x:c r="B1920" s="22" t="str">
        <x:v>泉州市</x:v>
      </x:c>
      <x:c r="C1920" s="31" t="n">
        <x:v>350583</x:v>
      </x:c>
      <x:c r="D1920" s="22" t="str">
        <x:v>南安市</x:v>
      </x:c>
      <x:c r="E1920" s="22" t="str">
        <x:v>农用地</x:v>
      </x:c>
      <x:c r="F1920" s="22" t="str">
        <x:v>水域及水利设施</x:v>
      </x:c>
      <x:c r="G1920" s="32" t="str">
        <x:v>1104A</x:v>
      </x:c>
      <x:c r="H1920" s="32" t="str">
        <x:v>1104</x:v>
      </x:c>
      <x:c r="I1920" s="22" t="str">
        <x:v>养殖坑塘</x:v>
      </x:c>
      <x:c r="J1920" s="22" t="str">
        <x:v>农业生态</x:v>
      </x:c>
      <x:c r="K1920" s="32" t="str">
        <x:v>203</x:v>
      </x:c>
      <x:c r="L1920" s="22" t="str">
        <x:v>村庄范围</x:v>
      </x:c>
      <x:c r="M1920" s="33" t="n">
        <x:v>3482.63</x:v>
      </x:c>
      <x:c r="N1920" s="33" t="n">
        <x:v>0.348263</x:v>
      </x:c>
      <x:c r="O1920" s="22" t="str">
        <x:v>公顷</x:v>
      </x:c>
      <x:c r="P1920" s="22" t="str">
        <x:v>未提供（单期横截面）</x:v>
      </x:c>
      <x:c r="Q1920" s="23" t="n">
        <x:v>4899</x:v>
      </x:c>
    </x:row>
    <x:row r="1921">
      <x:c r="A1921" s="30" t="n">
        <x:v>350500</x:v>
      </x:c>
      <x:c r="B1921" s="22" t="str">
        <x:v>泉州市</x:v>
      </x:c>
      <x:c r="C1921" s="31" t="n">
        <x:v>350583</x:v>
      </x:c>
      <x:c r="D1921" s="22" t="str">
        <x:v>南安市</x:v>
      </x:c>
      <x:c r="E1921" s="22" t="str">
        <x:v>农用地</x:v>
      </x:c>
      <x:c r="F1921" s="22" t="str">
        <x:v>水域及水利设施</x:v>
      </x:c>
      <x:c r="G1921" s="32" t="str">
        <x:v>1104K</x:v>
      </x:c>
      <x:c r="H1921" s="32" t="str">
        <x:v>1104</x:v>
      </x:c>
      <x:c r="I1921" s="22" t="str">
        <x:v>可调整养殖坑塘</x:v>
      </x:c>
      <x:c r="J1921" s="22" t="str">
        <x:v>农业生态</x:v>
      </x:c>
      <x:c r="K1921" s="32" t="str">
        <x:v>203</x:v>
      </x:c>
      <x:c r="L1921" s="22" t="str">
        <x:v>村庄范围</x:v>
      </x:c>
      <x:c r="M1921" s="33" t="n">
        <x:v>3930.3500000000004</x:v>
      </x:c>
      <x:c r="N1921" s="33" t="n">
        <x:v>0.393035</x:v>
      </x:c>
      <x:c r="O1921" s="22" t="str">
        <x:v>公顷</x:v>
      </x:c>
      <x:c r="P1921" s="22" t="str">
        <x:v>未提供（单期横截面）</x:v>
      </x:c>
      <x:c r="Q1921" s="23" t="n">
        <x:v>4900</x:v>
      </x:c>
    </x:row>
    <x:row r="1922">
      <x:c r="A1922" s="30" t="n">
        <x:v>350500</x:v>
      </x:c>
      <x:c r="B1922" s="22" t="str">
        <x:v>泉州市</x:v>
      </x:c>
      <x:c r="C1922" s="31" t="n">
        <x:v>350583</x:v>
      </x:c>
      <x:c r="D1922" s="22" t="str">
        <x:v>南安市</x:v>
      </x:c>
      <x:c r="E1922" s="22" t="str">
        <x:v>农用地</x:v>
      </x:c>
      <x:c r="F1922" s="22" t="str">
        <x:v>水域及水利设施</x:v>
      </x:c>
      <x:c r="G1922" s="32" t="str">
        <x:v>1107</x:v>
      </x:c>
      <x:c r="H1922" s="32" t="str">
        <x:v>1107</x:v>
      </x:c>
      <x:c r="I1922" s="22" t="str">
        <x:v>沟渠</x:v>
      </x:c>
      <x:c r="J1922" s="22" t="str">
        <x:v>农业生态</x:v>
      </x:c>
      <x:c r="K1922" s="32" t="str">
        <x:v>203</x:v>
      </x:c>
      <x:c r="L1922" s="22" t="str">
        <x:v>村庄范围</x:v>
      </x:c>
      <x:c r="M1922" s="33" t="n">
        <x:v>23526.850000000002</x:v>
      </x:c>
      <x:c r="N1922" s="33" t="n">
        <x:v>2.352685</x:v>
      </x:c>
      <x:c r="O1922" s="22" t="str">
        <x:v>公顷</x:v>
      </x:c>
      <x:c r="P1922" s="22" t="str">
        <x:v>未提供（单期横截面）</x:v>
      </x:c>
      <x:c r="Q1922" s="23" t="n">
        <x:v>4901</x:v>
      </x:c>
    </x:row>
    <x:row r="1923">
      <x:c r="A1923" s="30" t="n">
        <x:v>350500</x:v>
      </x:c>
      <x:c r="B1923" s="22" t="str">
        <x:v>泉州市</x:v>
      </x:c>
      <x:c r="C1923" s="31" t="n">
        <x:v>350583</x:v>
      </x:c>
      <x:c r="D1923" s="22" t="str">
        <x:v>南安市</x:v>
      </x:c>
      <x:c r="E1923" s="22" t="str">
        <x:v>农用地</x:v>
      </x:c>
      <x:c r="F1923" s="22" t="str">
        <x:v>其他农用地</x:v>
      </x:c>
      <x:c r="G1923" s="32" t="str">
        <x:v>1202</x:v>
      </x:c>
      <x:c r="H1923" s="32" t="str">
        <x:v>1202</x:v>
      </x:c>
      <x:c r="I1923" s="22" t="str">
        <x:v>设施农用地</x:v>
      </x:c>
      <x:c r="J1923" s="22" t="str">
        <x:v>农业生态</x:v>
      </x:c>
      <x:c r="K1923" s="32" t="str">
        <x:v>203</x:v>
      </x:c>
      <x:c r="L1923" s="22" t="str">
        <x:v>村庄范围</x:v>
      </x:c>
      <x:c r="M1923" s="33" t="n">
        <x:v>18211.859999999993</x:v>
      </x:c>
      <x:c r="N1923" s="33" t="n">
        <x:v>1.8211859999999993</x:v>
      </x:c>
      <x:c r="O1923" s="22" t="str">
        <x:v>公顷</x:v>
      </x:c>
      <x:c r="P1923" s="22" t="str">
        <x:v>未提供（单期横截面）</x:v>
      </x:c>
      <x:c r="Q1923" s="23" t="n">
        <x:v>4902</x:v>
      </x:c>
    </x:row>
    <x:row r="1924">
      <x:c r="A1924" s="30" t="n">
        <x:v>350500</x:v>
      </x:c>
      <x:c r="B1924" s="22" t="str">
        <x:v>泉州市</x:v>
      </x:c>
      <x:c r="C1924" s="31" t="n">
        <x:v>350583</x:v>
      </x:c>
      <x:c r="D1924" s="22" t="str">
        <x:v>南安市</x:v>
      </x:c>
      <x:c r="E1924" s="22" t="str">
        <x:v>农用地</x:v>
      </x:c>
      <x:c r="F1924" s="22" t="str">
        <x:v>园地</x:v>
      </x:c>
      <x:c r="G1924" s="32" t="str">
        <x:v>0201K</x:v>
      </x:c>
      <x:c r="H1924" s="32" t="str">
        <x:v>201</x:v>
      </x:c>
      <x:c r="I1924" s="22" t="str">
        <x:v>可调整果园</x:v>
      </x:c>
      <x:c r="J1924" s="22" t="str">
        <x:v>农业生态</x:v>
      </x:c>
      <x:c r="K1924" s="32" t="str">
        <x:v>204</x:v>
      </x:c>
      <x:c r="L1924" s="22" t="str">
        <x:v>盐田及采矿用地</x:v>
      </x:c>
      <x:c r="M1924" s="33" t="n">
        <x:v>510.39</x:v>
      </x:c>
      <x:c r="N1924" s="33" t="n">
        <x:v>0.051039</x:v>
      </x:c>
      <x:c r="O1924" s="22" t="str">
        <x:v>公顷</x:v>
      </x:c>
      <x:c r="P1924" s="22" t="str">
        <x:v>未提供（单期横截面）</x:v>
      </x:c>
      <x:c r="Q1924" s="23" t="n">
        <x:v>4903</x:v>
      </x:c>
    </x:row>
    <x:row r="1925">
      <x:c r="A1925" s="30" t="n">
        <x:v>350500</x:v>
      </x:c>
      <x:c r="B1925" s="22" t="str">
        <x:v>泉州市</x:v>
      </x:c>
      <x:c r="C1925" s="31" t="n">
        <x:v>350583</x:v>
      </x:c>
      <x:c r="D1925" s="22" t="str">
        <x:v>南安市</x:v>
      </x:c>
      <x:c r="E1925" s="22" t="str">
        <x:v>农用地</x:v>
      </x:c>
      <x:c r="F1925" s="22" t="str">
        <x:v>水域及水利设施</x:v>
      </x:c>
      <x:c r="G1925" s="32" t="str">
        <x:v>1104</x:v>
      </x:c>
      <x:c r="H1925" s="32" t="str">
        <x:v>1104</x:v>
      </x:c>
      <x:c r="I1925" s="22" t="str">
        <x:v>坑塘水面</x:v>
      </x:c>
      <x:c r="J1925" s="22" t="str">
        <x:v>农业生态</x:v>
      </x:c>
      <x:c r="K1925" s="32" t="str">
        <x:v>204</x:v>
      </x:c>
      <x:c r="L1925" s="22" t="str">
        <x:v>盐田及采矿用地</x:v>
      </x:c>
      <x:c r="M1925" s="33" t="n">
        <x:v>6603.32</x:v>
      </x:c>
      <x:c r="N1925" s="33" t="n">
        <x:v>0.6603319999999999</x:v>
      </x:c>
      <x:c r="O1925" s="22" t="str">
        <x:v>公顷</x:v>
      </x:c>
      <x:c r="P1925" s="22" t="str">
        <x:v>未提供（单期横截面）</x:v>
      </x:c>
      <x:c r="Q1925" s="23" t="n">
        <x:v>4904</x:v>
      </x:c>
    </x:row>
    <x:row r="1926">
      <x:c r="A1926" s="30" t="n">
        <x:v>350500</x:v>
      </x:c>
      <x:c r="B1926" s="22" t="str">
        <x:v>泉州市</x:v>
      </x:c>
      <x:c r="C1926" s="31" t="n">
        <x:v>350583</x:v>
      </x:c>
      <x:c r="D1926" s="22" t="str">
        <x:v>南安市</x:v>
      </x:c>
      <x:c r="E1926" s="22" t="str">
        <x:v>未利用地</x:v>
      </x:c>
      <x:c r="F1926" s="22" t="str">
        <x:v>草地</x:v>
      </x:c>
      <x:c r="G1926" s="32" t="str">
        <x:v>404</x:v>
      </x:c>
      <x:c r="H1926" s="32" t="str">
        <x:v>404</x:v>
      </x:c>
      <x:c r="I1926" s="22" t="str">
        <x:v>其他草地</x:v>
      </x:c>
      <x:c r="J1926" s="22" t="str">
        <x:v>农业生态</x:v>
      </x:c>
      <x:c r="K1926" s="32" t="str"/>
      <x:c r="L1926" s="22" t="str">
        <x:v>不适用/未标注</x:v>
      </x:c>
      <x:c r="M1926" s="33" t="n">
        <x:v>13119102.660000004</x:v>
      </x:c>
      <x:c r="N1926" s="33" t="n">
        <x:v>1311.9102660000003</x:v>
      </x:c>
      <x:c r="O1926" s="22" t="str">
        <x:v>公顷</x:v>
      </x:c>
      <x:c r="P1926" s="22" t="str">
        <x:v>未提供（单期横截面）</x:v>
      </x:c>
      <x:c r="Q1926" s="23" t="n">
        <x:v>4905</x:v>
      </x:c>
    </x:row>
    <x:row r="1927">
      <x:c r="A1927" s="30" t="n">
        <x:v>350500</x:v>
      </x:c>
      <x:c r="B1927" s="22" t="str">
        <x:v>泉州市</x:v>
      </x:c>
      <x:c r="C1927" s="31" t="n">
        <x:v>350583</x:v>
      </x:c>
      <x:c r="D1927" s="22" t="str">
        <x:v>南安市</x:v>
      </x:c>
      <x:c r="E1927" s="22" t="str">
        <x:v>未利用地</x:v>
      </x:c>
      <x:c r="F1927" s="22" t="str">
        <x:v>水域及水利设施</x:v>
      </x:c>
      <x:c r="G1927" s="32" t="str">
        <x:v>1101</x:v>
      </x:c>
      <x:c r="H1927" s="32" t="str">
        <x:v>1101</x:v>
      </x:c>
      <x:c r="I1927" s="22" t="str">
        <x:v>河流水面</x:v>
      </x:c>
      <x:c r="J1927" s="22" t="str">
        <x:v>农业生态</x:v>
      </x:c>
      <x:c r="K1927" s="32" t="str"/>
      <x:c r="L1927" s="22" t="str">
        <x:v>不适用/未标注</x:v>
      </x:c>
      <x:c r="M1927" s="33" t="n">
        <x:v>29732386.570000045</x:v>
      </x:c>
      <x:c r="N1927" s="33" t="n">
        <x:v>2973.2386570000044</x:v>
      </x:c>
      <x:c r="O1927" s="22" t="str">
        <x:v>公顷</x:v>
      </x:c>
      <x:c r="P1927" s="22" t="str">
        <x:v>未提供（单期横截面）</x:v>
      </x:c>
      <x:c r="Q1927" s="23" t="n">
        <x:v>4906</x:v>
      </x:c>
    </x:row>
    <x:row r="1928">
      <x:c r="A1928" s="30" t="n">
        <x:v>350500</x:v>
      </x:c>
      <x:c r="B1928" s="22" t="str">
        <x:v>泉州市</x:v>
      </x:c>
      <x:c r="C1928" s="31" t="n">
        <x:v>350583</x:v>
      </x:c>
      <x:c r="D1928" s="22" t="str">
        <x:v>南安市</x:v>
      </x:c>
      <x:c r="E1928" s="22" t="str">
        <x:v>未利用地</x:v>
      </x:c>
      <x:c r="F1928" s="22" t="str">
        <x:v>水域及水利设施</x:v>
      </x:c>
      <x:c r="G1928" s="32" t="str">
        <x:v>1105</x:v>
      </x:c>
      <x:c r="H1928" s="32" t="str">
        <x:v>1105</x:v>
      </x:c>
      <x:c r="I1928" s="22" t="str">
        <x:v>沿海滩涂</x:v>
      </x:c>
      <x:c r="J1928" s="22" t="str">
        <x:v>农业生态</x:v>
      </x:c>
      <x:c r="K1928" s="32" t="str"/>
      <x:c r="L1928" s="22" t="str">
        <x:v>不适用/未标注</x:v>
      </x:c>
      <x:c r="M1928" s="33" t="n">
        <x:v>26234355.25</x:v>
      </x:c>
      <x:c r="N1928" s="33" t="n">
        <x:v>2623.435525</x:v>
      </x:c>
      <x:c r="O1928" s="22" t="str">
        <x:v>公顷</x:v>
      </x:c>
      <x:c r="P1928" s="22" t="str">
        <x:v>未提供（单期横截面）</x:v>
      </x:c>
      <x:c r="Q1928" s="23" t="n">
        <x:v>4907</x:v>
      </x:c>
    </x:row>
    <x:row r="1929">
      <x:c r="A1929" s="30" t="n">
        <x:v>350500</x:v>
      </x:c>
      <x:c r="B1929" s="22" t="str">
        <x:v>泉州市</x:v>
      </x:c>
      <x:c r="C1929" s="31" t="n">
        <x:v>350583</x:v>
      </x:c>
      <x:c r="D1929" s="22" t="str">
        <x:v>南安市</x:v>
      </x:c>
      <x:c r="E1929" s="22" t="str">
        <x:v>未利用地</x:v>
      </x:c>
      <x:c r="F1929" s="22" t="str">
        <x:v>水域及水利设施</x:v>
      </x:c>
      <x:c r="G1929" s="32" t="str">
        <x:v>1106</x:v>
      </x:c>
      <x:c r="H1929" s="32" t="str">
        <x:v>1106</x:v>
      </x:c>
      <x:c r="I1929" s="22" t="str">
        <x:v>内陆滩涂</x:v>
      </x:c>
      <x:c r="J1929" s="22" t="str">
        <x:v>农业生态</x:v>
      </x:c>
      <x:c r="K1929" s="32" t="str"/>
      <x:c r="L1929" s="22" t="str">
        <x:v>不适用/未标注</x:v>
      </x:c>
      <x:c r="M1929" s="33" t="n">
        <x:v>5730860.38</x:v>
      </x:c>
      <x:c r="N1929" s="33" t="n">
        <x:v>573.086038</x:v>
      </x:c>
      <x:c r="O1929" s="22" t="str">
        <x:v>公顷</x:v>
      </x:c>
      <x:c r="P1929" s="22" t="str">
        <x:v>未提供（单期横截面）</x:v>
      </x:c>
      <x:c r="Q1929" s="23" t="n">
        <x:v>4908</x:v>
      </x:c>
    </x:row>
    <x:row r="1930">
      <x:c r="A1930" s="30" t="n">
        <x:v>350500</x:v>
      </x:c>
      <x:c r="B1930" s="22" t="str">
        <x:v>泉州市</x:v>
      </x:c>
      <x:c r="C1930" s="31" t="n">
        <x:v>350583</x:v>
      </x:c>
      <x:c r="D1930" s="22" t="str">
        <x:v>南安市</x:v>
      </x:c>
      <x:c r="E1930" s="22" t="str">
        <x:v>未利用地</x:v>
      </x:c>
      <x:c r="F1930" s="22" t="str">
        <x:v>未利用地</x:v>
      </x:c>
      <x:c r="G1930" s="32" t="str">
        <x:v>1206</x:v>
      </x:c>
      <x:c r="H1930" s="32" t="str">
        <x:v>1206</x:v>
      </x:c>
      <x:c r="I1930" s="22" t="str">
        <x:v>裸土地</x:v>
      </x:c>
      <x:c r="J1930" s="22" t="str">
        <x:v>未利用地</x:v>
      </x:c>
      <x:c r="K1930" s="32" t="str"/>
      <x:c r="L1930" s="22" t="str">
        <x:v>不适用/未标注</x:v>
      </x:c>
      <x:c r="M1930" s="33" t="n">
        <x:v>559378.84</x:v>
      </x:c>
      <x:c r="N1930" s="33" t="n">
        <x:v>55.937884</x:v>
      </x:c>
      <x:c r="O1930" s="22" t="str">
        <x:v>公顷</x:v>
      </x:c>
      <x:c r="P1930" s="22" t="str">
        <x:v>未提供（单期横截面）</x:v>
      </x:c>
      <x:c r="Q1930" s="23" t="n">
        <x:v>4909</x:v>
      </x:c>
    </x:row>
    <x:row r="1931">
      <x:c r="A1931" s="30" t="n">
        <x:v>350500</x:v>
      </x:c>
      <x:c r="B1931" s="22" t="str">
        <x:v>泉州市</x:v>
      </x:c>
      <x:c r="C1931" s="31" t="n">
        <x:v>350583</x:v>
      </x:c>
      <x:c r="D1931" s="22" t="str">
        <x:v>南安市</x:v>
      </x:c>
      <x:c r="E1931" s="22" t="str">
        <x:v>未利用地</x:v>
      </x:c>
      <x:c r="F1931" s="22" t="str">
        <x:v>未利用地</x:v>
      </x:c>
      <x:c r="G1931" s="32" t="str">
        <x:v>1207</x:v>
      </x:c>
      <x:c r="H1931" s="32" t="str">
        <x:v>1207</x:v>
      </x:c>
      <x:c r="I1931" s="22" t="str">
        <x:v>裸岩石砾地</x:v>
      </x:c>
      <x:c r="J1931" s="22" t="str">
        <x:v>未利用地</x:v>
      </x:c>
      <x:c r="K1931" s="32" t="str"/>
      <x:c r="L1931" s="22" t="str">
        <x:v>不适用/未标注</x:v>
      </x:c>
      <x:c r="M1931" s="33" t="n">
        <x:v>2489586.5899999994</x:v>
      </x:c>
      <x:c r="N1931" s="33" t="n">
        <x:v>248.95865899999993</x:v>
      </x:c>
      <x:c r="O1931" s="22" t="str">
        <x:v>公顷</x:v>
      </x:c>
      <x:c r="P1931" s="22" t="str">
        <x:v>未提供（单期横截面）</x:v>
      </x:c>
      <x:c r="Q1931" s="23" t="n">
        <x:v>4910</x:v>
      </x:c>
    </x:row>
    <x:row r="1932">
      <x:c r="A1932" s="30" t="n">
        <x:v>350500</x:v>
      </x:c>
      <x:c r="B1932" s="22" t="str">
        <x:v>泉州市</x:v>
      </x:c>
      <x:c r="C1932" s="31" t="n">
        <x:v>350583</x:v>
      </x:c>
      <x:c r="D1932" s="22" t="str">
        <x:v>南安市</x:v>
      </x:c>
      <x:c r="E1932" s="22" t="str">
        <x:v>未利用地</x:v>
      </x:c>
      <x:c r="F1932" s="22" t="str">
        <x:v>草地</x:v>
      </x:c>
      <x:c r="G1932" s="32" t="str">
        <x:v>404</x:v>
      </x:c>
      <x:c r="H1932" s="32" t="str">
        <x:v>404</x:v>
      </x:c>
      <x:c r="I1932" s="22" t="str">
        <x:v>其他草地</x:v>
      </x:c>
      <x:c r="J1932" s="22" t="str">
        <x:v>农业生态</x:v>
      </x:c>
      <x:c r="K1932" s="32" t="str">
        <x:v>201</x:v>
      </x:c>
      <x:c r="L1932" s="22" t="str">
        <x:v>城市范围</x:v>
      </x:c>
      <x:c r="M1932" s="33" t="n">
        <x:v>34557.62</x:v>
      </x:c>
      <x:c r="N1932" s="33" t="n">
        <x:v>3.4557620000000004</x:v>
      </x:c>
      <x:c r="O1932" s="22" t="str">
        <x:v>公顷</x:v>
      </x:c>
      <x:c r="P1932" s="22" t="str">
        <x:v>未提供（单期横截面）</x:v>
      </x:c>
      <x:c r="Q1932" s="23" t="n">
        <x:v>4911</x:v>
      </x:c>
    </x:row>
    <x:row r="1933">
      <x:c r="A1933" s="30" t="n">
        <x:v>350500</x:v>
      </x:c>
      <x:c r="B1933" s="22" t="str">
        <x:v>泉州市</x:v>
      </x:c>
      <x:c r="C1933" s="31" t="n">
        <x:v>350583</x:v>
      </x:c>
      <x:c r="D1933" s="22" t="str">
        <x:v>南安市</x:v>
      </x:c>
      <x:c r="E1933" s="22" t="str">
        <x:v>未利用地</x:v>
      </x:c>
      <x:c r="F1933" s="22" t="str">
        <x:v>水域及水利设施</x:v>
      </x:c>
      <x:c r="G1933" s="32" t="str">
        <x:v>1101</x:v>
      </x:c>
      <x:c r="H1933" s="32" t="str">
        <x:v>1101</x:v>
      </x:c>
      <x:c r="I1933" s="22" t="str">
        <x:v>河流水面</x:v>
      </x:c>
      <x:c r="J1933" s="22" t="str">
        <x:v>农业生态</x:v>
      </x:c>
      <x:c r="K1933" s="32" t="str">
        <x:v>201</x:v>
      </x:c>
      <x:c r="L1933" s="22" t="str">
        <x:v>城市范围</x:v>
      </x:c>
      <x:c r="M1933" s="33" t="n">
        <x:v>16084.630000000001</x:v>
      </x:c>
      <x:c r="N1933" s="33" t="n">
        <x:v>1.6084630000000002</x:v>
      </x:c>
      <x:c r="O1933" s="22" t="str">
        <x:v>公顷</x:v>
      </x:c>
      <x:c r="P1933" s="22" t="str">
        <x:v>未提供（单期横截面）</x:v>
      </x:c>
      <x:c r="Q1933" s="23" t="n">
        <x:v>4912</x:v>
      </x:c>
    </x:row>
    <x:row r="1934">
      <x:c r="A1934" s="30" t="n">
        <x:v>350500</x:v>
      </x:c>
      <x:c r="B1934" s="22" t="str">
        <x:v>泉州市</x:v>
      </x:c>
      <x:c r="C1934" s="31" t="n">
        <x:v>350583</x:v>
      </x:c>
      <x:c r="D1934" s="22" t="str">
        <x:v>南安市</x:v>
      </x:c>
      <x:c r="E1934" s="22" t="str">
        <x:v>未利用地</x:v>
      </x:c>
      <x:c r="F1934" s="22" t="str">
        <x:v>草地</x:v>
      </x:c>
      <x:c r="G1934" s="32" t="str">
        <x:v>404</x:v>
      </x:c>
      <x:c r="H1934" s="32" t="str">
        <x:v>404</x:v>
      </x:c>
      <x:c r="I1934" s="22" t="str">
        <x:v>其他草地</x:v>
      </x:c>
      <x:c r="J1934" s="22" t="str">
        <x:v>农业生态</x:v>
      </x:c>
      <x:c r="K1934" s="32" t="str">
        <x:v>202</x:v>
      </x:c>
      <x:c r="L1934" s="22" t="str">
        <x:v>建制镇范围</x:v>
      </x:c>
      <x:c r="M1934" s="33" t="n">
        <x:v>30518.019999999997</x:v>
      </x:c>
      <x:c r="N1934" s="33" t="n">
        <x:v>3.0518019999999995</x:v>
      </x:c>
      <x:c r="O1934" s="22" t="str">
        <x:v>公顷</x:v>
      </x:c>
      <x:c r="P1934" s="22" t="str">
        <x:v>未提供（单期横截面）</x:v>
      </x:c>
      <x:c r="Q1934" s="23" t="n">
        <x:v>4913</x:v>
      </x:c>
    </x:row>
    <x:row r="1935">
      <x:c r="A1935" s="30" t="n">
        <x:v>350500</x:v>
      </x:c>
      <x:c r="B1935" s="22" t="str">
        <x:v>泉州市</x:v>
      </x:c>
      <x:c r="C1935" s="31" t="n">
        <x:v>350583</x:v>
      </x:c>
      <x:c r="D1935" s="22" t="str">
        <x:v>南安市</x:v>
      </x:c>
      <x:c r="E1935" s="22" t="str">
        <x:v>未利用地</x:v>
      </x:c>
      <x:c r="F1935" s="22" t="str">
        <x:v>水域及水利设施</x:v>
      </x:c>
      <x:c r="G1935" s="32" t="str">
        <x:v>1101</x:v>
      </x:c>
      <x:c r="H1935" s="32" t="str">
        <x:v>1101</x:v>
      </x:c>
      <x:c r="I1935" s="22" t="str">
        <x:v>河流水面</x:v>
      </x:c>
      <x:c r="J1935" s="22" t="str">
        <x:v>农业生态</x:v>
      </x:c>
      <x:c r="K1935" s="32" t="str">
        <x:v>202</x:v>
      </x:c>
      <x:c r="L1935" s="22" t="str">
        <x:v>建制镇范围</x:v>
      </x:c>
      <x:c r="M1935" s="33" t="n">
        <x:v>38898.06</x:v>
      </x:c>
      <x:c r="N1935" s="33" t="n">
        <x:v>3.8898059999999997</x:v>
      </x:c>
      <x:c r="O1935" s="22" t="str">
        <x:v>公顷</x:v>
      </x:c>
      <x:c r="P1935" s="22" t="str">
        <x:v>未提供（单期横截面）</x:v>
      </x:c>
      <x:c r="Q1935" s="23" t="n">
        <x:v>4914</x:v>
      </x:c>
    </x:row>
    <x:row r="1936">
      <x:c r="A1936" s="30" t="n">
        <x:v>350500</x:v>
      </x:c>
      <x:c r="B1936" s="22" t="str">
        <x:v>泉州市</x:v>
      </x:c>
      <x:c r="C1936" s="31" t="n">
        <x:v>350583</x:v>
      </x:c>
      <x:c r="D1936" s="22" t="str">
        <x:v>南安市</x:v>
      </x:c>
      <x:c r="E1936" s="22" t="str">
        <x:v>未利用地</x:v>
      </x:c>
      <x:c r="F1936" s="22" t="str">
        <x:v>草地</x:v>
      </x:c>
      <x:c r="G1936" s="32" t="str">
        <x:v>404</x:v>
      </x:c>
      <x:c r="H1936" s="32" t="str">
        <x:v>404</x:v>
      </x:c>
      <x:c r="I1936" s="22" t="str">
        <x:v>其他草地</x:v>
      </x:c>
      <x:c r="J1936" s="22" t="str">
        <x:v>农业生态</x:v>
      </x:c>
      <x:c r="K1936" s="32" t="str">
        <x:v>203</x:v>
      </x:c>
      <x:c r="L1936" s="22" t="str">
        <x:v>村庄范围</x:v>
      </x:c>
      <x:c r="M1936" s="33" t="n">
        <x:v>38201.580000000016</x:v>
      </x:c>
      <x:c r="N1936" s="33" t="n">
        <x:v>3.8201580000000015</x:v>
      </x:c>
      <x:c r="O1936" s="22" t="str">
        <x:v>公顷</x:v>
      </x:c>
      <x:c r="P1936" s="22" t="str">
        <x:v>未提供（单期横截面）</x:v>
      </x:c>
      <x:c r="Q1936" s="23" t="n">
        <x:v>4915</x:v>
      </x:c>
    </x:row>
    <x:row r="1937">
      <x:c r="A1937" s="30" t="n">
        <x:v>350500</x:v>
      </x:c>
      <x:c r="B1937" s="22" t="str">
        <x:v>泉州市</x:v>
      </x:c>
      <x:c r="C1937" s="31" t="n">
        <x:v>350583</x:v>
      </x:c>
      <x:c r="D1937" s="22" t="str">
        <x:v>南安市</x:v>
      </x:c>
      <x:c r="E1937" s="22" t="str">
        <x:v>未利用地</x:v>
      </x:c>
      <x:c r="F1937" s="22" t="str">
        <x:v>水域及水利设施</x:v>
      </x:c>
      <x:c r="G1937" s="32" t="str">
        <x:v>1101</x:v>
      </x:c>
      <x:c r="H1937" s="32" t="str">
        <x:v>1101</x:v>
      </x:c>
      <x:c r="I1937" s="22" t="str">
        <x:v>河流水面</x:v>
      </x:c>
      <x:c r="J1937" s="22" t="str">
        <x:v>农业生态</x:v>
      </x:c>
      <x:c r="K1937" s="32" t="str">
        <x:v>203</x:v>
      </x:c>
      <x:c r="L1937" s="22" t="str">
        <x:v>村庄范围</x:v>
      </x:c>
      <x:c r="M1937" s="33" t="n">
        <x:v>5098.98</x:v>
      </x:c>
      <x:c r="N1937" s="33" t="n">
        <x:v>0.509898</x:v>
      </x:c>
      <x:c r="O1937" s="22" t="str">
        <x:v>公顷</x:v>
      </x:c>
      <x:c r="P1937" s="22" t="str">
        <x:v>未提供（单期横截面）</x:v>
      </x:c>
      <x:c r="Q1937" s="23" t="n">
        <x:v>4916</x:v>
      </x:c>
    </x:row>
    <x:row r="1938">
      <x:c r="A1938" s="30" t="n">
        <x:v>350500</x:v>
      </x:c>
      <x:c r="B1938" s="22" t="str">
        <x:v>泉州市</x:v>
      </x:c>
      <x:c r="C1938" s="31" t="n">
        <x:v>350583</x:v>
      </x:c>
      <x:c r="D1938" s="22" t="str">
        <x:v>南安市</x:v>
      </x:c>
      <x:c r="E1938" s="22" t="str">
        <x:v>未利用地</x:v>
      </x:c>
      <x:c r="F1938" s="22" t="str">
        <x:v>未利用地</x:v>
      </x:c>
      <x:c r="G1938" s="32" t="str">
        <x:v>1207</x:v>
      </x:c>
      <x:c r="H1938" s="32" t="str">
        <x:v>1207</x:v>
      </x:c>
      <x:c r="I1938" s="22" t="str">
        <x:v>裸岩石砾地</x:v>
      </x:c>
      <x:c r="J1938" s="22" t="str">
        <x:v>未利用地</x:v>
      </x:c>
      <x:c r="K1938" s="32" t="str">
        <x:v>203</x:v>
      </x:c>
      <x:c r="L1938" s="22" t="str">
        <x:v>村庄范围</x:v>
      </x:c>
      <x:c r="M1938" s="33" t="n">
        <x:v>631.02</x:v>
      </x:c>
      <x:c r="N1938" s="33" t="n">
        <x:v>0.06310199999999999</x:v>
      </x:c>
      <x:c r="O1938" s="22" t="str">
        <x:v>公顷</x:v>
      </x:c>
      <x:c r="P1938" s="22" t="str">
        <x:v>未提供（单期横截面）</x:v>
      </x:c>
      <x:c r="Q1938" s="23" t="n">
        <x:v>4917</x:v>
      </x:c>
    </x:row>
    <x:row r="1939">
      <x:c r="A1939" s="30" t="n">
        <x:v>350600</x:v>
      </x:c>
      <x:c r="B1939" s="22" t="str">
        <x:v>漳州市</x:v>
      </x:c>
      <x:c r="C1939" s="31" t="n">
        <x:v>350602</x:v>
      </x:c>
      <x:c r="D1939" s="22" t="str">
        <x:v>芗城区</x:v>
      </x:c>
      <x:c r="E1939" s="22" t="str">
        <x:v>建设用地</x:v>
      </x:c>
      <x:c r="F1939" s="22" t="str">
        <x:v>交通运输用地</x:v>
      </x:c>
      <x:c r="G1939" s="32" t="str">
        <x:v>1001</x:v>
      </x:c>
      <x:c r="H1939" s="32" t="str">
        <x:v>1001</x:v>
      </x:c>
      <x:c r="I1939" s="22" t="str">
        <x:v>铁路用地</x:v>
      </x:c>
      <x:c r="J1939" s="22" t="str">
        <x:v>交通门户</x:v>
      </x:c>
      <x:c r="K1939" s="32" t="str"/>
      <x:c r="L1939" s="22" t="str">
        <x:v>不适用/未标注</x:v>
      </x:c>
      <x:c r="M1939" s="33" t="n">
        <x:v>42176.82</x:v>
      </x:c>
      <x:c r="N1939" s="33" t="n">
        <x:v>4.217682</x:v>
      </x:c>
      <x:c r="O1939" s="22" t="str">
        <x:v>公顷</x:v>
      </x:c>
      <x:c r="P1939" s="22" t="str">
        <x:v>未提供（单期横截面）</x:v>
      </x:c>
      <x:c r="Q1939" s="23" t="n">
        <x:v>4918</x:v>
      </x:c>
    </x:row>
    <x:row r="1940">
      <x:c r="A1940" s="30" t="n">
        <x:v>350600</x:v>
      </x:c>
      <x:c r="B1940" s="22" t="str">
        <x:v>漳州市</x:v>
      </x:c>
      <x:c r="C1940" s="31" t="n">
        <x:v>350602</x:v>
      </x:c>
      <x:c r="D1940" s="22" t="str">
        <x:v>芗城区</x:v>
      </x:c>
      <x:c r="E1940" s="22" t="str">
        <x:v>建设用地</x:v>
      </x:c>
      <x:c r="F1940" s="22" t="str">
        <x:v>交通运输用地</x:v>
      </x:c>
      <x:c r="G1940" s="32" t="str">
        <x:v>1003</x:v>
      </x:c>
      <x:c r="H1940" s="32" t="str">
        <x:v>1003</x:v>
      </x:c>
      <x:c r="I1940" s="22" t="str">
        <x:v>公路用地</x:v>
      </x:c>
      <x:c r="J1940" s="22" t="str">
        <x:v>交通门户</x:v>
      </x:c>
      <x:c r="K1940" s="32" t="str"/>
      <x:c r="L1940" s="22" t="str">
        <x:v>不适用/未标注</x:v>
      </x:c>
      <x:c r="M1940" s="33" t="n">
        <x:v>8332492.830000006</x:v>
      </x:c>
      <x:c r="N1940" s="33" t="n">
        <x:v>833.2492830000006</x:v>
      </x:c>
      <x:c r="O1940" s="22" t="str">
        <x:v>公顷</x:v>
      </x:c>
      <x:c r="P1940" s="22" t="str">
        <x:v>未提供（单期横截面）</x:v>
      </x:c>
      <x:c r="Q1940" s="23" t="n">
        <x:v>4919</x:v>
      </x:c>
    </x:row>
    <x:row r="1941">
      <x:c r="A1941" s="30" t="n">
        <x:v>350600</x:v>
      </x:c>
      <x:c r="B1941" s="22" t="str">
        <x:v>漳州市</x:v>
      </x:c>
      <x:c r="C1941" s="31" t="n">
        <x:v>350602</x:v>
      </x:c>
      <x:c r="D1941" s="22" t="str">
        <x:v>芗城区</x:v>
      </x:c>
      <x:c r="E1941" s="22" t="str">
        <x:v>建设用地</x:v>
      </x:c>
      <x:c r="F1941" s="22" t="str">
        <x:v>交通运输用地</x:v>
      </x:c>
      <x:c r="G1941" s="32" t="str">
        <x:v>1008</x:v>
      </x:c>
      <x:c r="H1941" s="32" t="str">
        <x:v>1008</x:v>
      </x:c>
      <x:c r="I1941" s="22" t="str">
        <x:v>港口码头用地</x:v>
      </x:c>
      <x:c r="J1941" s="22" t="str">
        <x:v>交通门户</x:v>
      </x:c>
      <x:c r="K1941" s="32" t="str"/>
      <x:c r="L1941" s="22" t="str">
        <x:v>不适用/未标注</x:v>
      </x:c>
      <x:c r="M1941" s="33" t="n">
        <x:v>706.56</x:v>
      </x:c>
      <x:c r="N1941" s="33" t="n">
        <x:v>0.070656</x:v>
      </x:c>
      <x:c r="O1941" s="22" t="str">
        <x:v>公顷</x:v>
      </x:c>
      <x:c r="P1941" s="22" t="str">
        <x:v>未提供（单期横截面）</x:v>
      </x:c>
      <x:c r="Q1941" s="23" t="n">
        <x:v>4920</x:v>
      </x:c>
    </x:row>
    <x:row r="1942">
      <x:c r="A1942" s="30" t="n">
        <x:v>350600</x:v>
      </x:c>
      <x:c r="B1942" s="22" t="str">
        <x:v>漳州市</x:v>
      </x:c>
      <x:c r="C1942" s="31" t="n">
        <x:v>350602</x:v>
      </x:c>
      <x:c r="D1942" s="22" t="str">
        <x:v>芗城区</x:v>
      </x:c>
      <x:c r="E1942" s="22" t="str">
        <x:v>建设用地</x:v>
      </x:c>
      <x:c r="F1942" s="22" t="str">
        <x:v>水域及水利设施</x:v>
      </x:c>
      <x:c r="G1942" s="32" t="str">
        <x:v>1109</x:v>
      </x:c>
      <x:c r="H1942" s="32" t="str">
        <x:v>1109</x:v>
      </x:c>
      <x:c r="I1942" s="22" t="str">
        <x:v>水工建筑用地</x:v>
      </x:c>
      <x:c r="J1942" s="22" t="str">
        <x:v>其他建设</x:v>
      </x:c>
      <x:c r="K1942" s="32" t="str"/>
      <x:c r="L1942" s="22" t="str">
        <x:v>不适用/未标注</x:v>
      </x:c>
      <x:c r="M1942" s="33" t="n">
        <x:v>682744.2299999999</x:v>
      </x:c>
      <x:c r="N1942" s="33" t="n">
        <x:v>68.27442299999998</x:v>
      </x:c>
      <x:c r="O1942" s="22" t="str">
        <x:v>公顷</x:v>
      </x:c>
      <x:c r="P1942" s="22" t="str">
        <x:v>未提供（单期横截面）</x:v>
      </x:c>
      <x:c r="Q1942" s="23" t="n">
        <x:v>4921</x:v>
      </x:c>
    </x:row>
    <x:row r="1943">
      <x:c r="A1943" s="30" t="n">
        <x:v>350600</x:v>
      </x:c>
      <x:c r="B1943" s="22" t="str">
        <x:v>漳州市</x:v>
      </x:c>
      <x:c r="C1943" s="31" t="n">
        <x:v>350602</x:v>
      </x:c>
      <x:c r="D1943" s="22" t="str">
        <x:v>芗城区</x:v>
      </x:c>
      <x:c r="E1943" s="22" t="str">
        <x:v>建设用地</x:v>
      </x:c>
      <x:c r="F1943" s="22" t="str">
        <x:v>工矿仓储用地</x:v>
      </x:c>
      <x:c r="G1943" s="32" t="str">
        <x:v>508</x:v>
      </x:c>
      <x:c r="H1943" s="32" t="str">
        <x:v>508</x:v>
      </x:c>
      <x:c r="I1943" s="22" t="str">
        <x:v>物流仓储用地</x:v>
      </x:c>
      <x:c r="J1943" s="22" t="str">
        <x:v>产业功能</x:v>
      </x:c>
      <x:c r="K1943" s="32" t="str">
        <x:v>201</x:v>
      </x:c>
      <x:c r="L1943" s="22" t="str">
        <x:v>城市范围</x:v>
      </x:c>
      <x:c r="M1943" s="33" t="n">
        <x:v>287640.69</x:v>
      </x:c>
      <x:c r="N1943" s="33" t="n">
        <x:v>28.764069</x:v>
      </x:c>
      <x:c r="O1943" s="22" t="str">
        <x:v>公顷</x:v>
      </x:c>
      <x:c r="P1943" s="22" t="str">
        <x:v>未提供（单期横截面）</x:v>
      </x:c>
      <x:c r="Q1943" s="23" t="n">
        <x:v>4922</x:v>
      </x:c>
    </x:row>
    <x:row r="1944">
      <x:c r="A1944" s="30" t="n">
        <x:v>350600</x:v>
      </x:c>
      <x:c r="B1944" s="22" t="str">
        <x:v>漳州市</x:v>
      </x:c>
      <x:c r="C1944" s="31" t="n">
        <x:v>350602</x:v>
      </x:c>
      <x:c r="D1944" s="22" t="str">
        <x:v>芗城区</x:v>
      </x:c>
      <x:c r="E1944" s="22" t="str">
        <x:v>建设用地</x:v>
      </x:c>
      <x:c r="F1944" s="22" t="str">
        <x:v>商业服务业用地</x:v>
      </x:c>
      <x:c r="G1944" s="32" t="str">
        <x:v>05H1</x:v>
      </x:c>
      <x:c r="H1944" s="32" t="str">
        <x:v>05H1</x:v>
      </x:c>
      <x:c r="I1944" s="22" t="str">
        <x:v>商业服务业设施用地</x:v>
      </x:c>
      <x:c r="J1944" s="22" t="str">
        <x:v>商业服务</x:v>
      </x:c>
      <x:c r="K1944" s="32" t="str">
        <x:v>201</x:v>
      </x:c>
      <x:c r="L1944" s="22" t="str">
        <x:v>城市范围</x:v>
      </x:c>
      <x:c r="M1944" s="33" t="n">
        <x:v>1495779.0499999998</x:v>
      </x:c>
      <x:c r="N1944" s="33" t="n">
        <x:v>149.577905</x:v>
      </x:c>
      <x:c r="O1944" s="22" t="str">
        <x:v>公顷</x:v>
      </x:c>
      <x:c r="P1944" s="22" t="str">
        <x:v>未提供（单期横截面）</x:v>
      </x:c>
      <x:c r="Q1944" s="23" t="n">
        <x:v>4923</x:v>
      </x:c>
    </x:row>
    <x:row r="1945">
      <x:c r="A1945" s="30" t="n">
        <x:v>350600</x:v>
      </x:c>
      <x:c r="B1945" s="22" t="str">
        <x:v>漳州市</x:v>
      </x:c>
      <x:c r="C1945" s="31" t="n">
        <x:v>350602</x:v>
      </x:c>
      <x:c r="D1945" s="22" t="str">
        <x:v>芗城区</x:v>
      </x:c>
      <x:c r="E1945" s="22" t="str">
        <x:v>建设用地</x:v>
      </x:c>
      <x:c r="F1945" s="22" t="str">
        <x:v>工矿仓储用地</x:v>
      </x:c>
      <x:c r="G1945" s="32" t="str">
        <x:v>601</x:v>
      </x:c>
      <x:c r="H1945" s="32" t="str">
        <x:v>601</x:v>
      </x:c>
      <x:c r="I1945" s="22" t="str">
        <x:v>工业用地</x:v>
      </x:c>
      <x:c r="J1945" s="22" t="str">
        <x:v>产业功能</x:v>
      </x:c>
      <x:c r="K1945" s="32" t="str">
        <x:v>201</x:v>
      </x:c>
      <x:c r="L1945" s="22" t="str">
        <x:v>城市范围</x:v>
      </x:c>
      <x:c r="M1945" s="33" t="n">
        <x:v>1421236.26</x:v>
      </x:c>
      <x:c r="N1945" s="33" t="n">
        <x:v>142.123626</x:v>
      </x:c>
      <x:c r="O1945" s="22" t="str">
        <x:v>公顷</x:v>
      </x:c>
      <x:c r="P1945" s="22" t="str">
        <x:v>未提供（单期横截面）</x:v>
      </x:c>
      <x:c r="Q1945" s="23" t="n">
        <x:v>4924</x:v>
      </x:c>
    </x:row>
    <x:row r="1946">
      <x:c r="A1946" s="30" t="n">
        <x:v>350600</x:v>
      </x:c>
      <x:c r="B1946" s="22" t="str">
        <x:v>漳州市</x:v>
      </x:c>
      <x:c r="C1946" s="31" t="n">
        <x:v>350602</x:v>
      </x:c>
      <x:c r="D1946" s="22" t="str">
        <x:v>芗城区</x:v>
      </x:c>
      <x:c r="E1946" s="22" t="str">
        <x:v>建设用地</x:v>
      </x:c>
      <x:c r="F1946" s="22" t="str">
        <x:v>居住用地</x:v>
      </x:c>
      <x:c r="G1946" s="32" t="str">
        <x:v>701</x:v>
      </x:c>
      <x:c r="H1946" s="32" t="str">
        <x:v>701</x:v>
      </x:c>
      <x:c r="I1946" s="22" t="str">
        <x:v>城镇住宅用地</x:v>
      </x:c>
      <x:c r="J1946" s="22" t="str">
        <x:v>居住功能</x:v>
      </x:c>
      <x:c r="K1946" s="32" t="str">
        <x:v>201</x:v>
      </x:c>
      <x:c r="L1946" s="22" t="str">
        <x:v>城市范围</x:v>
      </x:c>
      <x:c r="M1946" s="33" t="n">
        <x:v>6649996.08</x:v>
      </x:c>
      <x:c r="N1946" s="33" t="n">
        <x:v>664.999608</x:v>
      </x:c>
      <x:c r="O1946" s="22" t="str">
        <x:v>公顷</x:v>
      </x:c>
      <x:c r="P1946" s="22" t="str">
        <x:v>未提供（单期横截面）</x:v>
      </x:c>
      <x:c r="Q1946" s="23" t="n">
        <x:v>4925</x:v>
      </x:c>
    </x:row>
    <x:row r="1947">
      <x:c r="A1947" s="30" t="n">
        <x:v>350600</x:v>
      </x:c>
      <x:c r="B1947" s="22" t="str">
        <x:v>漳州市</x:v>
      </x:c>
      <x:c r="C1947" s="31" t="n">
        <x:v>350602</x:v>
      </x:c>
      <x:c r="D1947" s="22" t="str">
        <x:v>芗城区</x:v>
      </x:c>
      <x:c r="E1947" s="22" t="str">
        <x:v>建设用地</x:v>
      </x:c>
      <x:c r="F1947" s="22" t="str">
        <x:v>居住用地</x:v>
      </x:c>
      <x:c r="G1947" s="32" t="str">
        <x:v>702</x:v>
      </x:c>
      <x:c r="H1947" s="32" t="str">
        <x:v>702</x:v>
      </x:c>
      <x:c r="I1947" s="22" t="str">
        <x:v>农村宅基地</x:v>
      </x:c>
      <x:c r="J1947" s="22" t="str">
        <x:v>居住功能</x:v>
      </x:c>
      <x:c r="K1947" s="32" t="str">
        <x:v>201</x:v>
      </x:c>
      <x:c r="L1947" s="22" t="str">
        <x:v>城市范围</x:v>
      </x:c>
      <x:c r="M1947" s="33" t="n">
        <x:v>1494052.67</x:v>
      </x:c>
      <x:c r="N1947" s="33" t="n">
        <x:v>149.40526699999998</x:v>
      </x:c>
      <x:c r="O1947" s="22" t="str">
        <x:v>公顷</x:v>
      </x:c>
      <x:c r="P1947" s="22" t="str">
        <x:v>未提供（单期横截面）</x:v>
      </x:c>
      <x:c r="Q1947" s="23" t="n">
        <x:v>4926</x:v>
      </x:c>
    </x:row>
    <x:row r="1948">
      <x:c r="A1948" s="30" t="n">
        <x:v>350600</x:v>
      </x:c>
      <x:c r="B1948" s="22" t="str">
        <x:v>漳州市</x:v>
      </x:c>
      <x:c r="C1948" s="31" t="n">
        <x:v>350602</x:v>
      </x:c>
      <x:c r="D1948" s="22" t="str">
        <x:v>芗城区</x:v>
      </x:c>
      <x:c r="E1948" s="22" t="str">
        <x:v>建设用地</x:v>
      </x:c>
      <x:c r="F1948" s="22" t="str">
        <x:v>公用设施用地</x:v>
      </x:c>
      <x:c r="G1948" s="32" t="str">
        <x:v>809</x:v>
      </x:c>
      <x:c r="H1948" s="32" t="str">
        <x:v>809</x:v>
      </x:c>
      <x:c r="I1948" s="22" t="str">
        <x:v>公用设施用地</x:v>
      </x:c>
      <x:c r="J1948" s="22" t="str">
        <x:v>其他建设</x:v>
      </x:c>
      <x:c r="K1948" s="32" t="str">
        <x:v>201</x:v>
      </x:c>
      <x:c r="L1948" s="22" t="str">
        <x:v>城市范围</x:v>
      </x:c>
      <x:c r="M1948" s="33" t="n">
        <x:v>232098.46000000002</x:v>
      </x:c>
      <x:c r="N1948" s="33" t="n">
        <x:v>23.209846000000002</x:v>
      </x:c>
      <x:c r="O1948" s="22" t="str">
        <x:v>公顷</x:v>
      </x:c>
      <x:c r="P1948" s="22" t="str">
        <x:v>未提供（单期横截面）</x:v>
      </x:c>
      <x:c r="Q1948" s="23" t="n">
        <x:v>4927</x:v>
      </x:c>
    </x:row>
    <x:row r="1949">
      <x:c r="A1949" s="30" t="n">
        <x:v>350600</x:v>
      </x:c>
      <x:c r="B1949" s="22" t="str">
        <x:v>漳州市</x:v>
      </x:c>
      <x:c r="C1949" s="31" t="n">
        <x:v>350602</x:v>
      </x:c>
      <x:c r="D1949" s="22" t="str">
        <x:v>芗城区</x:v>
      </x:c>
      <x:c r="E1949" s="22" t="str">
        <x:v>建设用地</x:v>
      </x:c>
      <x:c r="F1949" s="22" t="str">
        <x:v>绿地与广场用地</x:v>
      </x:c>
      <x:c r="G1949" s="32" t="str">
        <x:v>810</x:v>
      </x:c>
      <x:c r="H1949" s="32" t="str">
        <x:v>810</x:v>
      </x:c>
      <x:c r="I1949" s="22" t="str">
        <x:v>公园与绿地</x:v>
      </x:c>
      <x:c r="J1949" s="22" t="str">
        <x:v>公共空间</x:v>
      </x:c>
      <x:c r="K1949" s="32" t="str">
        <x:v>201</x:v>
      </x:c>
      <x:c r="L1949" s="22" t="str">
        <x:v>城市范围</x:v>
      </x:c>
      <x:c r="M1949" s="33" t="n">
        <x:v>1041095.1900000002</x:v>
      </x:c>
      <x:c r="N1949" s="33" t="n">
        <x:v>104.10951900000002</x:v>
      </x:c>
      <x:c r="O1949" s="22" t="str">
        <x:v>公顷</x:v>
      </x:c>
      <x:c r="P1949" s="22" t="str">
        <x:v>未提供（单期横截面）</x:v>
      </x:c>
      <x:c r="Q1949" s="23" t="n">
        <x:v>4928</x:v>
      </x:c>
    </x:row>
    <x:row r="1950">
      <x:c r="A1950" s="30" t="n">
        <x:v>350600</x:v>
      </x:c>
      <x:c r="B1950" s="22" t="str">
        <x:v>漳州市</x:v>
      </x:c>
      <x:c r="C1950" s="31" t="n">
        <x:v>350602</x:v>
      </x:c>
      <x:c r="D1950" s="22" t="str">
        <x:v>芗城区</x:v>
      </x:c>
      <x:c r="E1950" s="22" t="str">
        <x:v>建设用地</x:v>
      </x:c>
      <x:c r="F1950" s="22" t="str">
        <x:v>绿地与广场用地</x:v>
      </x:c>
      <x:c r="G1950" s="32" t="str">
        <x:v>0810A</x:v>
      </x:c>
      <x:c r="H1950" s="32" t="str">
        <x:v>0810</x:v>
      </x:c>
      <x:c r="I1950" s="22" t="str">
        <x:v>广场用地</x:v>
      </x:c>
      <x:c r="J1950" s="22" t="str">
        <x:v>公共空间</x:v>
      </x:c>
      <x:c r="K1950" s="32" t="str">
        <x:v>201</x:v>
      </x:c>
      <x:c r="L1950" s="22" t="str">
        <x:v>城市范围</x:v>
      </x:c>
      <x:c r="M1950" s="33" t="n">
        <x:v>4035.7000000000003</x:v>
      </x:c>
      <x:c r="N1950" s="33" t="n">
        <x:v>0.40357000000000004</x:v>
      </x:c>
      <x:c r="O1950" s="22" t="str">
        <x:v>公顷</x:v>
      </x:c>
      <x:c r="P1950" s="22" t="str">
        <x:v>未提供（单期横截面）</x:v>
      </x:c>
      <x:c r="Q1950" s="23" t="n">
        <x:v>4929</x:v>
      </x:c>
    </x:row>
    <x:row r="1951">
      <x:c r="A1951" s="30" t="n">
        <x:v>350600</x:v>
      </x:c>
      <x:c r="B1951" s="22" t="str">
        <x:v>漳州市</x:v>
      </x:c>
      <x:c r="C1951" s="31" t="n">
        <x:v>350602</x:v>
      </x:c>
      <x:c r="D1951" s="22" t="str">
        <x:v>芗城区</x:v>
      </x:c>
      <x:c r="E1951" s="22" t="str">
        <x:v>建设用地</x:v>
      </x:c>
      <x:c r="F1951" s="22" t="str">
        <x:v>公共管理与公共服务用地</x:v>
      </x:c>
      <x:c r="G1951" s="32" t="str">
        <x:v>08H1</x:v>
      </x:c>
      <x:c r="H1951" s="32" t="str">
        <x:v>08H1</x:v>
      </x:c>
      <x:c r="I1951" s="22" t="str">
        <x:v>机关团体新闻出版用地</x:v>
      </x:c>
      <x:c r="J1951" s="22" t="str">
        <x:v>公共服务</x:v>
      </x:c>
      <x:c r="K1951" s="32" t="str">
        <x:v>201</x:v>
      </x:c>
      <x:c r="L1951" s="22" t="str">
        <x:v>城市范围</x:v>
      </x:c>
      <x:c r="M1951" s="33" t="n">
        <x:v>475143.92</x:v>
      </x:c>
      <x:c r="N1951" s="33" t="n">
        <x:v>47.514392</x:v>
      </x:c>
      <x:c r="O1951" s="22" t="str">
        <x:v>公顷</x:v>
      </x:c>
      <x:c r="P1951" s="22" t="str">
        <x:v>未提供（单期横截面）</x:v>
      </x:c>
      <x:c r="Q1951" s="23" t="n">
        <x:v>4930</x:v>
      </x:c>
    </x:row>
    <x:row r="1952">
      <x:c r="A1952" s="30" t="n">
        <x:v>350600</x:v>
      </x:c>
      <x:c r="B1952" s="22" t="str">
        <x:v>漳州市</x:v>
      </x:c>
      <x:c r="C1952" s="31" t="n">
        <x:v>350602</x:v>
      </x:c>
      <x:c r="D1952" s="22" t="str">
        <x:v>芗城区</x:v>
      </x:c>
      <x:c r="E1952" s="22" t="str">
        <x:v>建设用地</x:v>
      </x:c>
      <x:c r="F1952" s="22" t="str">
        <x:v>公共管理与公共服务用地</x:v>
      </x:c>
      <x:c r="G1952" s="32" t="str">
        <x:v>08H2</x:v>
      </x:c>
      <x:c r="H1952" s="32" t="str">
        <x:v>08H2</x:v>
      </x:c>
      <x:c r="I1952" s="22" t="str">
        <x:v>科教文卫用地</x:v>
      </x:c>
      <x:c r="J1952" s="22" t="str">
        <x:v>公共服务</x:v>
      </x:c>
      <x:c r="K1952" s="32" t="str">
        <x:v>201</x:v>
      </x:c>
      <x:c r="L1952" s="22" t="str">
        <x:v>城市范围</x:v>
      </x:c>
      <x:c r="M1952" s="33" t="n">
        <x:v>1751599.9100000004</x:v>
      </x:c>
      <x:c r="N1952" s="33" t="n">
        <x:v>175.15999100000005</x:v>
      </x:c>
      <x:c r="O1952" s="22" t="str">
        <x:v>公顷</x:v>
      </x:c>
      <x:c r="P1952" s="22" t="str">
        <x:v>未提供（单期横截面）</x:v>
      </x:c>
      <x:c r="Q1952" s="23" t="n">
        <x:v>4931</x:v>
      </x:c>
    </x:row>
    <x:row r="1953">
      <x:c r="A1953" s="30" t="n">
        <x:v>350600</x:v>
      </x:c>
      <x:c r="B1953" s="22" t="str">
        <x:v>漳州市</x:v>
      </x:c>
      <x:c r="C1953" s="31" t="n">
        <x:v>350602</x:v>
      </x:c>
      <x:c r="D1953" s="22" t="str">
        <x:v>芗城区</x:v>
      </x:c>
      <x:c r="E1953" s="22" t="str">
        <x:v>建设用地</x:v>
      </x:c>
      <x:c r="F1953" s="22" t="str">
        <x:v>公共管理与公共服务用地</x:v>
      </x:c>
      <x:c r="G1953" s="32" t="str">
        <x:v>08H2A</x:v>
      </x:c>
      <x:c r="H1953" s="32" t="str">
        <x:v>08H2</x:v>
      </x:c>
      <x:c r="I1953" s="22" t="str">
        <x:v>高教用地</x:v>
      </x:c>
      <x:c r="J1953" s="22" t="str">
        <x:v>公共服务</x:v>
      </x:c>
      <x:c r="K1953" s="32" t="str">
        <x:v>201</x:v>
      </x:c>
      <x:c r="L1953" s="22" t="str">
        <x:v>城市范围</x:v>
      </x:c>
      <x:c r="M1953" s="33" t="n">
        <x:v>1268653.67</x:v>
      </x:c>
      <x:c r="N1953" s="33" t="n">
        <x:v>126.86536699999999</x:v>
      </x:c>
      <x:c r="O1953" s="22" t="str">
        <x:v>公顷</x:v>
      </x:c>
      <x:c r="P1953" s="22" t="str">
        <x:v>未提供（单期横截面）</x:v>
      </x:c>
      <x:c r="Q1953" s="23" t="n">
        <x:v>4932</x:v>
      </x:c>
    </x:row>
    <x:row r="1954">
      <x:c r="A1954" s="30" t="n">
        <x:v>350600</x:v>
      </x:c>
      <x:c r="B1954" s="22" t="str">
        <x:v>漳州市</x:v>
      </x:c>
      <x:c r="C1954" s="31" t="n">
        <x:v>350602</x:v>
      </x:c>
      <x:c r="D1954" s="22" t="str">
        <x:v>芗城区</x:v>
      </x:c>
      <x:c r="E1954" s="22" t="str">
        <x:v>建设用地</x:v>
      </x:c>
      <x:c r="F1954" s="22" t="str">
        <x:v>特殊用地</x:v>
      </x:c>
      <x:c r="G1954" s="32" t="str">
        <x:v>9</x:v>
      </x:c>
      <x:c r="H1954" s="32" t="str">
        <x:v>9</x:v>
      </x:c>
      <x:c r="I1954" s="22" t="str">
        <x:v>特殊用地</x:v>
      </x:c>
      <x:c r="J1954" s="22" t="str">
        <x:v>其他建设</x:v>
      </x:c>
      <x:c r="K1954" s="32" t="str">
        <x:v>201</x:v>
      </x:c>
      <x:c r="L1954" s="22" t="str">
        <x:v>城市范围</x:v>
      </x:c>
      <x:c r="M1954" s="33" t="n">
        <x:v>858838.0100000001</x:v>
      </x:c>
      <x:c r="N1954" s="33" t="n">
        <x:v>85.88380100000002</x:v>
      </x:c>
      <x:c r="O1954" s="22" t="str">
        <x:v>公顷</x:v>
      </x:c>
      <x:c r="P1954" s="22" t="str">
        <x:v>未提供（单期横截面）</x:v>
      </x:c>
      <x:c r="Q1954" s="23" t="n">
        <x:v>4933</x:v>
      </x:c>
    </x:row>
    <x:row r="1955">
      <x:c r="A1955" s="30" t="n">
        <x:v>350600</x:v>
      </x:c>
      <x:c r="B1955" s="22" t="str">
        <x:v>漳州市</x:v>
      </x:c>
      <x:c r="C1955" s="31" t="n">
        <x:v>350602</x:v>
      </x:c>
      <x:c r="D1955" s="22" t="str">
        <x:v>芗城区</x:v>
      </x:c>
      <x:c r="E1955" s="22" t="str">
        <x:v>建设用地</x:v>
      </x:c>
      <x:c r="F1955" s="22" t="str">
        <x:v>交通运输用地</x:v>
      </x:c>
      <x:c r="G1955" s="32" t="str">
        <x:v>1001</x:v>
      </x:c>
      <x:c r="H1955" s="32" t="str">
        <x:v>1001</x:v>
      </x:c>
      <x:c r="I1955" s="22" t="str">
        <x:v>铁路用地</x:v>
      </x:c>
      <x:c r="J1955" s="22" t="str">
        <x:v>交通门户</x:v>
      </x:c>
      <x:c r="K1955" s="32" t="str">
        <x:v>201</x:v>
      </x:c>
      <x:c r="L1955" s="22" t="str">
        <x:v>城市范围</x:v>
      </x:c>
      <x:c r="M1955" s="33" t="n">
        <x:v>302375.89</x:v>
      </x:c>
      <x:c r="N1955" s="33" t="n">
        <x:v>30.237589</x:v>
      </x:c>
      <x:c r="O1955" s="22" t="str">
        <x:v>公顷</x:v>
      </x:c>
      <x:c r="P1955" s="22" t="str">
        <x:v>未提供（单期横截面）</x:v>
      </x:c>
      <x:c r="Q1955" s="23" t="n">
        <x:v>4934</x:v>
      </x:c>
    </x:row>
    <x:row r="1956">
      <x:c r="A1956" s="30" t="n">
        <x:v>350600</x:v>
      </x:c>
      <x:c r="B1956" s="22" t="str">
        <x:v>漳州市</x:v>
      </x:c>
      <x:c r="C1956" s="31" t="n">
        <x:v>350602</x:v>
      </x:c>
      <x:c r="D1956" s="22" t="str">
        <x:v>芗城区</x:v>
      </x:c>
      <x:c r="E1956" s="22" t="str">
        <x:v>建设用地</x:v>
      </x:c>
      <x:c r="F1956" s="22" t="str">
        <x:v>交通运输用地</x:v>
      </x:c>
      <x:c r="G1956" s="32" t="str">
        <x:v>1003</x:v>
      </x:c>
      <x:c r="H1956" s="32" t="str">
        <x:v>1003</x:v>
      </x:c>
      <x:c r="I1956" s="22" t="str">
        <x:v>公路用地</x:v>
      </x:c>
      <x:c r="J1956" s="22" t="str">
        <x:v>交通门户</x:v>
      </x:c>
      <x:c r="K1956" s="32" t="str">
        <x:v>201</x:v>
      </x:c>
      <x:c r="L1956" s="22" t="str">
        <x:v>城市范围</x:v>
      </x:c>
      <x:c r="M1956" s="33" t="n">
        <x:v>2844.03</x:v>
      </x:c>
      <x:c r="N1956" s="33" t="n">
        <x:v>0.284403</x:v>
      </x:c>
      <x:c r="O1956" s="22" t="str">
        <x:v>公顷</x:v>
      </x:c>
      <x:c r="P1956" s="22" t="str">
        <x:v>未提供（单期横截面）</x:v>
      </x:c>
      <x:c r="Q1956" s="23" t="n">
        <x:v>4935</x:v>
      </x:c>
    </x:row>
    <x:row r="1957">
      <x:c r="A1957" s="30" t="n">
        <x:v>350600</x:v>
      </x:c>
      <x:c r="B1957" s="22" t="str">
        <x:v>漳州市</x:v>
      </x:c>
      <x:c r="C1957" s="31" t="n">
        <x:v>350602</x:v>
      </x:c>
      <x:c r="D1957" s="22" t="str">
        <x:v>芗城区</x:v>
      </x:c>
      <x:c r="E1957" s="22" t="str">
        <x:v>建设用地</x:v>
      </x:c>
      <x:c r="F1957" s="22" t="str">
        <x:v>交通运输用地</x:v>
      </x:c>
      <x:c r="G1957" s="32" t="str">
        <x:v>1004</x:v>
      </x:c>
      <x:c r="H1957" s="32" t="str">
        <x:v>1004</x:v>
      </x:c>
      <x:c r="I1957" s="22" t="str">
        <x:v>城镇村道路用地</x:v>
      </x:c>
      <x:c r="J1957" s="22" t="str">
        <x:v>交通门户</x:v>
      </x:c>
      <x:c r="K1957" s="32" t="str">
        <x:v>201</x:v>
      </x:c>
      <x:c r="L1957" s="22" t="str">
        <x:v>城市范围</x:v>
      </x:c>
      <x:c r="M1957" s="33" t="n">
        <x:v>2458178.400000001</x:v>
      </x:c>
      <x:c r="N1957" s="33" t="n">
        <x:v>245.81784000000007</x:v>
      </x:c>
      <x:c r="O1957" s="22" t="str">
        <x:v>公顷</x:v>
      </x:c>
      <x:c r="P1957" s="22" t="str">
        <x:v>未提供（单期横截面）</x:v>
      </x:c>
      <x:c r="Q1957" s="23" t="n">
        <x:v>4936</x:v>
      </x:c>
    </x:row>
    <x:row r="1958">
      <x:c r="A1958" s="30" t="n">
        <x:v>350600</x:v>
      </x:c>
      <x:c r="B1958" s="22" t="str">
        <x:v>漳州市</x:v>
      </x:c>
      <x:c r="C1958" s="31" t="n">
        <x:v>350602</x:v>
      </x:c>
      <x:c r="D1958" s="22" t="str">
        <x:v>芗城区</x:v>
      </x:c>
      <x:c r="E1958" s="22" t="str">
        <x:v>建设用地</x:v>
      </x:c>
      <x:c r="F1958" s="22" t="str">
        <x:v>交通运输用地</x:v>
      </x:c>
      <x:c r="G1958" s="32" t="str">
        <x:v>1005</x:v>
      </x:c>
      <x:c r="H1958" s="32" t="str">
        <x:v>1005</x:v>
      </x:c>
      <x:c r="I1958" s="22" t="str">
        <x:v>交通服务场站用地</x:v>
      </x:c>
      <x:c r="J1958" s="22" t="str">
        <x:v>交通门户</x:v>
      </x:c>
      <x:c r="K1958" s="32" t="str">
        <x:v>201</x:v>
      </x:c>
      <x:c r="L1958" s="22" t="str">
        <x:v>城市范围</x:v>
      </x:c>
      <x:c r="M1958" s="33" t="n">
        <x:v>223545.68999999997</x:v>
      </x:c>
      <x:c r="N1958" s="33" t="n">
        <x:v>22.354568999999998</x:v>
      </x:c>
      <x:c r="O1958" s="22" t="str">
        <x:v>公顷</x:v>
      </x:c>
      <x:c r="P1958" s="22" t="str">
        <x:v>未提供（单期横截面）</x:v>
      </x:c>
      <x:c r="Q1958" s="23" t="n">
        <x:v>4937</x:v>
      </x:c>
    </x:row>
    <x:row r="1959">
      <x:c r="A1959" s="30" t="n">
        <x:v>350600</x:v>
      </x:c>
      <x:c r="B1959" s="22" t="str">
        <x:v>漳州市</x:v>
      </x:c>
      <x:c r="C1959" s="31" t="n">
        <x:v>350602</x:v>
      </x:c>
      <x:c r="D1959" s="22" t="str">
        <x:v>芗城区</x:v>
      </x:c>
      <x:c r="E1959" s="22" t="str">
        <x:v>建设用地</x:v>
      </x:c>
      <x:c r="F1959" s="22" t="str">
        <x:v>其他建设用地</x:v>
      </x:c>
      <x:c r="G1959" s="32" t="str">
        <x:v>1201</x:v>
      </x:c>
      <x:c r="H1959" s="32" t="str">
        <x:v>1201</x:v>
      </x:c>
      <x:c r="I1959" s="22" t="str">
        <x:v>空闲地</x:v>
      </x:c>
      <x:c r="J1959" s="22" t="str">
        <x:v>其他建设</x:v>
      </x:c>
      <x:c r="K1959" s="32" t="str">
        <x:v>201</x:v>
      </x:c>
      <x:c r="L1959" s="22" t="str">
        <x:v>城市范围</x:v>
      </x:c>
      <x:c r="M1959" s="33" t="n">
        <x:v>236969.66</x:v>
      </x:c>
      <x:c r="N1959" s="33" t="n">
        <x:v>23.696966</x:v>
      </x:c>
      <x:c r="O1959" s="22" t="str">
        <x:v>公顷</x:v>
      </x:c>
      <x:c r="P1959" s="22" t="str">
        <x:v>未提供（单期横截面）</x:v>
      </x:c>
      <x:c r="Q1959" s="23" t="n">
        <x:v>4938</x:v>
      </x:c>
    </x:row>
    <x:row r="1960">
      <x:c r="A1960" s="30" t="n">
        <x:v>350600</x:v>
      </x:c>
      <x:c r="B1960" s="22" t="str">
        <x:v>漳州市</x:v>
      </x:c>
      <x:c r="C1960" s="31" t="n">
        <x:v>350602</x:v>
      </x:c>
      <x:c r="D1960" s="22" t="str">
        <x:v>芗城区</x:v>
      </x:c>
      <x:c r="E1960" s="22" t="str">
        <x:v>建设用地</x:v>
      </x:c>
      <x:c r="F1960" s="22" t="str">
        <x:v>工矿仓储用地</x:v>
      </x:c>
      <x:c r="G1960" s="32" t="str">
        <x:v>601</x:v>
      </x:c>
      <x:c r="H1960" s="32" t="str">
        <x:v>601</x:v>
      </x:c>
      <x:c r="I1960" s="22" t="str">
        <x:v>工业用地</x:v>
      </x:c>
      <x:c r="J1960" s="22" t="str">
        <x:v>产业功能</x:v>
      </x:c>
      <x:c r="K1960" s="32" t="str">
        <x:v>201A</x:v>
      </x:c>
      <x:c r="L1960" s="22" t="str">
        <x:v>城市独立工业用地</x:v>
      </x:c>
      <x:c r="M1960" s="33" t="n">
        <x:v>13688.17</x:v>
      </x:c>
      <x:c r="N1960" s="33" t="n">
        <x:v>1.368817</x:v>
      </x:c>
      <x:c r="O1960" s="22" t="str">
        <x:v>公顷</x:v>
      </x:c>
      <x:c r="P1960" s="22" t="str">
        <x:v>未提供（单期横截面）</x:v>
      </x:c>
      <x:c r="Q1960" s="23" t="n">
        <x:v>4939</x:v>
      </x:c>
    </x:row>
    <x:row r="1961">
      <x:c r="A1961" s="30" t="n">
        <x:v>350600</x:v>
      </x:c>
      <x:c r="B1961" s="22" t="str">
        <x:v>漳州市</x:v>
      </x:c>
      <x:c r="C1961" s="31" t="n">
        <x:v>350602</x:v>
      </x:c>
      <x:c r="D1961" s="22" t="str">
        <x:v>芗城区</x:v>
      </x:c>
      <x:c r="E1961" s="22" t="str">
        <x:v>建设用地</x:v>
      </x:c>
      <x:c r="F1961" s="22" t="str">
        <x:v>工矿仓储用地</x:v>
      </x:c>
      <x:c r="G1961" s="32" t="str">
        <x:v>508</x:v>
      </x:c>
      <x:c r="H1961" s="32" t="str">
        <x:v>508</x:v>
      </x:c>
      <x:c r="I1961" s="22" t="str">
        <x:v>物流仓储用地</x:v>
      </x:c>
      <x:c r="J1961" s="22" t="str">
        <x:v>产业功能</x:v>
      </x:c>
      <x:c r="K1961" s="32" t="str">
        <x:v>202</x:v>
      </x:c>
      <x:c r="L1961" s="22" t="str">
        <x:v>建制镇范围</x:v>
      </x:c>
      <x:c r="M1961" s="33" t="n">
        <x:v>35261</x:v>
      </x:c>
      <x:c r="N1961" s="33" t="n">
        <x:v>3.5261</x:v>
      </x:c>
      <x:c r="O1961" s="22" t="str">
        <x:v>公顷</x:v>
      </x:c>
      <x:c r="P1961" s="22" t="str">
        <x:v>未提供（单期横截面）</x:v>
      </x:c>
      <x:c r="Q1961" s="23" t="n">
        <x:v>4940</x:v>
      </x:c>
    </x:row>
    <x:row r="1962">
      <x:c r="A1962" s="30" t="n">
        <x:v>350600</x:v>
      </x:c>
      <x:c r="B1962" s="22" t="str">
        <x:v>漳州市</x:v>
      </x:c>
      <x:c r="C1962" s="31" t="n">
        <x:v>350602</x:v>
      </x:c>
      <x:c r="D1962" s="22" t="str">
        <x:v>芗城区</x:v>
      </x:c>
      <x:c r="E1962" s="22" t="str">
        <x:v>建设用地</x:v>
      </x:c>
      <x:c r="F1962" s="22" t="str">
        <x:v>商业服务业用地</x:v>
      </x:c>
      <x:c r="G1962" s="32" t="str">
        <x:v>05H1</x:v>
      </x:c>
      <x:c r="H1962" s="32" t="str">
        <x:v>05H1</x:v>
      </x:c>
      <x:c r="I1962" s="22" t="str">
        <x:v>商业服务业设施用地</x:v>
      </x:c>
      <x:c r="J1962" s="22" t="str">
        <x:v>商业服务</x:v>
      </x:c>
      <x:c r="K1962" s="32" t="str">
        <x:v>202</x:v>
      </x:c>
      <x:c r="L1962" s="22" t="str">
        <x:v>建制镇范围</x:v>
      </x:c>
      <x:c r="M1962" s="33" t="n">
        <x:v>166459.63</x:v>
      </x:c>
      <x:c r="N1962" s="33" t="n">
        <x:v>16.645963000000002</x:v>
      </x:c>
      <x:c r="O1962" s="22" t="str">
        <x:v>公顷</x:v>
      </x:c>
      <x:c r="P1962" s="22" t="str">
        <x:v>未提供（单期横截面）</x:v>
      </x:c>
      <x:c r="Q1962" s="23" t="n">
        <x:v>4941</x:v>
      </x:c>
    </x:row>
    <x:row r="1963">
      <x:c r="A1963" s="30" t="n">
        <x:v>350600</x:v>
      </x:c>
      <x:c r="B1963" s="22" t="str">
        <x:v>漳州市</x:v>
      </x:c>
      <x:c r="C1963" s="31" t="n">
        <x:v>350602</x:v>
      </x:c>
      <x:c r="D1963" s="22" t="str">
        <x:v>芗城区</x:v>
      </x:c>
      <x:c r="E1963" s="22" t="str">
        <x:v>建设用地</x:v>
      </x:c>
      <x:c r="F1963" s="22" t="str">
        <x:v>工矿仓储用地</x:v>
      </x:c>
      <x:c r="G1963" s="32" t="str">
        <x:v>601</x:v>
      </x:c>
      <x:c r="H1963" s="32" t="str">
        <x:v>601</x:v>
      </x:c>
      <x:c r="I1963" s="22" t="str">
        <x:v>工业用地</x:v>
      </x:c>
      <x:c r="J1963" s="22" t="str">
        <x:v>产业功能</x:v>
      </x:c>
      <x:c r="K1963" s="32" t="str">
        <x:v>202</x:v>
      </x:c>
      <x:c r="L1963" s="22" t="str">
        <x:v>建制镇范围</x:v>
      </x:c>
      <x:c r="M1963" s="33" t="n">
        <x:v>540441.72</x:v>
      </x:c>
      <x:c r="N1963" s="33" t="n">
        <x:v>54.044171999999996</x:v>
      </x:c>
      <x:c r="O1963" s="22" t="str">
        <x:v>公顷</x:v>
      </x:c>
      <x:c r="P1963" s="22" t="str">
        <x:v>未提供（单期横截面）</x:v>
      </x:c>
      <x:c r="Q1963" s="23" t="n">
        <x:v>4942</x:v>
      </x:c>
    </x:row>
    <x:row r="1964">
      <x:c r="A1964" s="30" t="n">
        <x:v>350600</x:v>
      </x:c>
      <x:c r="B1964" s="22" t="str">
        <x:v>漳州市</x:v>
      </x:c>
      <x:c r="C1964" s="31" t="n">
        <x:v>350602</x:v>
      </x:c>
      <x:c r="D1964" s="22" t="str">
        <x:v>芗城区</x:v>
      </x:c>
      <x:c r="E1964" s="22" t="str">
        <x:v>建设用地</x:v>
      </x:c>
      <x:c r="F1964" s="22" t="str">
        <x:v>居住用地</x:v>
      </x:c>
      <x:c r="G1964" s="32" t="str">
        <x:v>701</x:v>
      </x:c>
      <x:c r="H1964" s="32" t="str">
        <x:v>701</x:v>
      </x:c>
      <x:c r="I1964" s="22" t="str">
        <x:v>城镇住宅用地</x:v>
      </x:c>
      <x:c r="J1964" s="22" t="str">
        <x:v>居住功能</x:v>
      </x:c>
      <x:c r="K1964" s="32" t="str">
        <x:v>202</x:v>
      </x:c>
      <x:c r="L1964" s="22" t="str">
        <x:v>建制镇范围</x:v>
      </x:c>
      <x:c r="M1964" s="33" t="n">
        <x:v>1725642.530000001</x:v>
      </x:c>
      <x:c r="N1964" s="33" t="n">
        <x:v>172.5642530000001</x:v>
      </x:c>
      <x:c r="O1964" s="22" t="str">
        <x:v>公顷</x:v>
      </x:c>
      <x:c r="P1964" s="22" t="str">
        <x:v>未提供（单期横截面）</x:v>
      </x:c>
      <x:c r="Q1964" s="23" t="n">
        <x:v>4943</x:v>
      </x:c>
    </x:row>
    <x:row r="1965">
      <x:c r="A1965" s="30" t="n">
        <x:v>350600</x:v>
      </x:c>
      <x:c r="B1965" s="22" t="str">
        <x:v>漳州市</x:v>
      </x:c>
      <x:c r="C1965" s="31" t="n">
        <x:v>350602</x:v>
      </x:c>
      <x:c r="D1965" s="22" t="str">
        <x:v>芗城区</x:v>
      </x:c>
      <x:c r="E1965" s="22" t="str">
        <x:v>建设用地</x:v>
      </x:c>
      <x:c r="F1965" s="22" t="str">
        <x:v>居住用地</x:v>
      </x:c>
      <x:c r="G1965" s="32" t="str">
        <x:v>702</x:v>
      </x:c>
      <x:c r="H1965" s="32" t="str">
        <x:v>702</x:v>
      </x:c>
      <x:c r="I1965" s="22" t="str">
        <x:v>农村宅基地</x:v>
      </x:c>
      <x:c r="J1965" s="22" t="str">
        <x:v>居住功能</x:v>
      </x:c>
      <x:c r="K1965" s="32" t="str">
        <x:v>202</x:v>
      </x:c>
      <x:c r="L1965" s="22" t="str">
        <x:v>建制镇范围</x:v>
      </x:c>
      <x:c r="M1965" s="33" t="n">
        <x:v>761381.9600000002</x:v>
      </x:c>
      <x:c r="N1965" s="33" t="n">
        <x:v>76.13819600000002</x:v>
      </x:c>
      <x:c r="O1965" s="22" t="str">
        <x:v>公顷</x:v>
      </x:c>
      <x:c r="P1965" s="22" t="str">
        <x:v>未提供（单期横截面）</x:v>
      </x:c>
      <x:c r="Q1965" s="23" t="n">
        <x:v>4944</x:v>
      </x:c>
    </x:row>
    <x:row r="1966">
      <x:c r="A1966" s="30" t="n">
        <x:v>350600</x:v>
      </x:c>
      <x:c r="B1966" s="22" t="str">
        <x:v>漳州市</x:v>
      </x:c>
      <x:c r="C1966" s="31" t="n">
        <x:v>350602</x:v>
      </x:c>
      <x:c r="D1966" s="22" t="str">
        <x:v>芗城区</x:v>
      </x:c>
      <x:c r="E1966" s="22" t="str">
        <x:v>建设用地</x:v>
      </x:c>
      <x:c r="F1966" s="22" t="str">
        <x:v>公用设施用地</x:v>
      </x:c>
      <x:c r="G1966" s="32" t="str">
        <x:v>809</x:v>
      </x:c>
      <x:c r="H1966" s="32" t="str">
        <x:v>809</x:v>
      </x:c>
      <x:c r="I1966" s="22" t="str">
        <x:v>公用设施用地</x:v>
      </x:c>
      <x:c r="J1966" s="22" t="str">
        <x:v>其他建设</x:v>
      </x:c>
      <x:c r="K1966" s="32" t="str">
        <x:v>202</x:v>
      </x:c>
      <x:c r="L1966" s="22" t="str">
        <x:v>建制镇范围</x:v>
      </x:c>
      <x:c r="M1966" s="33" t="n">
        <x:v>139682.78000000003</x:v>
      </x:c>
      <x:c r="N1966" s="33" t="n">
        <x:v>13.968278000000003</x:v>
      </x:c>
      <x:c r="O1966" s="22" t="str">
        <x:v>公顷</x:v>
      </x:c>
      <x:c r="P1966" s="22" t="str">
        <x:v>未提供（单期横截面）</x:v>
      </x:c>
      <x:c r="Q1966" s="23" t="n">
        <x:v>4945</x:v>
      </x:c>
    </x:row>
    <x:row r="1967">
      <x:c r="A1967" s="30" t="n">
        <x:v>350600</x:v>
      </x:c>
      <x:c r="B1967" s="22" t="str">
        <x:v>漳州市</x:v>
      </x:c>
      <x:c r="C1967" s="31" t="n">
        <x:v>350602</x:v>
      </x:c>
      <x:c r="D1967" s="22" t="str">
        <x:v>芗城区</x:v>
      </x:c>
      <x:c r="E1967" s="22" t="str">
        <x:v>建设用地</x:v>
      </x:c>
      <x:c r="F1967" s="22" t="str">
        <x:v>绿地与广场用地</x:v>
      </x:c>
      <x:c r="G1967" s="32" t="str">
        <x:v>810</x:v>
      </x:c>
      <x:c r="H1967" s="32" t="str">
        <x:v>810</x:v>
      </x:c>
      <x:c r="I1967" s="22" t="str">
        <x:v>公园与绿地</x:v>
      </x:c>
      <x:c r="J1967" s="22" t="str">
        <x:v>公共空间</x:v>
      </x:c>
      <x:c r="K1967" s="32" t="str">
        <x:v>202</x:v>
      </x:c>
      <x:c r="L1967" s="22" t="str">
        <x:v>建制镇范围</x:v>
      </x:c>
      <x:c r="M1967" s="33" t="n">
        <x:v>3439.88</x:v>
      </x:c>
      <x:c r="N1967" s="33" t="n">
        <x:v>0.343988</x:v>
      </x:c>
      <x:c r="O1967" s="22" t="str">
        <x:v>公顷</x:v>
      </x:c>
      <x:c r="P1967" s="22" t="str">
        <x:v>未提供（单期横截面）</x:v>
      </x:c>
      <x:c r="Q1967" s="23" t="n">
        <x:v>4946</x:v>
      </x:c>
    </x:row>
    <x:row r="1968">
      <x:c r="A1968" s="30" t="n">
        <x:v>350600</x:v>
      </x:c>
      <x:c r="B1968" s="22" t="str">
        <x:v>漳州市</x:v>
      </x:c>
      <x:c r="C1968" s="31" t="n">
        <x:v>350602</x:v>
      </x:c>
      <x:c r="D1968" s="22" t="str">
        <x:v>芗城区</x:v>
      </x:c>
      <x:c r="E1968" s="22" t="str">
        <x:v>建设用地</x:v>
      </x:c>
      <x:c r="F1968" s="22" t="str">
        <x:v>公共管理与公共服务用地</x:v>
      </x:c>
      <x:c r="G1968" s="32" t="str">
        <x:v>08H1</x:v>
      </x:c>
      <x:c r="H1968" s="32" t="str">
        <x:v>08H1</x:v>
      </x:c>
      <x:c r="I1968" s="22" t="str">
        <x:v>机关团体新闻出版用地</x:v>
      </x:c>
      <x:c r="J1968" s="22" t="str">
        <x:v>公共服务</x:v>
      </x:c>
      <x:c r="K1968" s="32" t="str">
        <x:v>202</x:v>
      </x:c>
      <x:c r="L1968" s="22" t="str">
        <x:v>建制镇范围</x:v>
      </x:c>
      <x:c r="M1968" s="33" t="n">
        <x:v>38449.6</x:v>
      </x:c>
      <x:c r="N1968" s="33" t="n">
        <x:v>3.84496</x:v>
      </x:c>
      <x:c r="O1968" s="22" t="str">
        <x:v>公顷</x:v>
      </x:c>
      <x:c r="P1968" s="22" t="str">
        <x:v>未提供（单期横截面）</x:v>
      </x:c>
      <x:c r="Q1968" s="23" t="n">
        <x:v>4947</x:v>
      </x:c>
    </x:row>
    <x:row r="1969">
      <x:c r="A1969" s="30" t="n">
        <x:v>350600</x:v>
      </x:c>
      <x:c r="B1969" s="22" t="str">
        <x:v>漳州市</x:v>
      </x:c>
      <x:c r="C1969" s="31" t="n">
        <x:v>350602</x:v>
      </x:c>
      <x:c r="D1969" s="22" t="str">
        <x:v>芗城区</x:v>
      </x:c>
      <x:c r="E1969" s="22" t="str">
        <x:v>建设用地</x:v>
      </x:c>
      <x:c r="F1969" s="22" t="str">
        <x:v>公共管理与公共服务用地</x:v>
      </x:c>
      <x:c r="G1969" s="32" t="str">
        <x:v>08H2</x:v>
      </x:c>
      <x:c r="H1969" s="32" t="str">
        <x:v>08H2</x:v>
      </x:c>
      <x:c r="I1969" s="22" t="str">
        <x:v>科教文卫用地</x:v>
      </x:c>
      <x:c r="J1969" s="22" t="str">
        <x:v>公共服务</x:v>
      </x:c>
      <x:c r="K1969" s="32" t="str">
        <x:v>202</x:v>
      </x:c>
      <x:c r="L1969" s="22" t="str">
        <x:v>建制镇范围</x:v>
      </x:c>
      <x:c r="M1969" s="33" t="n">
        <x:v>253826.10000000003</x:v>
      </x:c>
      <x:c r="N1969" s="33" t="n">
        <x:v>25.382610000000003</x:v>
      </x:c>
      <x:c r="O1969" s="22" t="str">
        <x:v>公顷</x:v>
      </x:c>
      <x:c r="P1969" s="22" t="str">
        <x:v>未提供（单期横截面）</x:v>
      </x:c>
      <x:c r="Q1969" s="23" t="n">
        <x:v>4948</x:v>
      </x:c>
    </x:row>
    <x:row r="1970">
      <x:c r="A1970" s="30" t="n">
        <x:v>350600</x:v>
      </x:c>
      <x:c r="B1970" s="22" t="str">
        <x:v>漳州市</x:v>
      </x:c>
      <x:c r="C1970" s="31" t="n">
        <x:v>350602</x:v>
      </x:c>
      <x:c r="D1970" s="22" t="str">
        <x:v>芗城区</x:v>
      </x:c>
      <x:c r="E1970" s="22" t="str">
        <x:v>建设用地</x:v>
      </x:c>
      <x:c r="F1970" s="22" t="str">
        <x:v>特殊用地</x:v>
      </x:c>
      <x:c r="G1970" s="32" t="str">
        <x:v>9</x:v>
      </x:c>
      <x:c r="H1970" s="32" t="str">
        <x:v>9</x:v>
      </x:c>
      <x:c r="I1970" s="22" t="str">
        <x:v>特殊用地</x:v>
      </x:c>
      <x:c r="J1970" s="22" t="str">
        <x:v>其他建设</x:v>
      </x:c>
      <x:c r="K1970" s="32" t="str">
        <x:v>202</x:v>
      </x:c>
      <x:c r="L1970" s="22" t="str">
        <x:v>建制镇范围</x:v>
      </x:c>
      <x:c r="M1970" s="33" t="n">
        <x:v>13277.91</x:v>
      </x:c>
      <x:c r="N1970" s="33" t="n">
        <x:v>1.327791</x:v>
      </x:c>
      <x:c r="O1970" s="22" t="str">
        <x:v>公顷</x:v>
      </x:c>
      <x:c r="P1970" s="22" t="str">
        <x:v>未提供（单期横截面）</x:v>
      </x:c>
      <x:c r="Q1970" s="23" t="n">
        <x:v>4949</x:v>
      </x:c>
    </x:row>
    <x:row r="1971">
      <x:c r="A1971" s="30" t="n">
        <x:v>350600</x:v>
      </x:c>
      <x:c r="B1971" s="22" t="str">
        <x:v>漳州市</x:v>
      </x:c>
      <x:c r="C1971" s="31" t="n">
        <x:v>350602</x:v>
      </x:c>
      <x:c r="D1971" s="22" t="str">
        <x:v>芗城区</x:v>
      </x:c>
      <x:c r="E1971" s="22" t="str">
        <x:v>建设用地</x:v>
      </x:c>
      <x:c r="F1971" s="22" t="str">
        <x:v>交通运输用地</x:v>
      </x:c>
      <x:c r="G1971" s="32" t="str">
        <x:v>1004</x:v>
      </x:c>
      <x:c r="H1971" s="32" t="str">
        <x:v>1004</x:v>
      </x:c>
      <x:c r="I1971" s="22" t="str">
        <x:v>城镇村道路用地</x:v>
      </x:c>
      <x:c r="J1971" s="22" t="str">
        <x:v>交通门户</x:v>
      </x:c>
      <x:c r="K1971" s="32" t="str">
        <x:v>202</x:v>
      </x:c>
      <x:c r="L1971" s="22" t="str">
        <x:v>建制镇范围</x:v>
      </x:c>
      <x:c r="M1971" s="33" t="n">
        <x:v>130372.61000000002</x:v>
      </x:c>
      <x:c r="N1971" s="33" t="n">
        <x:v>13.037261</x:v>
      </x:c>
      <x:c r="O1971" s="22" t="str">
        <x:v>公顷</x:v>
      </x:c>
      <x:c r="P1971" s="22" t="str">
        <x:v>未提供（单期横截面）</x:v>
      </x:c>
      <x:c r="Q1971" s="23" t="n">
        <x:v>4950</x:v>
      </x:c>
    </x:row>
    <x:row r="1972">
      <x:c r="A1972" s="30" t="n">
        <x:v>350600</x:v>
      </x:c>
      <x:c r="B1972" s="22" t="str">
        <x:v>漳州市</x:v>
      </x:c>
      <x:c r="C1972" s="31" t="n">
        <x:v>350602</x:v>
      </x:c>
      <x:c r="D1972" s="22" t="str">
        <x:v>芗城区</x:v>
      </x:c>
      <x:c r="E1972" s="22" t="str">
        <x:v>建设用地</x:v>
      </x:c>
      <x:c r="F1972" s="22" t="str">
        <x:v>交通运输用地</x:v>
      </x:c>
      <x:c r="G1972" s="32" t="str">
        <x:v>1005</x:v>
      </x:c>
      <x:c r="H1972" s="32" t="str">
        <x:v>1005</x:v>
      </x:c>
      <x:c r="I1972" s="22" t="str">
        <x:v>交通服务场站用地</x:v>
      </x:c>
      <x:c r="J1972" s="22" t="str">
        <x:v>交通门户</x:v>
      </x:c>
      <x:c r="K1972" s="32" t="str">
        <x:v>202</x:v>
      </x:c>
      <x:c r="L1972" s="22" t="str">
        <x:v>建制镇范围</x:v>
      </x:c>
      <x:c r="M1972" s="33" t="n">
        <x:v>31255.920000000002</x:v>
      </x:c>
      <x:c r="N1972" s="33" t="n">
        <x:v>3.125592</x:v>
      </x:c>
      <x:c r="O1972" s="22" t="str">
        <x:v>公顷</x:v>
      </x:c>
      <x:c r="P1972" s="22" t="str">
        <x:v>未提供（单期横截面）</x:v>
      </x:c>
      <x:c r="Q1972" s="23" t="n">
        <x:v>4951</x:v>
      </x:c>
    </x:row>
    <x:row r="1973">
      <x:c r="A1973" s="30" t="n">
        <x:v>350600</x:v>
      </x:c>
      <x:c r="B1973" s="22" t="str">
        <x:v>漳州市</x:v>
      </x:c>
      <x:c r="C1973" s="31" t="n">
        <x:v>350602</x:v>
      </x:c>
      <x:c r="D1973" s="22" t="str">
        <x:v>芗城区</x:v>
      </x:c>
      <x:c r="E1973" s="22" t="str">
        <x:v>建设用地</x:v>
      </x:c>
      <x:c r="F1973" s="22" t="str">
        <x:v>工矿仓储用地</x:v>
      </x:c>
      <x:c r="G1973" s="32" t="str">
        <x:v>601</x:v>
      </x:c>
      <x:c r="H1973" s="32" t="str">
        <x:v>601</x:v>
      </x:c>
      <x:c r="I1973" s="22" t="str">
        <x:v>工业用地</x:v>
      </x:c>
      <x:c r="J1973" s="22" t="str">
        <x:v>产业功能</x:v>
      </x:c>
      <x:c r="K1973" s="32" t="str">
        <x:v>202A</x:v>
      </x:c>
      <x:c r="L1973" s="22" t="str">
        <x:v>建制镇独立工业用地</x:v>
      </x:c>
      <x:c r="M1973" s="33" t="n">
        <x:v>217438.11999999994</x:v>
      </x:c>
      <x:c r="N1973" s="33" t="n">
        <x:v>21.743811999999995</x:v>
      </x:c>
      <x:c r="O1973" s="22" t="str">
        <x:v>公顷</x:v>
      </x:c>
      <x:c r="P1973" s="22" t="str">
        <x:v>未提供（单期横截面）</x:v>
      </x:c>
      <x:c r="Q1973" s="23" t="n">
        <x:v>4952</x:v>
      </x:c>
    </x:row>
    <x:row r="1974">
      <x:c r="A1974" s="30" t="n">
        <x:v>350600</x:v>
      </x:c>
      <x:c r="B1974" s="22" t="str">
        <x:v>漳州市</x:v>
      </x:c>
      <x:c r="C1974" s="31" t="n">
        <x:v>350602</x:v>
      </x:c>
      <x:c r="D1974" s="22" t="str">
        <x:v>芗城区</x:v>
      </x:c>
      <x:c r="E1974" s="22" t="str">
        <x:v>建设用地</x:v>
      </x:c>
      <x:c r="F1974" s="22" t="str">
        <x:v>工矿仓储用地</x:v>
      </x:c>
      <x:c r="G1974" s="32" t="str">
        <x:v>508</x:v>
      </x:c>
      <x:c r="H1974" s="32" t="str">
        <x:v>508</x:v>
      </x:c>
      <x:c r="I1974" s="22" t="str">
        <x:v>物流仓储用地</x:v>
      </x:c>
      <x:c r="J1974" s="22" t="str">
        <x:v>产业功能</x:v>
      </x:c>
      <x:c r="K1974" s="32" t="str">
        <x:v>203</x:v>
      </x:c>
      <x:c r="L1974" s="22" t="str">
        <x:v>村庄范围</x:v>
      </x:c>
      <x:c r="M1974" s="33" t="n">
        <x:v>697404.4900000001</x:v>
      </x:c>
      <x:c r="N1974" s="33" t="n">
        <x:v>69.74044900000001</x:v>
      </x:c>
      <x:c r="O1974" s="22" t="str">
        <x:v>公顷</x:v>
      </x:c>
      <x:c r="P1974" s="22" t="str">
        <x:v>未提供（单期横截面）</x:v>
      </x:c>
      <x:c r="Q1974" s="23" t="n">
        <x:v>4953</x:v>
      </x:c>
    </x:row>
    <x:row r="1975">
      <x:c r="A1975" s="30" t="n">
        <x:v>350600</x:v>
      </x:c>
      <x:c r="B1975" s="22" t="str">
        <x:v>漳州市</x:v>
      </x:c>
      <x:c r="C1975" s="31" t="n">
        <x:v>350602</x:v>
      </x:c>
      <x:c r="D1975" s="22" t="str">
        <x:v>芗城区</x:v>
      </x:c>
      <x:c r="E1975" s="22" t="str">
        <x:v>建设用地</x:v>
      </x:c>
      <x:c r="F1975" s="22" t="str">
        <x:v>商业服务业用地</x:v>
      </x:c>
      <x:c r="G1975" s="32" t="str">
        <x:v>05H1</x:v>
      </x:c>
      <x:c r="H1975" s="32" t="str">
        <x:v>05H1</x:v>
      </x:c>
      <x:c r="I1975" s="22" t="str">
        <x:v>商业服务业设施用地</x:v>
      </x:c>
      <x:c r="J1975" s="22" t="str">
        <x:v>商业服务</x:v>
      </x:c>
      <x:c r="K1975" s="32" t="str">
        <x:v>203</x:v>
      </x:c>
      <x:c r="L1975" s="22" t="str">
        <x:v>村庄范围</x:v>
      </x:c>
      <x:c r="M1975" s="33" t="n">
        <x:v>1357880.4300000002</x:v>
      </x:c>
      <x:c r="N1975" s="33" t="n">
        <x:v>135.78804300000002</x:v>
      </x:c>
      <x:c r="O1975" s="22" t="str">
        <x:v>公顷</x:v>
      </x:c>
      <x:c r="P1975" s="22" t="str">
        <x:v>未提供（单期横截面）</x:v>
      </x:c>
      <x:c r="Q1975" s="23" t="n">
        <x:v>4954</x:v>
      </x:c>
    </x:row>
    <x:row r="1976">
      <x:c r="A1976" s="30" t="n">
        <x:v>350600</x:v>
      </x:c>
      <x:c r="B1976" s="22" t="str">
        <x:v>漳州市</x:v>
      </x:c>
      <x:c r="C1976" s="31" t="n">
        <x:v>350602</x:v>
      </x:c>
      <x:c r="D1976" s="22" t="str">
        <x:v>芗城区</x:v>
      </x:c>
      <x:c r="E1976" s="22" t="str">
        <x:v>建设用地</x:v>
      </x:c>
      <x:c r="F1976" s="22" t="str">
        <x:v>工矿仓储用地</x:v>
      </x:c>
      <x:c r="G1976" s="32" t="str">
        <x:v>601</x:v>
      </x:c>
      <x:c r="H1976" s="32" t="str">
        <x:v>601</x:v>
      </x:c>
      <x:c r="I1976" s="22" t="str">
        <x:v>工业用地</x:v>
      </x:c>
      <x:c r="J1976" s="22" t="str">
        <x:v>产业功能</x:v>
      </x:c>
      <x:c r="K1976" s="32" t="str">
        <x:v>203</x:v>
      </x:c>
      <x:c r="L1976" s="22" t="str">
        <x:v>村庄范围</x:v>
      </x:c>
      <x:c r="M1976" s="33" t="n">
        <x:v>13583141.889999986</x:v>
      </x:c>
      <x:c r="N1976" s="33" t="n">
        <x:v>1358.3141889999986</x:v>
      </x:c>
      <x:c r="O1976" s="22" t="str">
        <x:v>公顷</x:v>
      </x:c>
      <x:c r="P1976" s="22" t="str">
        <x:v>未提供（单期横截面）</x:v>
      </x:c>
      <x:c r="Q1976" s="23" t="n">
        <x:v>4955</x:v>
      </x:c>
    </x:row>
    <x:row r="1977">
      <x:c r="A1977" s="30" t="n">
        <x:v>350600</x:v>
      </x:c>
      <x:c r="B1977" s="22" t="str">
        <x:v>漳州市</x:v>
      </x:c>
      <x:c r="C1977" s="31" t="n">
        <x:v>350602</x:v>
      </x:c>
      <x:c r="D1977" s="22" t="str">
        <x:v>芗城区</x:v>
      </x:c>
      <x:c r="E1977" s="22" t="str">
        <x:v>建设用地</x:v>
      </x:c>
      <x:c r="F1977" s="22" t="str">
        <x:v>工矿仓储用地</x:v>
      </x:c>
      <x:c r="G1977" s="32" t="str">
        <x:v>602</x:v>
      </x:c>
      <x:c r="H1977" s="32" t="str">
        <x:v>602</x:v>
      </x:c>
      <x:c r="I1977" s="22" t="str">
        <x:v>采矿用地</x:v>
      </x:c>
      <x:c r="J1977" s="22" t="str">
        <x:v>产业功能</x:v>
      </x:c>
      <x:c r="K1977" s="32" t="str">
        <x:v>203</x:v>
      </x:c>
      <x:c r="L1977" s="22" t="str">
        <x:v>村庄范围</x:v>
      </x:c>
      <x:c r="M1977" s="33" t="n">
        <x:v>76519.25</x:v>
      </x:c>
      <x:c r="N1977" s="33" t="n">
        <x:v>7.651925</x:v>
      </x:c>
      <x:c r="O1977" s="22" t="str">
        <x:v>公顷</x:v>
      </x:c>
      <x:c r="P1977" s="22" t="str">
        <x:v>未提供（单期横截面）</x:v>
      </x:c>
      <x:c r="Q1977" s="23" t="n">
        <x:v>4956</x:v>
      </x:c>
    </x:row>
    <x:row r="1978">
      <x:c r="A1978" s="30" t="n">
        <x:v>350600</x:v>
      </x:c>
      <x:c r="B1978" s="22" t="str">
        <x:v>漳州市</x:v>
      </x:c>
      <x:c r="C1978" s="31" t="n">
        <x:v>350602</x:v>
      </x:c>
      <x:c r="D1978" s="22" t="str">
        <x:v>芗城区</x:v>
      </x:c>
      <x:c r="E1978" s="22" t="str">
        <x:v>建设用地</x:v>
      </x:c>
      <x:c r="F1978" s="22" t="str">
        <x:v>居住用地</x:v>
      </x:c>
      <x:c r="G1978" s="32" t="str">
        <x:v>702</x:v>
      </x:c>
      <x:c r="H1978" s="32" t="str">
        <x:v>702</x:v>
      </x:c>
      <x:c r="I1978" s="22" t="str">
        <x:v>农村宅基地</x:v>
      </x:c>
      <x:c r="J1978" s="22" t="str">
        <x:v>居住功能</x:v>
      </x:c>
      <x:c r="K1978" s="32" t="str">
        <x:v>203</x:v>
      </x:c>
      <x:c r="L1978" s="22" t="str">
        <x:v>村庄范围</x:v>
      </x:c>
      <x:c r="M1978" s="33" t="n">
        <x:v>15792462.419999998</x:v>
      </x:c>
      <x:c r="N1978" s="33" t="n">
        <x:v>1579.2462419999997</x:v>
      </x:c>
      <x:c r="O1978" s="22" t="str">
        <x:v>公顷</x:v>
      </x:c>
      <x:c r="P1978" s="22" t="str">
        <x:v>未提供（单期横截面）</x:v>
      </x:c>
      <x:c r="Q1978" s="23" t="n">
        <x:v>4957</x:v>
      </x:c>
    </x:row>
    <x:row r="1979">
      <x:c r="A1979" s="30" t="n">
        <x:v>350600</x:v>
      </x:c>
      <x:c r="B1979" s="22" t="str">
        <x:v>漳州市</x:v>
      </x:c>
      <x:c r="C1979" s="31" t="n">
        <x:v>350602</x:v>
      </x:c>
      <x:c r="D1979" s="22" t="str">
        <x:v>芗城区</x:v>
      </x:c>
      <x:c r="E1979" s="22" t="str">
        <x:v>建设用地</x:v>
      </x:c>
      <x:c r="F1979" s="22" t="str">
        <x:v>公用设施用地</x:v>
      </x:c>
      <x:c r="G1979" s="32" t="str">
        <x:v>809</x:v>
      </x:c>
      <x:c r="H1979" s="32" t="str">
        <x:v>809</x:v>
      </x:c>
      <x:c r="I1979" s="22" t="str">
        <x:v>公用设施用地</x:v>
      </x:c>
      <x:c r="J1979" s="22" t="str">
        <x:v>其他建设</x:v>
      </x:c>
      <x:c r="K1979" s="32" t="str">
        <x:v>203</x:v>
      </x:c>
      <x:c r="L1979" s="22" t="str">
        <x:v>村庄范围</x:v>
      </x:c>
      <x:c r="M1979" s="33" t="n">
        <x:v>242097.25000000006</x:v>
      </x:c>
      <x:c r="N1979" s="33" t="n">
        <x:v>24.209725000000006</x:v>
      </x:c>
      <x:c r="O1979" s="22" t="str">
        <x:v>公顷</x:v>
      </x:c>
      <x:c r="P1979" s="22" t="str">
        <x:v>未提供（单期横截面）</x:v>
      </x:c>
      <x:c r="Q1979" s="23" t="n">
        <x:v>4958</x:v>
      </x:c>
    </x:row>
    <x:row r="1980">
      <x:c r="A1980" s="30" t="n">
        <x:v>350600</x:v>
      </x:c>
      <x:c r="B1980" s="22" t="str">
        <x:v>漳州市</x:v>
      </x:c>
      <x:c r="C1980" s="31" t="n">
        <x:v>350602</x:v>
      </x:c>
      <x:c r="D1980" s="22" t="str">
        <x:v>芗城区</x:v>
      </x:c>
      <x:c r="E1980" s="22" t="str">
        <x:v>建设用地</x:v>
      </x:c>
      <x:c r="F1980" s="22" t="str">
        <x:v>绿地与广场用地</x:v>
      </x:c>
      <x:c r="G1980" s="32" t="str">
        <x:v>810</x:v>
      </x:c>
      <x:c r="H1980" s="32" t="str">
        <x:v>810</x:v>
      </x:c>
      <x:c r="I1980" s="22" t="str">
        <x:v>公园与绿地</x:v>
      </x:c>
      <x:c r="J1980" s="22" t="str">
        <x:v>公共空间</x:v>
      </x:c>
      <x:c r="K1980" s="32" t="str">
        <x:v>203</x:v>
      </x:c>
      <x:c r="L1980" s="22" t="str">
        <x:v>村庄范围</x:v>
      </x:c>
      <x:c r="M1980" s="33" t="n">
        <x:v>513368.79000000004</x:v>
      </x:c>
      <x:c r="N1980" s="33" t="n">
        <x:v>51.336879</x:v>
      </x:c>
      <x:c r="O1980" s="22" t="str">
        <x:v>公顷</x:v>
      </x:c>
      <x:c r="P1980" s="22" t="str">
        <x:v>未提供（单期横截面）</x:v>
      </x:c>
      <x:c r="Q1980" s="23" t="n">
        <x:v>4959</x:v>
      </x:c>
    </x:row>
    <x:row r="1981">
      <x:c r="A1981" s="30" t="n">
        <x:v>350600</x:v>
      </x:c>
      <x:c r="B1981" s="22" t="str">
        <x:v>漳州市</x:v>
      </x:c>
      <x:c r="C1981" s="31" t="n">
        <x:v>350602</x:v>
      </x:c>
      <x:c r="D1981" s="22" t="str">
        <x:v>芗城区</x:v>
      </x:c>
      <x:c r="E1981" s="22" t="str">
        <x:v>建设用地</x:v>
      </x:c>
      <x:c r="F1981" s="22" t="str">
        <x:v>绿地与广场用地</x:v>
      </x:c>
      <x:c r="G1981" s="32" t="str">
        <x:v>0810A</x:v>
      </x:c>
      <x:c r="H1981" s="32" t="str">
        <x:v>0810</x:v>
      </x:c>
      <x:c r="I1981" s="22" t="str">
        <x:v>广场用地</x:v>
      </x:c>
      <x:c r="J1981" s="22" t="str">
        <x:v>公共空间</x:v>
      </x:c>
      <x:c r="K1981" s="32" t="str">
        <x:v>203</x:v>
      </x:c>
      <x:c r="L1981" s="22" t="str">
        <x:v>村庄范围</x:v>
      </x:c>
      <x:c r="M1981" s="33" t="n">
        <x:v>12503.150000000001</x:v>
      </x:c>
      <x:c r="N1981" s="33" t="n">
        <x:v>1.250315</x:v>
      </x:c>
      <x:c r="O1981" s="22" t="str">
        <x:v>公顷</x:v>
      </x:c>
      <x:c r="P1981" s="22" t="str">
        <x:v>未提供（单期横截面）</x:v>
      </x:c>
      <x:c r="Q1981" s="23" t="n">
        <x:v>4960</x:v>
      </x:c>
    </x:row>
    <x:row r="1982">
      <x:c r="A1982" s="30" t="n">
        <x:v>350600</x:v>
      </x:c>
      <x:c r="B1982" s="22" t="str">
        <x:v>漳州市</x:v>
      </x:c>
      <x:c r="C1982" s="31" t="n">
        <x:v>350602</x:v>
      </x:c>
      <x:c r="D1982" s="22" t="str">
        <x:v>芗城区</x:v>
      </x:c>
      <x:c r="E1982" s="22" t="str">
        <x:v>建设用地</x:v>
      </x:c>
      <x:c r="F1982" s="22" t="str">
        <x:v>公共管理与公共服务用地</x:v>
      </x:c>
      <x:c r="G1982" s="32" t="str">
        <x:v>08H1</x:v>
      </x:c>
      <x:c r="H1982" s="32" t="str">
        <x:v>08H1</x:v>
      </x:c>
      <x:c r="I1982" s="22" t="str">
        <x:v>机关团体新闻出版用地</x:v>
      </x:c>
      <x:c r="J1982" s="22" t="str">
        <x:v>公共服务</x:v>
      </x:c>
      <x:c r="K1982" s="32" t="str">
        <x:v>203</x:v>
      </x:c>
      <x:c r="L1982" s="22" t="str">
        <x:v>村庄范围</x:v>
      </x:c>
      <x:c r="M1982" s="33" t="n">
        <x:v>224658.67999999996</x:v>
      </x:c>
      <x:c r="N1982" s="33" t="n">
        <x:v>22.465867999999997</x:v>
      </x:c>
      <x:c r="O1982" s="22" t="str">
        <x:v>公顷</x:v>
      </x:c>
      <x:c r="P1982" s="22" t="str">
        <x:v>未提供（单期横截面）</x:v>
      </x:c>
      <x:c r="Q1982" s="23" t="n">
        <x:v>4961</x:v>
      </x:c>
    </x:row>
    <x:row r="1983">
      <x:c r="A1983" s="30" t="n">
        <x:v>350600</x:v>
      </x:c>
      <x:c r="B1983" s="22" t="str">
        <x:v>漳州市</x:v>
      </x:c>
      <x:c r="C1983" s="31" t="n">
        <x:v>350602</x:v>
      </x:c>
      <x:c r="D1983" s="22" t="str">
        <x:v>芗城区</x:v>
      </x:c>
      <x:c r="E1983" s="22" t="str">
        <x:v>建设用地</x:v>
      </x:c>
      <x:c r="F1983" s="22" t="str">
        <x:v>公共管理与公共服务用地</x:v>
      </x:c>
      <x:c r="G1983" s="32" t="str">
        <x:v>08H2</x:v>
      </x:c>
      <x:c r="H1983" s="32" t="str">
        <x:v>08H2</x:v>
      </x:c>
      <x:c r="I1983" s="22" t="str">
        <x:v>科教文卫用地</x:v>
      </x:c>
      <x:c r="J1983" s="22" t="str">
        <x:v>公共服务</x:v>
      </x:c>
      <x:c r="K1983" s="32" t="str">
        <x:v>203</x:v>
      </x:c>
      <x:c r="L1983" s="22" t="str">
        <x:v>村庄范围</x:v>
      </x:c>
      <x:c r="M1983" s="33" t="n">
        <x:v>779632.91</x:v>
      </x:c>
      <x:c r="N1983" s="33" t="n">
        <x:v>77.963291</x:v>
      </x:c>
      <x:c r="O1983" s="22" t="str">
        <x:v>公顷</x:v>
      </x:c>
      <x:c r="P1983" s="22" t="str">
        <x:v>未提供（单期横截面）</x:v>
      </x:c>
      <x:c r="Q1983" s="23" t="n">
        <x:v>4962</x:v>
      </x:c>
    </x:row>
    <x:row r="1984">
      <x:c r="A1984" s="30" t="n">
        <x:v>350600</x:v>
      </x:c>
      <x:c r="B1984" s="22" t="str">
        <x:v>漳州市</x:v>
      </x:c>
      <x:c r="C1984" s="31" t="n">
        <x:v>350602</x:v>
      </x:c>
      <x:c r="D1984" s="22" t="str">
        <x:v>芗城区</x:v>
      </x:c>
      <x:c r="E1984" s="22" t="str">
        <x:v>建设用地</x:v>
      </x:c>
      <x:c r="F1984" s="22" t="str">
        <x:v>公共管理与公共服务用地</x:v>
      </x:c>
      <x:c r="G1984" s="32" t="str">
        <x:v>08H2A</x:v>
      </x:c>
      <x:c r="H1984" s="32" t="str">
        <x:v>08H2</x:v>
      </x:c>
      <x:c r="I1984" s="22" t="str">
        <x:v>高教用地</x:v>
      </x:c>
      <x:c r="J1984" s="22" t="str">
        <x:v>公共服务</x:v>
      </x:c>
      <x:c r="K1984" s="32" t="str">
        <x:v>203</x:v>
      </x:c>
      <x:c r="L1984" s="22" t="str">
        <x:v>村庄范围</x:v>
      </x:c>
      <x:c r="M1984" s="33" t="n">
        <x:v>14051.41</x:v>
      </x:c>
      <x:c r="N1984" s="33" t="n">
        <x:v>1.405141</x:v>
      </x:c>
      <x:c r="O1984" s="22" t="str">
        <x:v>公顷</x:v>
      </x:c>
      <x:c r="P1984" s="22" t="str">
        <x:v>未提供（单期横截面）</x:v>
      </x:c>
      <x:c r="Q1984" s="23" t="n">
        <x:v>4963</x:v>
      </x:c>
    </x:row>
    <x:row r="1985">
      <x:c r="A1985" s="30" t="n">
        <x:v>350600</x:v>
      </x:c>
      <x:c r="B1985" s="22" t="str">
        <x:v>漳州市</x:v>
      </x:c>
      <x:c r="C1985" s="31" t="n">
        <x:v>350602</x:v>
      </x:c>
      <x:c r="D1985" s="22" t="str">
        <x:v>芗城区</x:v>
      </x:c>
      <x:c r="E1985" s="22" t="str">
        <x:v>建设用地</x:v>
      </x:c>
      <x:c r="F1985" s="22" t="str">
        <x:v>特殊用地</x:v>
      </x:c>
      <x:c r="G1985" s="32" t="str">
        <x:v>9</x:v>
      </x:c>
      <x:c r="H1985" s="32" t="str">
        <x:v>9</x:v>
      </x:c>
      <x:c r="I1985" s="22" t="str">
        <x:v>特殊用地</x:v>
      </x:c>
      <x:c r="J1985" s="22" t="str">
        <x:v>其他建设</x:v>
      </x:c>
      <x:c r="K1985" s="32" t="str">
        <x:v>203</x:v>
      </x:c>
      <x:c r="L1985" s="22" t="str">
        <x:v>村庄范围</x:v>
      </x:c>
      <x:c r="M1985" s="33" t="n">
        <x:v>634367.0800000004</x:v>
      </x:c>
      <x:c r="N1985" s="33" t="n">
        <x:v>63.436708000000046</x:v>
      </x:c>
      <x:c r="O1985" s="22" t="str">
        <x:v>公顷</x:v>
      </x:c>
      <x:c r="P1985" s="22" t="str">
        <x:v>未提供（单期横截面）</x:v>
      </x:c>
      <x:c r="Q1985" s="23" t="n">
        <x:v>4964</x:v>
      </x:c>
    </x:row>
    <x:row r="1986">
      <x:c r="A1986" s="30" t="n">
        <x:v>350600</x:v>
      </x:c>
      <x:c r="B1986" s="22" t="str">
        <x:v>漳州市</x:v>
      </x:c>
      <x:c r="C1986" s="31" t="n">
        <x:v>350602</x:v>
      </x:c>
      <x:c r="D1986" s="22" t="str">
        <x:v>芗城区</x:v>
      </x:c>
      <x:c r="E1986" s="22" t="str">
        <x:v>建设用地</x:v>
      </x:c>
      <x:c r="F1986" s="22" t="str">
        <x:v>交通运输用地</x:v>
      </x:c>
      <x:c r="G1986" s="32" t="str">
        <x:v>1003</x:v>
      </x:c>
      <x:c r="H1986" s="32" t="str">
        <x:v>1003</x:v>
      </x:c>
      <x:c r="I1986" s="22" t="str">
        <x:v>公路用地</x:v>
      </x:c>
      <x:c r="J1986" s="22" t="str">
        <x:v>交通门户</x:v>
      </x:c>
      <x:c r="K1986" s="32" t="str">
        <x:v>203</x:v>
      </x:c>
      <x:c r="L1986" s="22" t="str">
        <x:v>村庄范围</x:v>
      </x:c>
      <x:c r="M1986" s="33" t="n">
        <x:v>4969.8</x:v>
      </x:c>
      <x:c r="N1986" s="33" t="n">
        <x:v>0.49698000000000003</x:v>
      </x:c>
      <x:c r="O1986" s="22" t="str">
        <x:v>公顷</x:v>
      </x:c>
      <x:c r="P1986" s="22" t="str">
        <x:v>未提供（单期横截面）</x:v>
      </x:c>
      <x:c r="Q1986" s="23" t="n">
        <x:v>4965</x:v>
      </x:c>
    </x:row>
    <x:row r="1987">
      <x:c r="A1987" s="30" t="n">
        <x:v>350600</x:v>
      </x:c>
      <x:c r="B1987" s="22" t="str">
        <x:v>漳州市</x:v>
      </x:c>
      <x:c r="C1987" s="31" t="n">
        <x:v>350602</x:v>
      </x:c>
      <x:c r="D1987" s="22" t="str">
        <x:v>芗城区</x:v>
      </x:c>
      <x:c r="E1987" s="22" t="str">
        <x:v>建设用地</x:v>
      </x:c>
      <x:c r="F1987" s="22" t="str">
        <x:v>交通运输用地</x:v>
      </x:c>
      <x:c r="G1987" s="32" t="str">
        <x:v>1004</x:v>
      </x:c>
      <x:c r="H1987" s="32" t="str">
        <x:v>1004</x:v>
      </x:c>
      <x:c r="I1987" s="22" t="str">
        <x:v>城镇村道路用地</x:v>
      </x:c>
      <x:c r="J1987" s="22" t="str">
        <x:v>交通门户</x:v>
      </x:c>
      <x:c r="K1987" s="32" t="str">
        <x:v>203</x:v>
      </x:c>
      <x:c r="L1987" s="22" t="str">
        <x:v>村庄范围</x:v>
      </x:c>
      <x:c r="M1987" s="33" t="n">
        <x:v>1054424.0000000002</x:v>
      </x:c>
      <x:c r="N1987" s="33" t="n">
        <x:v>105.44240000000002</x:v>
      </x:c>
      <x:c r="O1987" s="22" t="str">
        <x:v>公顷</x:v>
      </x:c>
      <x:c r="P1987" s="22" t="str">
        <x:v>未提供（单期横截面）</x:v>
      </x:c>
      <x:c r="Q1987" s="23" t="n">
        <x:v>4966</x:v>
      </x:c>
    </x:row>
    <x:row r="1988">
      <x:c r="A1988" s="30" t="n">
        <x:v>350600</x:v>
      </x:c>
      <x:c r="B1988" s="22" t="str">
        <x:v>漳州市</x:v>
      </x:c>
      <x:c r="C1988" s="31" t="n">
        <x:v>350602</x:v>
      </x:c>
      <x:c r="D1988" s="22" t="str">
        <x:v>芗城区</x:v>
      </x:c>
      <x:c r="E1988" s="22" t="str">
        <x:v>建设用地</x:v>
      </x:c>
      <x:c r="F1988" s="22" t="str">
        <x:v>交通运输用地</x:v>
      </x:c>
      <x:c r="G1988" s="32" t="str">
        <x:v>1005</x:v>
      </x:c>
      <x:c r="H1988" s="32" t="str">
        <x:v>1005</x:v>
      </x:c>
      <x:c r="I1988" s="22" t="str">
        <x:v>交通服务场站用地</x:v>
      </x:c>
      <x:c r="J1988" s="22" t="str">
        <x:v>交通门户</x:v>
      </x:c>
      <x:c r="K1988" s="32" t="str">
        <x:v>203</x:v>
      </x:c>
      <x:c r="L1988" s="22" t="str">
        <x:v>村庄范围</x:v>
      </x:c>
      <x:c r="M1988" s="33" t="n">
        <x:v>411974.8899999999</x:v>
      </x:c>
      <x:c r="N1988" s="33" t="n">
        <x:v>41.19748899999999</x:v>
      </x:c>
      <x:c r="O1988" s="22" t="str">
        <x:v>公顷</x:v>
      </x:c>
      <x:c r="P1988" s="22" t="str">
        <x:v>未提供（单期横截面）</x:v>
      </x:c>
      <x:c r="Q1988" s="23" t="n">
        <x:v>4967</x:v>
      </x:c>
    </x:row>
    <x:row r="1989">
      <x:c r="A1989" s="30" t="n">
        <x:v>350600</x:v>
      </x:c>
      <x:c r="B1989" s="22" t="str">
        <x:v>漳州市</x:v>
      </x:c>
      <x:c r="C1989" s="31" t="n">
        <x:v>350602</x:v>
      </x:c>
      <x:c r="D1989" s="22" t="str">
        <x:v>芗城区</x:v>
      </x:c>
      <x:c r="E1989" s="22" t="str">
        <x:v>建设用地</x:v>
      </x:c>
      <x:c r="F1989" s="22" t="str">
        <x:v>其他建设用地</x:v>
      </x:c>
      <x:c r="G1989" s="32" t="str">
        <x:v>1201</x:v>
      </x:c>
      <x:c r="H1989" s="32" t="str">
        <x:v>1201</x:v>
      </x:c>
      <x:c r="I1989" s="22" t="str">
        <x:v>空闲地</x:v>
      </x:c>
      <x:c r="J1989" s="22" t="str">
        <x:v>其他建设</x:v>
      </x:c>
      <x:c r="K1989" s="32" t="str">
        <x:v>203</x:v>
      </x:c>
      <x:c r="L1989" s="22" t="str">
        <x:v>村庄范围</x:v>
      </x:c>
      <x:c r="M1989" s="33" t="n">
        <x:v>94848.56</x:v>
      </x:c>
      <x:c r="N1989" s="33" t="n">
        <x:v>9.484856</x:v>
      </x:c>
      <x:c r="O1989" s="22" t="str">
        <x:v>公顷</x:v>
      </x:c>
      <x:c r="P1989" s="22" t="str">
        <x:v>未提供（单期横截面）</x:v>
      </x:c>
      <x:c r="Q1989" s="23" t="n">
        <x:v>4968</x:v>
      </x:c>
    </x:row>
    <x:row r="1990">
      <x:c r="A1990" s="30" t="n">
        <x:v>350600</x:v>
      </x:c>
      <x:c r="B1990" s="22" t="str">
        <x:v>漳州市</x:v>
      </x:c>
      <x:c r="C1990" s="31" t="n">
        <x:v>350602</x:v>
      </x:c>
      <x:c r="D1990" s="22" t="str">
        <x:v>芗城区</x:v>
      </x:c>
      <x:c r="E1990" s="22" t="str">
        <x:v>建设用地</x:v>
      </x:c>
      <x:c r="F1990" s="22" t="str">
        <x:v>工矿仓储用地</x:v>
      </x:c>
      <x:c r="G1990" s="32" t="str">
        <x:v>601</x:v>
      </x:c>
      <x:c r="H1990" s="32" t="str">
        <x:v>601</x:v>
      </x:c>
      <x:c r="I1990" s="22" t="str">
        <x:v>工业用地</x:v>
      </x:c>
      <x:c r="J1990" s="22" t="str">
        <x:v>产业功能</x:v>
      </x:c>
      <x:c r="K1990" s="32" t="str">
        <x:v>203A</x:v>
      </x:c>
      <x:c r="L1990" s="22" t="str">
        <x:v>村庄独立工业用地</x:v>
      </x:c>
      <x:c r="M1990" s="33" t="n">
        <x:v>1613830.1300000001</x:v>
      </x:c>
      <x:c r="N1990" s="33" t="n">
        <x:v>161.383013</x:v>
      </x:c>
      <x:c r="O1990" s="22" t="str">
        <x:v>公顷</x:v>
      </x:c>
      <x:c r="P1990" s="22" t="str">
        <x:v>未提供（单期横截面）</x:v>
      </x:c>
      <x:c r="Q1990" s="23" t="n">
        <x:v>4969</x:v>
      </x:c>
    </x:row>
    <x:row r="1991">
      <x:c r="A1991" s="30" t="n">
        <x:v>350600</x:v>
      </x:c>
      <x:c r="B1991" s="22" t="str">
        <x:v>漳州市</x:v>
      </x:c>
      <x:c r="C1991" s="31" t="n">
        <x:v>350602</x:v>
      </x:c>
      <x:c r="D1991" s="22" t="str">
        <x:v>芗城区</x:v>
      </x:c>
      <x:c r="E1991" s="22" t="str">
        <x:v>建设用地</x:v>
      </x:c>
      <x:c r="F1991" s="22" t="str">
        <x:v>工矿仓储用地</x:v>
      </x:c>
      <x:c r="G1991" s="32" t="str">
        <x:v>602</x:v>
      </x:c>
      <x:c r="H1991" s="32" t="str">
        <x:v>602</x:v>
      </x:c>
      <x:c r="I1991" s="22" t="str">
        <x:v>采矿用地</x:v>
      </x:c>
      <x:c r="J1991" s="22" t="str">
        <x:v>产业功能</x:v>
      </x:c>
      <x:c r="K1991" s="32" t="str">
        <x:v>204</x:v>
      </x:c>
      <x:c r="L1991" s="22" t="str">
        <x:v>盐田及采矿用地</x:v>
      </x:c>
      <x:c r="M1991" s="33" t="n">
        <x:v>646365.27</x:v>
      </x:c>
      <x:c r="N1991" s="33" t="n">
        <x:v>64.636527</x:v>
      </x:c>
      <x:c r="O1991" s="22" t="str">
        <x:v>公顷</x:v>
      </x:c>
      <x:c r="P1991" s="22" t="str">
        <x:v>未提供（单期横截面）</x:v>
      </x:c>
      <x:c r="Q1991" s="23" t="n">
        <x:v>4970</x:v>
      </x:c>
    </x:row>
    <x:row r="1992">
      <x:c r="A1992" s="30" t="n">
        <x:v>350600</x:v>
      </x:c>
      <x:c r="B1992" s="22" t="str">
        <x:v>漳州市</x:v>
      </x:c>
      <x:c r="C1992" s="31" t="n">
        <x:v>350602</x:v>
      </x:c>
      <x:c r="D1992" s="22" t="str">
        <x:v>芗城区</x:v>
      </x:c>
      <x:c r="E1992" s="22" t="str">
        <x:v>建设用地</x:v>
      </x:c>
      <x:c r="F1992" s="22" t="str">
        <x:v>特殊用地</x:v>
      </x:c>
      <x:c r="G1992" s="32" t="str">
        <x:v>9</x:v>
      </x:c>
      <x:c r="H1992" s="32" t="str">
        <x:v>9</x:v>
      </x:c>
      <x:c r="I1992" s="22" t="str">
        <x:v>特殊用地</x:v>
      </x:c>
      <x:c r="J1992" s="22" t="str">
        <x:v>其他建设</x:v>
      </x:c>
      <x:c r="K1992" s="32" t="str">
        <x:v>205</x:v>
      </x:c>
      <x:c r="L1992" s="22" t="str">
        <x:v>特殊用地</x:v>
      </x:c>
      <x:c r="M1992" s="33" t="n">
        <x:v>2890786.35</x:v>
      </x:c>
      <x:c r="N1992" s="33" t="n">
        <x:v>289.078635</x:v>
      </x:c>
      <x:c r="O1992" s="22" t="str">
        <x:v>公顷</x:v>
      </x:c>
      <x:c r="P1992" s="22" t="str">
        <x:v>未提供（单期横截面）</x:v>
      </x:c>
      <x:c r="Q1992" s="23" t="n">
        <x:v>4971</x:v>
      </x:c>
    </x:row>
    <x:row r="1993">
      <x:c r="A1993" s="30" t="n">
        <x:v>350600</x:v>
      </x:c>
      <x:c r="B1993" s="22" t="str">
        <x:v>漳州市</x:v>
      </x:c>
      <x:c r="C1993" s="31" t="n">
        <x:v>350602</x:v>
      </x:c>
      <x:c r="D1993" s="22" t="str">
        <x:v>芗城区</x:v>
      </x:c>
      <x:c r="E1993" s="22" t="str">
        <x:v>农用地</x:v>
      </x:c>
      <x:c r="F1993" s="22" t="str">
        <x:v>耕地</x:v>
      </x:c>
      <x:c r="G1993" s="32" t="str">
        <x:v>101</x:v>
      </x:c>
      <x:c r="H1993" s="32" t="str">
        <x:v>101</x:v>
      </x:c>
      <x:c r="I1993" s="22" t="str">
        <x:v>水田</x:v>
      </x:c>
      <x:c r="J1993" s="22" t="str">
        <x:v>农业生态</x:v>
      </x:c>
      <x:c r="K1993" s="32" t="str"/>
      <x:c r="L1993" s="22" t="str">
        <x:v>不适用/未标注</x:v>
      </x:c>
      <x:c r="M1993" s="33" t="n">
        <x:v>3520956.7400000035</x:v>
      </x:c>
      <x:c r="N1993" s="33" t="n">
        <x:v>352.0956740000004</x:v>
      </x:c>
      <x:c r="O1993" s="22" t="str">
        <x:v>公顷</x:v>
      </x:c>
      <x:c r="P1993" s="22" t="str">
        <x:v>未提供（单期横截面）</x:v>
      </x:c>
      <x:c r="Q1993" s="23" t="n">
        <x:v>4972</x:v>
      </x:c>
    </x:row>
    <x:row r="1994">
      <x:c r="A1994" s="30" t="n">
        <x:v>350600</x:v>
      </x:c>
      <x:c r="B1994" s="22" t="str">
        <x:v>漳州市</x:v>
      </x:c>
      <x:c r="C1994" s="31" t="n">
        <x:v>350602</x:v>
      </x:c>
      <x:c r="D1994" s="22" t="str">
        <x:v>芗城区</x:v>
      </x:c>
      <x:c r="E1994" s="22" t="str">
        <x:v>农用地</x:v>
      </x:c>
      <x:c r="F1994" s="22" t="str">
        <x:v>耕地</x:v>
      </x:c>
      <x:c r="G1994" s="32" t="str">
        <x:v>102</x:v>
      </x:c>
      <x:c r="H1994" s="32" t="str">
        <x:v>102</x:v>
      </x:c>
      <x:c r="I1994" s="22" t="str">
        <x:v>水浇地</x:v>
      </x:c>
      <x:c r="J1994" s="22" t="str">
        <x:v>农业生态</x:v>
      </x:c>
      <x:c r="K1994" s="32" t="str"/>
      <x:c r="L1994" s="22" t="str">
        <x:v>不适用/未标注</x:v>
      </x:c>
      <x:c r="M1994" s="33" t="n">
        <x:v>996273.3700000002</x:v>
      </x:c>
      <x:c r="N1994" s="33" t="n">
        <x:v>99.62733700000003</x:v>
      </x:c>
      <x:c r="O1994" s="22" t="str">
        <x:v>公顷</x:v>
      </x:c>
      <x:c r="P1994" s="22" t="str">
        <x:v>未提供（单期横截面）</x:v>
      </x:c>
      <x:c r="Q1994" s="23" t="n">
        <x:v>4973</x:v>
      </x:c>
    </x:row>
    <x:row r="1995">
      <x:c r="A1995" s="30" t="n">
        <x:v>350600</x:v>
      </x:c>
      <x:c r="B1995" s="22" t="str">
        <x:v>漳州市</x:v>
      </x:c>
      <x:c r="C1995" s="31" t="n">
        <x:v>350602</x:v>
      </x:c>
      <x:c r="D1995" s="22" t="str">
        <x:v>芗城区</x:v>
      </x:c>
      <x:c r="E1995" s="22" t="str">
        <x:v>农用地</x:v>
      </x:c>
      <x:c r="F1995" s="22" t="str">
        <x:v>耕地</x:v>
      </x:c>
      <x:c r="G1995" s="32" t="str">
        <x:v>103</x:v>
      </x:c>
      <x:c r="H1995" s="32" t="str">
        <x:v>103</x:v>
      </x:c>
      <x:c r="I1995" s="22" t="str">
        <x:v>旱地</x:v>
      </x:c>
      <x:c r="J1995" s="22" t="str">
        <x:v>农业生态</x:v>
      </x:c>
      <x:c r="K1995" s="32" t="str"/>
      <x:c r="L1995" s="22" t="str">
        <x:v>不适用/未标注</x:v>
      </x:c>
      <x:c r="M1995" s="33" t="n">
        <x:v>8454298.320000006</x:v>
      </x:c>
      <x:c r="N1995" s="33" t="n">
        <x:v>845.4298320000006</x:v>
      </x:c>
      <x:c r="O1995" s="22" t="str">
        <x:v>公顷</x:v>
      </x:c>
      <x:c r="P1995" s="22" t="str">
        <x:v>未提供（单期横截面）</x:v>
      </x:c>
      <x:c r="Q1995" s="23" t="n">
        <x:v>4974</x:v>
      </x:c>
    </x:row>
    <x:row r="1996">
      <x:c r="A1996" s="30" t="n">
        <x:v>350600</x:v>
      </x:c>
      <x:c r="B1996" s="22" t="str">
        <x:v>漳州市</x:v>
      </x:c>
      <x:c r="C1996" s="31" t="n">
        <x:v>350602</x:v>
      </x:c>
      <x:c r="D1996" s="22" t="str">
        <x:v>芗城区</x:v>
      </x:c>
      <x:c r="E1996" s="22" t="str">
        <x:v>农用地</x:v>
      </x:c>
      <x:c r="F1996" s="22" t="str">
        <x:v>园地</x:v>
      </x:c>
      <x:c r="G1996" s="32" t="str">
        <x:v>201</x:v>
      </x:c>
      <x:c r="H1996" s="32" t="str">
        <x:v>201</x:v>
      </x:c>
      <x:c r="I1996" s="22" t="str">
        <x:v>果园</x:v>
      </x:c>
      <x:c r="J1996" s="22" t="str">
        <x:v>农业生态</x:v>
      </x:c>
      <x:c r="K1996" s="32" t="str"/>
      <x:c r="L1996" s="22" t="str">
        <x:v>不适用/未标注</x:v>
      </x:c>
      <x:c r="M1996" s="33" t="n">
        <x:v>61464385.41999994</x:v>
      </x:c>
      <x:c r="N1996" s="33" t="n">
        <x:v>6146.438541999994</x:v>
      </x:c>
      <x:c r="O1996" s="22" t="str">
        <x:v>公顷</x:v>
      </x:c>
      <x:c r="P1996" s="22" t="str">
        <x:v>未提供（单期横截面）</x:v>
      </x:c>
      <x:c r="Q1996" s="23" t="n">
        <x:v>4975</x:v>
      </x:c>
    </x:row>
    <x:row r="1997">
      <x:c r="A1997" s="30" t="n">
        <x:v>350600</x:v>
      </x:c>
      <x:c r="B1997" s="22" t="str">
        <x:v>漳州市</x:v>
      </x:c>
      <x:c r="C1997" s="31" t="n">
        <x:v>350602</x:v>
      </x:c>
      <x:c r="D1997" s="22" t="str">
        <x:v>芗城区</x:v>
      </x:c>
      <x:c r="E1997" s="22" t="str">
        <x:v>农用地</x:v>
      </x:c>
      <x:c r="F1997" s="22" t="str">
        <x:v>园地</x:v>
      </x:c>
      <x:c r="G1997" s="32" t="str">
        <x:v>0201K</x:v>
      </x:c>
      <x:c r="H1997" s="32" t="str">
        <x:v>201</x:v>
      </x:c>
      <x:c r="I1997" s="22" t="str">
        <x:v>可调整果园</x:v>
      </x:c>
      <x:c r="J1997" s="22" t="str">
        <x:v>农业生态</x:v>
      </x:c>
      <x:c r="K1997" s="32" t="str"/>
      <x:c r="L1997" s="22" t="str">
        <x:v>不适用/未标注</x:v>
      </x:c>
      <x:c r="M1997" s="33" t="n">
        <x:v>6252392.029999994</x:v>
      </x:c>
      <x:c r="N1997" s="33" t="n">
        <x:v>625.2392029999994</x:v>
      </x:c>
      <x:c r="O1997" s="22" t="str">
        <x:v>公顷</x:v>
      </x:c>
      <x:c r="P1997" s="22" t="str">
        <x:v>未提供（单期横截面）</x:v>
      </x:c>
      <x:c r="Q1997" s="23" t="n">
        <x:v>4976</x:v>
      </x:c>
    </x:row>
    <x:row r="1998">
      <x:c r="A1998" s="30" t="n">
        <x:v>350600</x:v>
      </x:c>
      <x:c r="B1998" s="22" t="str">
        <x:v>漳州市</x:v>
      </x:c>
      <x:c r="C1998" s="31" t="n">
        <x:v>350602</x:v>
      </x:c>
      <x:c r="D1998" s="22" t="str">
        <x:v>芗城区</x:v>
      </x:c>
      <x:c r="E1998" s="22" t="str">
        <x:v>农用地</x:v>
      </x:c>
      <x:c r="F1998" s="22" t="str">
        <x:v>园地</x:v>
      </x:c>
      <x:c r="G1998" s="32" t="str">
        <x:v>202</x:v>
      </x:c>
      <x:c r="H1998" s="32" t="str">
        <x:v>202</x:v>
      </x:c>
      <x:c r="I1998" s="22" t="str">
        <x:v>茶园</x:v>
      </x:c>
      <x:c r="J1998" s="22" t="str">
        <x:v>农业生态</x:v>
      </x:c>
      <x:c r="K1998" s="32" t="str"/>
      <x:c r="L1998" s="22" t="str">
        <x:v>不适用/未标注</x:v>
      </x:c>
      <x:c r="M1998" s="33" t="n">
        <x:v>575454.5200000005</x:v>
      </x:c>
      <x:c r="N1998" s="33" t="n">
        <x:v>57.54545200000005</x:v>
      </x:c>
      <x:c r="O1998" s="22" t="str">
        <x:v>公顷</x:v>
      </x:c>
      <x:c r="P1998" s="22" t="str">
        <x:v>未提供（单期横截面）</x:v>
      </x:c>
      <x:c r="Q1998" s="23" t="n">
        <x:v>4977</x:v>
      </x:c>
    </x:row>
    <x:row r="1999">
      <x:c r="A1999" s="30" t="n">
        <x:v>350600</x:v>
      </x:c>
      <x:c r="B1999" s="22" t="str">
        <x:v>漳州市</x:v>
      </x:c>
      <x:c r="C1999" s="31" t="n">
        <x:v>350602</x:v>
      </x:c>
      <x:c r="D1999" s="22" t="str">
        <x:v>芗城区</x:v>
      </x:c>
      <x:c r="E1999" s="22" t="str">
        <x:v>农用地</x:v>
      </x:c>
      <x:c r="F1999" s="22" t="str">
        <x:v>园地</x:v>
      </x:c>
      <x:c r="G1999" s="32" t="str">
        <x:v>0202K</x:v>
      </x:c>
      <x:c r="H1999" s="32" t="str">
        <x:v>0202</x:v>
      </x:c>
      <x:c r="I1999" s="22" t="str">
        <x:v>可调整茶园</x:v>
      </x:c>
      <x:c r="J1999" s="22" t="str">
        <x:v>农业生态</x:v>
      </x:c>
      <x:c r="K1999" s="32" t="str"/>
      <x:c r="L1999" s="22" t="str">
        <x:v>不适用/未标注</x:v>
      </x:c>
      <x:c r="M1999" s="33" t="n">
        <x:v>35236.09</x:v>
      </x:c>
      <x:c r="N1999" s="33" t="n">
        <x:v>3.5236089999999995</x:v>
      </x:c>
      <x:c r="O1999" s="22" t="str">
        <x:v>公顷</x:v>
      </x:c>
      <x:c r="P1999" s="22" t="str">
        <x:v>未提供（单期横截面）</x:v>
      </x:c>
      <x:c r="Q1999" s="23" t="n">
        <x:v>4978</x:v>
      </x:c>
    </x:row>
    <x:row r="2000">
      <x:c r="A2000" s="30" t="n">
        <x:v>350600</x:v>
      </x:c>
      <x:c r="B2000" s="22" t="str">
        <x:v>漳州市</x:v>
      </x:c>
      <x:c r="C2000" s="31" t="n">
        <x:v>350602</x:v>
      </x:c>
      <x:c r="D2000" s="22" t="str">
        <x:v>芗城区</x:v>
      </x:c>
      <x:c r="E2000" s="22" t="str">
        <x:v>农用地</x:v>
      </x:c>
      <x:c r="F2000" s="22" t="str">
        <x:v>园地</x:v>
      </x:c>
      <x:c r="G2000" s="32" t="str">
        <x:v>204</x:v>
      </x:c>
      <x:c r="H2000" s="32" t="str">
        <x:v>204</x:v>
      </x:c>
      <x:c r="I2000" s="22" t="str">
        <x:v>其他园地</x:v>
      </x:c>
      <x:c r="J2000" s="22" t="str">
        <x:v>农业生态</x:v>
      </x:c>
      <x:c r="K2000" s="32" t="str"/>
      <x:c r="L2000" s="22" t="str">
        <x:v>不适用/未标注</x:v>
      </x:c>
      <x:c r="M2000" s="33" t="n">
        <x:v>19155106.599999994</x:v>
      </x:c>
      <x:c r="N2000" s="33" t="n">
        <x:v>1915.5106599999995</x:v>
      </x:c>
      <x:c r="O2000" s="22" t="str">
        <x:v>公顷</x:v>
      </x:c>
      <x:c r="P2000" s="22" t="str">
        <x:v>未提供（单期横截面）</x:v>
      </x:c>
      <x:c r="Q2000" s="23" t="n">
        <x:v>4979</x:v>
      </x:c>
    </x:row>
    <x:row r="2001">
      <x:c r="A2001" s="30" t="n">
        <x:v>350600</x:v>
      </x:c>
      <x:c r="B2001" s="22" t="str">
        <x:v>漳州市</x:v>
      </x:c>
      <x:c r="C2001" s="31" t="n">
        <x:v>350602</x:v>
      </x:c>
      <x:c r="D2001" s="22" t="str">
        <x:v>芗城区</x:v>
      </x:c>
      <x:c r="E2001" s="22" t="str">
        <x:v>农用地</x:v>
      </x:c>
      <x:c r="F2001" s="22" t="str">
        <x:v>园地</x:v>
      </x:c>
      <x:c r="G2001" s="32" t="str">
        <x:v>0204K</x:v>
      </x:c>
      <x:c r="H2001" s="32" t="str">
        <x:v>0204</x:v>
      </x:c>
      <x:c r="I2001" s="22" t="str">
        <x:v>可调整其他园地</x:v>
      </x:c>
      <x:c r="J2001" s="22" t="str">
        <x:v>农业生态</x:v>
      </x:c>
      <x:c r="K2001" s="32" t="str"/>
      <x:c r="L2001" s="22" t="str">
        <x:v>不适用/未标注</x:v>
      </x:c>
      <x:c r="M2001" s="33" t="n">
        <x:v>32485.370000000003</x:v>
      </x:c>
      <x:c r="N2001" s="33" t="n">
        <x:v>3.2485370000000002</x:v>
      </x:c>
      <x:c r="O2001" s="22" t="str">
        <x:v>公顷</x:v>
      </x:c>
      <x:c r="P2001" s="22" t="str">
        <x:v>未提供（单期横截面）</x:v>
      </x:c>
      <x:c r="Q2001" s="23" t="n">
        <x:v>4980</x:v>
      </x:c>
    </x:row>
    <x:row r="2002">
      <x:c r="A2002" s="30" t="n">
        <x:v>350600</x:v>
      </x:c>
      <x:c r="B2002" s="22" t="str">
        <x:v>漳州市</x:v>
      </x:c>
      <x:c r="C2002" s="31" t="n">
        <x:v>350602</x:v>
      </x:c>
      <x:c r="D2002" s="22" t="str">
        <x:v>芗城区</x:v>
      </x:c>
      <x:c r="E2002" s="22" t="str">
        <x:v>农用地</x:v>
      </x:c>
      <x:c r="F2002" s="22" t="str">
        <x:v>林地</x:v>
      </x:c>
      <x:c r="G2002" s="32" t="str">
        <x:v>301</x:v>
      </x:c>
      <x:c r="H2002" s="32" t="str">
        <x:v>301</x:v>
      </x:c>
      <x:c r="I2002" s="22" t="str">
        <x:v>乔木林地</x:v>
      </x:c>
      <x:c r="J2002" s="22" t="str">
        <x:v>农业生态</x:v>
      </x:c>
      <x:c r="K2002" s="32" t="str"/>
      <x:c r="L2002" s="22" t="str">
        <x:v>不适用/未标注</x:v>
      </x:c>
      <x:c r="M2002" s="33" t="n">
        <x:v>25948236.660000004</x:v>
      </x:c>
      <x:c r="N2002" s="33" t="n">
        <x:v>2594.8236660000002</x:v>
      </x:c>
      <x:c r="O2002" s="22" t="str">
        <x:v>公顷</x:v>
      </x:c>
      <x:c r="P2002" s="22" t="str">
        <x:v>未提供（单期横截面）</x:v>
      </x:c>
      <x:c r="Q2002" s="23" t="n">
        <x:v>4981</x:v>
      </x:c>
    </x:row>
    <x:row r="2003">
      <x:c r="A2003" s="30" t="n">
        <x:v>350600</x:v>
      </x:c>
      <x:c r="B2003" s="22" t="str">
        <x:v>漳州市</x:v>
      </x:c>
      <x:c r="C2003" s="31" t="n">
        <x:v>350602</x:v>
      </x:c>
      <x:c r="D2003" s="22" t="str">
        <x:v>芗城区</x:v>
      </x:c>
      <x:c r="E2003" s="22" t="str">
        <x:v>农用地</x:v>
      </x:c>
      <x:c r="F2003" s="22" t="str">
        <x:v>林地</x:v>
      </x:c>
      <x:c r="G2003" s="32" t="str">
        <x:v>0301K</x:v>
      </x:c>
      <x:c r="H2003" s="32" t="str">
        <x:v>0301</x:v>
      </x:c>
      <x:c r="I2003" s="22" t="str">
        <x:v>可调整乔木林地</x:v>
      </x:c>
      <x:c r="J2003" s="22" t="str">
        <x:v>农业生态</x:v>
      </x:c>
      <x:c r="K2003" s="32" t="str"/>
      <x:c r="L2003" s="22" t="str">
        <x:v>不适用/未标注</x:v>
      </x:c>
      <x:c r="M2003" s="33" t="n">
        <x:v>17790.989999999998</x:v>
      </x:c>
      <x:c r="N2003" s="33" t="n">
        <x:v>1.7790989999999998</x:v>
      </x:c>
      <x:c r="O2003" s="22" t="str">
        <x:v>公顷</x:v>
      </x:c>
      <x:c r="P2003" s="22" t="str">
        <x:v>未提供（单期横截面）</x:v>
      </x:c>
      <x:c r="Q2003" s="23" t="n">
        <x:v>4982</x:v>
      </x:c>
    </x:row>
    <x:row r="2004">
      <x:c r="A2004" s="30" t="n">
        <x:v>350600</x:v>
      </x:c>
      <x:c r="B2004" s="22" t="str">
        <x:v>漳州市</x:v>
      </x:c>
      <x:c r="C2004" s="31" t="n">
        <x:v>350602</x:v>
      </x:c>
      <x:c r="D2004" s="22" t="str">
        <x:v>芗城区</x:v>
      </x:c>
      <x:c r="E2004" s="22" t="str">
        <x:v>农用地</x:v>
      </x:c>
      <x:c r="F2004" s="22" t="str">
        <x:v>林地</x:v>
      </x:c>
      <x:c r="G2004" s="32" t="str">
        <x:v>302</x:v>
      </x:c>
      <x:c r="H2004" s="32" t="str">
        <x:v>302</x:v>
      </x:c>
      <x:c r="I2004" s="22" t="str">
        <x:v>竹林地</x:v>
      </x:c>
      <x:c r="J2004" s="22" t="str">
        <x:v>农业生态</x:v>
      </x:c>
      <x:c r="K2004" s="32" t="str"/>
      <x:c r="L2004" s="22" t="str">
        <x:v>不适用/未标注</x:v>
      </x:c>
      <x:c r="M2004" s="33" t="n">
        <x:v>9940608.620000001</x:v>
      </x:c>
      <x:c r="N2004" s="33" t="n">
        <x:v>994.0608620000002</x:v>
      </x:c>
      <x:c r="O2004" s="22" t="str">
        <x:v>公顷</x:v>
      </x:c>
      <x:c r="P2004" s="22" t="str">
        <x:v>未提供（单期横截面）</x:v>
      </x:c>
      <x:c r="Q2004" s="23" t="n">
        <x:v>4983</x:v>
      </x:c>
    </x:row>
    <x:row r="2005">
      <x:c r="A2005" s="30" t="n">
        <x:v>350600</x:v>
      </x:c>
      <x:c r="B2005" s="22" t="str">
        <x:v>漳州市</x:v>
      </x:c>
      <x:c r="C2005" s="31" t="n">
        <x:v>350602</x:v>
      </x:c>
      <x:c r="D2005" s="22" t="str">
        <x:v>芗城区</x:v>
      </x:c>
      <x:c r="E2005" s="22" t="str">
        <x:v>农用地</x:v>
      </x:c>
      <x:c r="F2005" s="22" t="str">
        <x:v>林地</x:v>
      </x:c>
      <x:c r="G2005" s="32" t="str">
        <x:v>0302K</x:v>
      </x:c>
      <x:c r="H2005" s="32" t="str">
        <x:v>0302</x:v>
      </x:c>
      <x:c r="I2005" s="22" t="str">
        <x:v>可调整竹林地</x:v>
      </x:c>
      <x:c r="J2005" s="22" t="str">
        <x:v>农业生态</x:v>
      </x:c>
      <x:c r="K2005" s="32" t="str"/>
      <x:c r="L2005" s="22" t="str">
        <x:v>不适用/未标注</x:v>
      </x:c>
      <x:c r="M2005" s="33" t="n">
        <x:v>64099.549999999996</x:v>
      </x:c>
      <x:c r="N2005" s="33" t="n">
        <x:v>6.409954999999999</x:v>
      </x:c>
      <x:c r="O2005" s="22" t="str">
        <x:v>公顷</x:v>
      </x:c>
      <x:c r="P2005" s="22" t="str">
        <x:v>未提供（单期横截面）</x:v>
      </x:c>
      <x:c r="Q2005" s="23" t="n">
        <x:v>4984</x:v>
      </x:c>
    </x:row>
    <x:row r="2006">
      <x:c r="A2006" s="30" t="n">
        <x:v>350600</x:v>
      </x:c>
      <x:c r="B2006" s="22" t="str">
        <x:v>漳州市</x:v>
      </x:c>
      <x:c r="C2006" s="31" t="n">
        <x:v>350602</x:v>
      </x:c>
      <x:c r="D2006" s="22" t="str">
        <x:v>芗城区</x:v>
      </x:c>
      <x:c r="E2006" s="22" t="str">
        <x:v>农用地</x:v>
      </x:c>
      <x:c r="F2006" s="22" t="str">
        <x:v>林地</x:v>
      </x:c>
      <x:c r="G2006" s="32" t="str">
        <x:v>305</x:v>
      </x:c>
      <x:c r="H2006" s="32" t="str">
        <x:v>305</x:v>
      </x:c>
      <x:c r="I2006" s="22" t="str">
        <x:v>灌木林地</x:v>
      </x:c>
      <x:c r="J2006" s="22" t="str">
        <x:v>农业生态</x:v>
      </x:c>
      <x:c r="K2006" s="32" t="str"/>
      <x:c r="L2006" s="22" t="str">
        <x:v>不适用/未标注</x:v>
      </x:c>
      <x:c r="M2006" s="33" t="n">
        <x:v>616463.47</x:v>
      </x:c>
      <x:c r="N2006" s="33" t="n">
        <x:v>61.646347</x:v>
      </x:c>
      <x:c r="O2006" s="22" t="str">
        <x:v>公顷</x:v>
      </x:c>
      <x:c r="P2006" s="22" t="str">
        <x:v>未提供（单期横截面）</x:v>
      </x:c>
      <x:c r="Q2006" s="23" t="n">
        <x:v>4985</x:v>
      </x:c>
    </x:row>
    <x:row r="2007">
      <x:c r="A2007" s="30" t="n">
        <x:v>350600</x:v>
      </x:c>
      <x:c r="B2007" s="22" t="str">
        <x:v>漳州市</x:v>
      </x:c>
      <x:c r="C2007" s="31" t="n">
        <x:v>350602</x:v>
      </x:c>
      <x:c r="D2007" s="22" t="str">
        <x:v>芗城区</x:v>
      </x:c>
      <x:c r="E2007" s="22" t="str">
        <x:v>农用地</x:v>
      </x:c>
      <x:c r="F2007" s="22" t="str">
        <x:v>林地</x:v>
      </x:c>
      <x:c r="G2007" s="32" t="str">
        <x:v>307</x:v>
      </x:c>
      <x:c r="H2007" s="32" t="str">
        <x:v>307</x:v>
      </x:c>
      <x:c r="I2007" s="22" t="str">
        <x:v>其他林地</x:v>
      </x:c>
      <x:c r="J2007" s="22" t="str">
        <x:v>农业生态</x:v>
      </x:c>
      <x:c r="K2007" s="32" t="str"/>
      <x:c r="L2007" s="22" t="str">
        <x:v>不适用/未标注</x:v>
      </x:c>
      <x:c r="M2007" s="33" t="n">
        <x:v>1648762.5699999998</x:v>
      </x:c>
      <x:c r="N2007" s="33" t="n">
        <x:v>164.87625699999998</x:v>
      </x:c>
      <x:c r="O2007" s="22" t="str">
        <x:v>公顷</x:v>
      </x:c>
      <x:c r="P2007" s="22" t="str">
        <x:v>未提供（单期横截面）</x:v>
      </x:c>
      <x:c r="Q2007" s="23" t="n">
        <x:v>4986</x:v>
      </x:c>
    </x:row>
    <x:row r="2008">
      <x:c r="A2008" s="30" t="n">
        <x:v>350600</x:v>
      </x:c>
      <x:c r="B2008" s="22" t="str">
        <x:v>漳州市</x:v>
      </x:c>
      <x:c r="C2008" s="31" t="n">
        <x:v>350602</x:v>
      </x:c>
      <x:c r="D2008" s="22" t="str">
        <x:v>芗城区</x:v>
      </x:c>
      <x:c r="E2008" s="22" t="str">
        <x:v>农用地</x:v>
      </x:c>
      <x:c r="F2008" s="22" t="str">
        <x:v>其他农用地</x:v>
      </x:c>
      <x:c r="G2008" s="32" t="str">
        <x:v>1006</x:v>
      </x:c>
      <x:c r="H2008" s="32" t="str">
        <x:v>1006</x:v>
      </x:c>
      <x:c r="I2008" s="22" t="str">
        <x:v>农村道路</x:v>
      </x:c>
      <x:c r="J2008" s="22" t="str">
        <x:v>农业生态</x:v>
      </x:c>
      <x:c r="K2008" s="32" t="str"/>
      <x:c r="L2008" s="22" t="str">
        <x:v>不适用/未标注</x:v>
      </x:c>
      <x:c r="M2008" s="33" t="n">
        <x:v>1878009.1700000016</x:v>
      </x:c>
      <x:c r="N2008" s="33" t="n">
        <x:v>187.80091700000017</x:v>
      </x:c>
      <x:c r="O2008" s="22" t="str">
        <x:v>公顷</x:v>
      </x:c>
      <x:c r="P2008" s="22" t="str">
        <x:v>未提供（单期横截面）</x:v>
      </x:c>
      <x:c r="Q2008" s="23" t="n">
        <x:v>4987</x:v>
      </x:c>
    </x:row>
    <x:row r="2009">
      <x:c r="A2009" s="30" t="n">
        <x:v>350600</x:v>
      </x:c>
      <x:c r="B2009" s="22" t="str">
        <x:v>漳州市</x:v>
      </x:c>
      <x:c r="C2009" s="31" t="n">
        <x:v>350602</x:v>
      </x:c>
      <x:c r="D2009" s="22" t="str">
        <x:v>芗城区</x:v>
      </x:c>
      <x:c r="E2009" s="22" t="str">
        <x:v>农用地</x:v>
      </x:c>
      <x:c r="F2009" s="22" t="str">
        <x:v>水域及水利设施</x:v>
      </x:c>
      <x:c r="G2009" s="32" t="str">
        <x:v>1103</x:v>
      </x:c>
      <x:c r="H2009" s="32" t="str">
        <x:v>1103</x:v>
      </x:c>
      <x:c r="I2009" s="22" t="str">
        <x:v>水库水面</x:v>
      </x:c>
      <x:c r="J2009" s="22" t="str">
        <x:v>农业生态</x:v>
      </x:c>
      <x:c r="K2009" s="32" t="str"/>
      <x:c r="L2009" s="22" t="str">
        <x:v>不适用/未标注</x:v>
      </x:c>
      <x:c r="M2009" s="33" t="n">
        <x:v>434723.01</x:v>
      </x:c>
      <x:c r="N2009" s="33" t="n">
        <x:v>43.472301</x:v>
      </x:c>
      <x:c r="O2009" s="22" t="str">
        <x:v>公顷</x:v>
      </x:c>
      <x:c r="P2009" s="22" t="str">
        <x:v>未提供（单期横截面）</x:v>
      </x:c>
      <x:c r="Q2009" s="23" t="n">
        <x:v>4988</x:v>
      </x:c>
    </x:row>
    <x:row r="2010">
      <x:c r="A2010" s="30" t="n">
        <x:v>350600</x:v>
      </x:c>
      <x:c r="B2010" s="22" t="str">
        <x:v>漳州市</x:v>
      </x:c>
      <x:c r="C2010" s="31" t="n">
        <x:v>350602</x:v>
      </x:c>
      <x:c r="D2010" s="22" t="str">
        <x:v>芗城区</x:v>
      </x:c>
      <x:c r="E2010" s="22" t="str">
        <x:v>农用地</x:v>
      </x:c>
      <x:c r="F2010" s="22" t="str">
        <x:v>水域及水利设施</x:v>
      </x:c>
      <x:c r="G2010" s="32" t="str">
        <x:v>1104</x:v>
      </x:c>
      <x:c r="H2010" s="32" t="str">
        <x:v>1104</x:v>
      </x:c>
      <x:c r="I2010" s="22" t="str">
        <x:v>坑塘水面</x:v>
      </x:c>
      <x:c r="J2010" s="22" t="str">
        <x:v>农业生态</x:v>
      </x:c>
      <x:c r="K2010" s="32" t="str"/>
      <x:c r="L2010" s="22" t="str">
        <x:v>不适用/未标注</x:v>
      </x:c>
      <x:c r="M2010" s="33" t="n">
        <x:v>3503625.14</x:v>
      </x:c>
      <x:c r="N2010" s="33" t="n">
        <x:v>350.36251400000003</x:v>
      </x:c>
      <x:c r="O2010" s="22" t="str">
        <x:v>公顷</x:v>
      </x:c>
      <x:c r="P2010" s="22" t="str">
        <x:v>未提供（单期横截面）</x:v>
      </x:c>
      <x:c r="Q2010" s="23" t="n">
        <x:v>4989</x:v>
      </x:c>
    </x:row>
    <x:row r="2011">
      <x:c r="A2011" s="30" t="n">
        <x:v>350600</x:v>
      </x:c>
      <x:c r="B2011" s="22" t="str">
        <x:v>漳州市</x:v>
      </x:c>
      <x:c r="C2011" s="31" t="n">
        <x:v>350602</x:v>
      </x:c>
      <x:c r="D2011" s="22" t="str">
        <x:v>芗城区</x:v>
      </x:c>
      <x:c r="E2011" s="22" t="str">
        <x:v>农用地</x:v>
      </x:c>
      <x:c r="F2011" s="22" t="str">
        <x:v>水域及水利设施</x:v>
      </x:c>
      <x:c r="G2011" s="32" t="str">
        <x:v>1104A</x:v>
      </x:c>
      <x:c r="H2011" s="32" t="str">
        <x:v>1104</x:v>
      </x:c>
      <x:c r="I2011" s="22" t="str">
        <x:v>养殖坑塘</x:v>
      </x:c>
      <x:c r="J2011" s="22" t="str">
        <x:v>农业生态</x:v>
      </x:c>
      <x:c r="K2011" s="32" t="str"/>
      <x:c r="L2011" s="22" t="str">
        <x:v>不适用/未标注</x:v>
      </x:c>
      <x:c r="M2011" s="33" t="n">
        <x:v>7947057.870000005</x:v>
      </x:c>
      <x:c r="N2011" s="33" t="n">
        <x:v>794.7057870000004</x:v>
      </x:c>
      <x:c r="O2011" s="22" t="str">
        <x:v>公顷</x:v>
      </x:c>
      <x:c r="P2011" s="22" t="str">
        <x:v>未提供（单期横截面）</x:v>
      </x:c>
      <x:c r="Q2011" s="23" t="n">
        <x:v>4990</x:v>
      </x:c>
    </x:row>
    <x:row r="2012">
      <x:c r="A2012" s="30" t="n">
        <x:v>350600</x:v>
      </x:c>
      <x:c r="B2012" s="22" t="str">
        <x:v>漳州市</x:v>
      </x:c>
      <x:c r="C2012" s="31" t="n">
        <x:v>350602</x:v>
      </x:c>
      <x:c r="D2012" s="22" t="str">
        <x:v>芗城区</x:v>
      </x:c>
      <x:c r="E2012" s="22" t="str">
        <x:v>农用地</x:v>
      </x:c>
      <x:c r="F2012" s="22" t="str">
        <x:v>水域及水利设施</x:v>
      </x:c>
      <x:c r="G2012" s="32" t="str">
        <x:v>1104K</x:v>
      </x:c>
      <x:c r="H2012" s="32" t="str">
        <x:v>1104</x:v>
      </x:c>
      <x:c r="I2012" s="22" t="str">
        <x:v>可调整养殖坑塘</x:v>
      </x:c>
      <x:c r="J2012" s="22" t="str">
        <x:v>农业生态</x:v>
      </x:c>
      <x:c r="K2012" s="32" t="str"/>
      <x:c r="L2012" s="22" t="str">
        <x:v>不适用/未标注</x:v>
      </x:c>
      <x:c r="M2012" s="33" t="n">
        <x:v>2683610.3899999997</x:v>
      </x:c>
      <x:c r="N2012" s="33" t="n">
        <x:v>268.36103899999995</x:v>
      </x:c>
      <x:c r="O2012" s="22" t="str">
        <x:v>公顷</x:v>
      </x:c>
      <x:c r="P2012" s="22" t="str">
        <x:v>未提供（单期横截面）</x:v>
      </x:c>
      <x:c r="Q2012" s="23" t="n">
        <x:v>4991</x:v>
      </x:c>
    </x:row>
    <x:row r="2013">
      <x:c r="A2013" s="30" t="n">
        <x:v>350600</x:v>
      </x:c>
      <x:c r="B2013" s="22" t="str">
        <x:v>漳州市</x:v>
      </x:c>
      <x:c r="C2013" s="31" t="n">
        <x:v>350602</x:v>
      </x:c>
      <x:c r="D2013" s="22" t="str">
        <x:v>芗城区</x:v>
      </x:c>
      <x:c r="E2013" s="22" t="str">
        <x:v>农用地</x:v>
      </x:c>
      <x:c r="F2013" s="22" t="str">
        <x:v>水域及水利设施</x:v>
      </x:c>
      <x:c r="G2013" s="32" t="str">
        <x:v>1107</x:v>
      </x:c>
      <x:c r="H2013" s="32" t="str">
        <x:v>1107</x:v>
      </x:c>
      <x:c r="I2013" s="22" t="str">
        <x:v>沟渠</x:v>
      </x:c>
      <x:c r="J2013" s="22" t="str">
        <x:v>农业生态</x:v>
      </x:c>
      <x:c r="K2013" s="32" t="str"/>
      <x:c r="L2013" s="22" t="str">
        <x:v>不适用/未标注</x:v>
      </x:c>
      <x:c r="M2013" s="33" t="n">
        <x:v>872091.9600000005</x:v>
      </x:c>
      <x:c r="N2013" s="33" t="n">
        <x:v>87.20919600000005</x:v>
      </x:c>
      <x:c r="O2013" s="22" t="str">
        <x:v>公顷</x:v>
      </x:c>
      <x:c r="P2013" s="22" t="str">
        <x:v>未提供（单期横截面）</x:v>
      </x:c>
      <x:c r="Q2013" s="23" t="n">
        <x:v>4992</x:v>
      </x:c>
    </x:row>
    <x:row r="2014">
      <x:c r="A2014" s="30" t="n">
        <x:v>350600</x:v>
      </x:c>
      <x:c r="B2014" s="22" t="str">
        <x:v>漳州市</x:v>
      </x:c>
      <x:c r="C2014" s="31" t="n">
        <x:v>350602</x:v>
      </x:c>
      <x:c r="D2014" s="22" t="str">
        <x:v>芗城区</x:v>
      </x:c>
      <x:c r="E2014" s="22" t="str">
        <x:v>农用地</x:v>
      </x:c>
      <x:c r="F2014" s="22" t="str">
        <x:v>水域及水利设施</x:v>
      </x:c>
      <x:c r="G2014" s="32" t="str">
        <x:v>1107A</x:v>
      </x:c>
      <x:c r="H2014" s="32" t="str">
        <x:v>1107</x:v>
      </x:c>
      <x:c r="I2014" s="22" t="str">
        <x:v>干渠</x:v>
      </x:c>
      <x:c r="J2014" s="22" t="str">
        <x:v>农业生态</x:v>
      </x:c>
      <x:c r="K2014" s="32" t="str"/>
      <x:c r="L2014" s="22" t="str">
        <x:v>不适用/未标注</x:v>
      </x:c>
      <x:c r="M2014" s="33" t="n">
        <x:v>73097.45999999999</x:v>
      </x:c>
      <x:c r="N2014" s="33" t="n">
        <x:v>7.309745999999999</x:v>
      </x:c>
      <x:c r="O2014" s="22" t="str">
        <x:v>公顷</x:v>
      </x:c>
      <x:c r="P2014" s="22" t="str">
        <x:v>未提供（单期横截面）</x:v>
      </x:c>
      <x:c r="Q2014" s="23" t="n">
        <x:v>4993</x:v>
      </x:c>
    </x:row>
    <x:row r="2015">
      <x:c r="A2015" s="30" t="n">
        <x:v>350600</x:v>
      </x:c>
      <x:c r="B2015" s="22" t="str">
        <x:v>漳州市</x:v>
      </x:c>
      <x:c r="C2015" s="31" t="n">
        <x:v>350602</x:v>
      </x:c>
      <x:c r="D2015" s="22" t="str">
        <x:v>芗城区</x:v>
      </x:c>
      <x:c r="E2015" s="22" t="str">
        <x:v>农用地</x:v>
      </x:c>
      <x:c r="F2015" s="22" t="str">
        <x:v>其他农用地</x:v>
      </x:c>
      <x:c r="G2015" s="32" t="str">
        <x:v>1202</x:v>
      </x:c>
      <x:c r="H2015" s="32" t="str">
        <x:v>1202</x:v>
      </x:c>
      <x:c r="I2015" s="22" t="str">
        <x:v>设施农用地</x:v>
      </x:c>
      <x:c r="J2015" s="22" t="str">
        <x:v>农业生态</x:v>
      </x:c>
      <x:c r="K2015" s="32" t="str"/>
      <x:c r="L2015" s="22" t="str">
        <x:v>不适用/未标注</x:v>
      </x:c>
      <x:c r="M2015" s="33" t="n">
        <x:v>5574819.250000003</x:v>
      </x:c>
      <x:c r="N2015" s="33" t="n">
        <x:v>557.4819250000003</x:v>
      </x:c>
      <x:c r="O2015" s="22" t="str">
        <x:v>公顷</x:v>
      </x:c>
      <x:c r="P2015" s="22" t="str">
        <x:v>未提供（单期横截面）</x:v>
      </x:c>
      <x:c r="Q2015" s="23" t="n">
        <x:v>4994</x:v>
      </x:c>
    </x:row>
    <x:row r="2016">
      <x:c r="A2016" s="30" t="n">
        <x:v>350600</x:v>
      </x:c>
      <x:c r="B2016" s="22" t="str">
        <x:v>漳州市</x:v>
      </x:c>
      <x:c r="C2016" s="31" t="n">
        <x:v>350602</x:v>
      </x:c>
      <x:c r="D2016" s="22" t="str">
        <x:v>芗城区</x:v>
      </x:c>
      <x:c r="E2016" s="22" t="str">
        <x:v>农用地</x:v>
      </x:c>
      <x:c r="F2016" s="22" t="str">
        <x:v>耕地</x:v>
      </x:c>
      <x:c r="G2016" s="32" t="str">
        <x:v>101</x:v>
      </x:c>
      <x:c r="H2016" s="32" t="str">
        <x:v>101</x:v>
      </x:c>
      <x:c r="I2016" s="22" t="str">
        <x:v>水田</x:v>
      </x:c>
      <x:c r="J2016" s="22" t="str">
        <x:v>农业生态</x:v>
      </x:c>
      <x:c r="K2016" s="32" t="str">
        <x:v>201</x:v>
      </x:c>
      <x:c r="L2016" s="22" t="str">
        <x:v>城市范围</x:v>
      </x:c>
      <x:c r="M2016" s="33" t="n">
        <x:v>4670.2</x:v>
      </x:c>
      <x:c r="N2016" s="33" t="n">
        <x:v>0.46702</x:v>
      </x:c>
      <x:c r="O2016" s="22" t="str">
        <x:v>公顷</x:v>
      </x:c>
      <x:c r="P2016" s="22" t="str">
        <x:v>未提供（单期横截面）</x:v>
      </x:c>
      <x:c r="Q2016" s="23" t="n">
        <x:v>4995</x:v>
      </x:c>
    </x:row>
    <x:row r="2017">
      <x:c r="A2017" s="30" t="n">
        <x:v>350600</x:v>
      </x:c>
      <x:c r="B2017" s="22" t="str">
        <x:v>漳州市</x:v>
      </x:c>
      <x:c r="C2017" s="31" t="n">
        <x:v>350602</x:v>
      </x:c>
      <x:c r="D2017" s="22" t="str">
        <x:v>芗城区</x:v>
      </x:c>
      <x:c r="E2017" s="22" t="str">
        <x:v>农用地</x:v>
      </x:c>
      <x:c r="F2017" s="22" t="str">
        <x:v>耕地</x:v>
      </x:c>
      <x:c r="G2017" s="32" t="str">
        <x:v>102</x:v>
      </x:c>
      <x:c r="H2017" s="32" t="str">
        <x:v>102</x:v>
      </x:c>
      <x:c r="I2017" s="22" t="str">
        <x:v>水浇地</x:v>
      </x:c>
      <x:c r="J2017" s="22" t="str">
        <x:v>农业生态</x:v>
      </x:c>
      <x:c r="K2017" s="32" t="str">
        <x:v>201</x:v>
      </x:c>
      <x:c r="L2017" s="22" t="str">
        <x:v>城市范围</x:v>
      </x:c>
      <x:c r="M2017" s="33" t="n">
        <x:v>33509.530000000006</x:v>
      </x:c>
      <x:c r="N2017" s="33" t="n">
        <x:v>3.3509530000000005</x:v>
      </x:c>
      <x:c r="O2017" s="22" t="str">
        <x:v>公顷</x:v>
      </x:c>
      <x:c r="P2017" s="22" t="str">
        <x:v>未提供（单期横截面）</x:v>
      </x:c>
      <x:c r="Q2017" s="23" t="n">
        <x:v>4996</x:v>
      </x:c>
    </x:row>
    <x:row r="2018">
      <x:c r="A2018" s="30" t="n">
        <x:v>350600</x:v>
      </x:c>
      <x:c r="B2018" s="22" t="str">
        <x:v>漳州市</x:v>
      </x:c>
      <x:c r="C2018" s="31" t="n">
        <x:v>350602</x:v>
      </x:c>
      <x:c r="D2018" s="22" t="str">
        <x:v>芗城区</x:v>
      </x:c>
      <x:c r="E2018" s="22" t="str">
        <x:v>农用地</x:v>
      </x:c>
      <x:c r="F2018" s="22" t="str">
        <x:v>耕地</x:v>
      </x:c>
      <x:c r="G2018" s="32" t="str">
        <x:v>103</x:v>
      </x:c>
      <x:c r="H2018" s="32" t="str">
        <x:v>103</x:v>
      </x:c>
      <x:c r="I2018" s="22" t="str">
        <x:v>旱地</x:v>
      </x:c>
      <x:c r="J2018" s="22" t="str">
        <x:v>农业生态</x:v>
      </x:c>
      <x:c r="K2018" s="32" t="str">
        <x:v>201</x:v>
      </x:c>
      <x:c r="L2018" s="22" t="str">
        <x:v>城市范围</x:v>
      </x:c>
      <x:c r="M2018" s="33" t="n">
        <x:v>25169.390000000003</x:v>
      </x:c>
      <x:c r="N2018" s="33" t="n">
        <x:v>2.5169390000000003</x:v>
      </x:c>
      <x:c r="O2018" s="22" t="str">
        <x:v>公顷</x:v>
      </x:c>
      <x:c r="P2018" s="22" t="str">
        <x:v>未提供（单期横截面）</x:v>
      </x:c>
      <x:c r="Q2018" s="23" t="n">
        <x:v>4997</x:v>
      </x:c>
    </x:row>
    <x:row r="2019">
      <x:c r="A2019" s="30" t="n">
        <x:v>350600</x:v>
      </x:c>
      <x:c r="B2019" s="22" t="str">
        <x:v>漳州市</x:v>
      </x:c>
      <x:c r="C2019" s="31" t="n">
        <x:v>350602</x:v>
      </x:c>
      <x:c r="D2019" s="22" t="str">
        <x:v>芗城区</x:v>
      </x:c>
      <x:c r="E2019" s="22" t="str">
        <x:v>农用地</x:v>
      </x:c>
      <x:c r="F2019" s="22" t="str">
        <x:v>园地</x:v>
      </x:c>
      <x:c r="G2019" s="32" t="str">
        <x:v>201</x:v>
      </x:c>
      <x:c r="H2019" s="32" t="str">
        <x:v>201</x:v>
      </x:c>
      <x:c r="I2019" s="22" t="str">
        <x:v>果园</x:v>
      </x:c>
      <x:c r="J2019" s="22" t="str">
        <x:v>农业生态</x:v>
      </x:c>
      <x:c r="K2019" s="32" t="str">
        <x:v>201</x:v>
      </x:c>
      <x:c r="L2019" s="22" t="str">
        <x:v>城市范围</x:v>
      </x:c>
      <x:c r="M2019" s="33" t="n">
        <x:v>161292.66</x:v>
      </x:c>
      <x:c r="N2019" s="33" t="n">
        <x:v>16.129266</x:v>
      </x:c>
      <x:c r="O2019" s="22" t="str">
        <x:v>公顷</x:v>
      </x:c>
      <x:c r="P2019" s="22" t="str">
        <x:v>未提供（单期横截面）</x:v>
      </x:c>
      <x:c r="Q2019" s="23" t="n">
        <x:v>4998</x:v>
      </x:c>
    </x:row>
    <x:row r="2020">
      <x:c r="A2020" s="30" t="n">
        <x:v>350600</x:v>
      </x:c>
      <x:c r="B2020" s="22" t="str">
        <x:v>漳州市</x:v>
      </x:c>
      <x:c r="C2020" s="31" t="n">
        <x:v>350602</x:v>
      </x:c>
      <x:c r="D2020" s="22" t="str">
        <x:v>芗城区</x:v>
      </x:c>
      <x:c r="E2020" s="22" t="str">
        <x:v>农用地</x:v>
      </x:c>
      <x:c r="F2020" s="22" t="str">
        <x:v>园地</x:v>
      </x:c>
      <x:c r="G2020" s="32" t="str">
        <x:v>204</x:v>
      </x:c>
      <x:c r="H2020" s="32" t="str">
        <x:v>204</x:v>
      </x:c>
      <x:c r="I2020" s="22" t="str">
        <x:v>其他园地</x:v>
      </x:c>
      <x:c r="J2020" s="22" t="str">
        <x:v>农业生态</x:v>
      </x:c>
      <x:c r="K2020" s="32" t="str">
        <x:v>201</x:v>
      </x:c>
      <x:c r="L2020" s="22" t="str">
        <x:v>城市范围</x:v>
      </x:c>
      <x:c r="M2020" s="33" t="n">
        <x:v>64617.509999999995</x:v>
      </x:c>
      <x:c r="N2020" s="33" t="n">
        <x:v>6.461751</x:v>
      </x:c>
      <x:c r="O2020" s="22" t="str">
        <x:v>公顷</x:v>
      </x:c>
      <x:c r="P2020" s="22" t="str">
        <x:v>未提供（单期横截面）</x:v>
      </x:c>
      <x:c r="Q2020" s="23" t="n">
        <x:v>4999</x:v>
      </x:c>
    </x:row>
    <x:row r="2021">
      <x:c r="A2021" s="30" t="n">
        <x:v>350600</x:v>
      </x:c>
      <x:c r="B2021" s="22" t="str">
        <x:v>漳州市</x:v>
      </x:c>
      <x:c r="C2021" s="31" t="n">
        <x:v>350602</x:v>
      </x:c>
      <x:c r="D2021" s="22" t="str">
        <x:v>芗城区</x:v>
      </x:c>
      <x:c r="E2021" s="22" t="str">
        <x:v>农用地</x:v>
      </x:c>
      <x:c r="F2021" s="22" t="str">
        <x:v>林地</x:v>
      </x:c>
      <x:c r="G2021" s="32" t="str">
        <x:v>301</x:v>
      </x:c>
      <x:c r="H2021" s="32" t="str">
        <x:v>301</x:v>
      </x:c>
      <x:c r="I2021" s="22" t="str">
        <x:v>乔木林地</x:v>
      </x:c>
      <x:c r="J2021" s="22" t="str">
        <x:v>农业生态</x:v>
      </x:c>
      <x:c r="K2021" s="32" t="str">
        <x:v>201</x:v>
      </x:c>
      <x:c r="L2021" s="22" t="str">
        <x:v>城市范围</x:v>
      </x:c>
      <x:c r="M2021" s="33" t="n">
        <x:v>172084.34</x:v>
      </x:c>
      <x:c r="N2021" s="33" t="n">
        <x:v>17.208434</x:v>
      </x:c>
      <x:c r="O2021" s="22" t="str">
        <x:v>公顷</x:v>
      </x:c>
      <x:c r="P2021" s="22" t="str">
        <x:v>未提供（单期横截面）</x:v>
      </x:c>
      <x:c r="Q2021" s="23" t="n">
        <x:v>5000</x:v>
      </x:c>
    </x:row>
    <x:row r="2022">
      <x:c r="A2022" s="30" t="n">
        <x:v>350600</x:v>
      </x:c>
      <x:c r="B2022" s="22" t="str">
        <x:v>漳州市</x:v>
      </x:c>
      <x:c r="C2022" s="31" t="n">
        <x:v>350602</x:v>
      </x:c>
      <x:c r="D2022" s="22" t="str">
        <x:v>芗城区</x:v>
      </x:c>
      <x:c r="E2022" s="22" t="str">
        <x:v>农用地</x:v>
      </x:c>
      <x:c r="F2022" s="22" t="str">
        <x:v>林地</x:v>
      </x:c>
      <x:c r="G2022" s="32" t="str">
        <x:v>302</x:v>
      </x:c>
      <x:c r="H2022" s="32" t="str">
        <x:v>302</x:v>
      </x:c>
      <x:c r="I2022" s="22" t="str">
        <x:v>竹林地</x:v>
      </x:c>
      <x:c r="J2022" s="22" t="str">
        <x:v>农业生态</x:v>
      </x:c>
      <x:c r="K2022" s="32" t="str">
        <x:v>201</x:v>
      </x:c>
      <x:c r="L2022" s="22" t="str">
        <x:v>城市范围</x:v>
      </x:c>
      <x:c r="M2022" s="33" t="n">
        <x:v>192844.06000000003</x:v>
      </x:c>
      <x:c r="N2022" s="33" t="n">
        <x:v>19.284406000000004</x:v>
      </x:c>
      <x:c r="O2022" s="22" t="str">
        <x:v>公顷</x:v>
      </x:c>
      <x:c r="P2022" s="22" t="str">
        <x:v>未提供（单期横截面）</x:v>
      </x:c>
      <x:c r="Q2022" s="23" t="n">
        <x:v>5001</x:v>
      </x:c>
    </x:row>
    <x:row r="2023">
      <x:c r="A2023" s="30" t="n">
        <x:v>350600</x:v>
      </x:c>
      <x:c r="B2023" s="22" t="str">
        <x:v>漳州市</x:v>
      </x:c>
      <x:c r="C2023" s="31" t="n">
        <x:v>350602</x:v>
      </x:c>
      <x:c r="D2023" s="22" t="str">
        <x:v>芗城区</x:v>
      </x:c>
      <x:c r="E2023" s="22" t="str">
        <x:v>农用地</x:v>
      </x:c>
      <x:c r="F2023" s="22" t="str">
        <x:v>林地</x:v>
      </x:c>
      <x:c r="G2023" s="32" t="str">
        <x:v>305</x:v>
      </x:c>
      <x:c r="H2023" s="32" t="str">
        <x:v>305</x:v>
      </x:c>
      <x:c r="I2023" s="22" t="str">
        <x:v>灌木林地</x:v>
      </x:c>
      <x:c r="J2023" s="22" t="str">
        <x:v>农业生态</x:v>
      </x:c>
      <x:c r="K2023" s="32" t="str">
        <x:v>201</x:v>
      </x:c>
      <x:c r="L2023" s="22" t="str">
        <x:v>城市范围</x:v>
      </x:c>
      <x:c r="M2023" s="33" t="n">
        <x:v>11612.58</x:v>
      </x:c>
      <x:c r="N2023" s="33" t="n">
        <x:v>1.161258</x:v>
      </x:c>
      <x:c r="O2023" s="22" t="str">
        <x:v>公顷</x:v>
      </x:c>
      <x:c r="P2023" s="22" t="str">
        <x:v>未提供（单期横截面）</x:v>
      </x:c>
      <x:c r="Q2023" s="23" t="n">
        <x:v>5002</x:v>
      </x:c>
    </x:row>
    <x:row r="2024">
      <x:c r="A2024" s="30" t="n">
        <x:v>350600</x:v>
      </x:c>
      <x:c r="B2024" s="22" t="str">
        <x:v>漳州市</x:v>
      </x:c>
      <x:c r="C2024" s="31" t="n">
        <x:v>350602</x:v>
      </x:c>
      <x:c r="D2024" s="22" t="str">
        <x:v>芗城区</x:v>
      </x:c>
      <x:c r="E2024" s="22" t="str">
        <x:v>农用地</x:v>
      </x:c>
      <x:c r="F2024" s="22" t="str">
        <x:v>林地</x:v>
      </x:c>
      <x:c r="G2024" s="32" t="str">
        <x:v>307</x:v>
      </x:c>
      <x:c r="H2024" s="32" t="str">
        <x:v>307</x:v>
      </x:c>
      <x:c r="I2024" s="22" t="str">
        <x:v>其他林地</x:v>
      </x:c>
      <x:c r="J2024" s="22" t="str">
        <x:v>农业生态</x:v>
      </x:c>
      <x:c r="K2024" s="32" t="str">
        <x:v>201</x:v>
      </x:c>
      <x:c r="L2024" s="22" t="str">
        <x:v>城市范围</x:v>
      </x:c>
      <x:c r="M2024" s="33" t="n">
        <x:v>355.01</x:v>
      </x:c>
      <x:c r="N2024" s="33" t="n">
        <x:v>0.035501</x:v>
      </x:c>
      <x:c r="O2024" s="22" t="str">
        <x:v>公顷</x:v>
      </x:c>
      <x:c r="P2024" s="22" t="str">
        <x:v>未提供（单期横截面）</x:v>
      </x:c>
      <x:c r="Q2024" s="23" t="n">
        <x:v>5003</x:v>
      </x:c>
    </x:row>
    <x:row r="2025">
      <x:c r="A2025" s="30" t="n">
        <x:v>350600</x:v>
      </x:c>
      <x:c r="B2025" s="22" t="str">
        <x:v>漳州市</x:v>
      </x:c>
      <x:c r="C2025" s="31" t="n">
        <x:v>350602</x:v>
      </x:c>
      <x:c r="D2025" s="22" t="str">
        <x:v>芗城区</x:v>
      </x:c>
      <x:c r="E2025" s="22" t="str">
        <x:v>农用地</x:v>
      </x:c>
      <x:c r="F2025" s="22" t="str">
        <x:v>水域及水利设施</x:v>
      </x:c>
      <x:c r="G2025" s="32" t="str">
        <x:v>1104</x:v>
      </x:c>
      <x:c r="H2025" s="32" t="str">
        <x:v>1104</x:v>
      </x:c>
      <x:c r="I2025" s="22" t="str">
        <x:v>坑塘水面</x:v>
      </x:c>
      <x:c r="J2025" s="22" t="str">
        <x:v>农业生态</x:v>
      </x:c>
      <x:c r="K2025" s="32" t="str">
        <x:v>201</x:v>
      </x:c>
      <x:c r="L2025" s="22" t="str">
        <x:v>城市范围</x:v>
      </x:c>
      <x:c r="M2025" s="33" t="n">
        <x:v>65196.060000000005</x:v>
      </x:c>
      <x:c r="N2025" s="33" t="n">
        <x:v>6.5196060000000005</x:v>
      </x:c>
      <x:c r="O2025" s="22" t="str">
        <x:v>公顷</x:v>
      </x:c>
      <x:c r="P2025" s="22" t="str">
        <x:v>未提供（单期横截面）</x:v>
      </x:c>
      <x:c r="Q2025" s="23" t="n">
        <x:v>5004</x:v>
      </x:c>
    </x:row>
    <x:row r="2026">
      <x:c r="A2026" s="30" t="n">
        <x:v>350600</x:v>
      </x:c>
      <x:c r="B2026" s="22" t="str">
        <x:v>漳州市</x:v>
      </x:c>
      <x:c r="C2026" s="31" t="n">
        <x:v>350602</x:v>
      </x:c>
      <x:c r="D2026" s="22" t="str">
        <x:v>芗城区</x:v>
      </x:c>
      <x:c r="E2026" s="22" t="str">
        <x:v>农用地</x:v>
      </x:c>
      <x:c r="F2026" s="22" t="str">
        <x:v>水域及水利设施</x:v>
      </x:c>
      <x:c r="G2026" s="32" t="str">
        <x:v>1107</x:v>
      </x:c>
      <x:c r="H2026" s="32" t="str">
        <x:v>1107</x:v>
      </x:c>
      <x:c r="I2026" s="22" t="str">
        <x:v>沟渠</x:v>
      </x:c>
      <x:c r="J2026" s="22" t="str">
        <x:v>农业生态</x:v>
      </x:c>
      <x:c r="K2026" s="32" t="str">
        <x:v>201</x:v>
      </x:c>
      <x:c r="L2026" s="22" t="str">
        <x:v>城市范围</x:v>
      </x:c>
      <x:c r="M2026" s="33" t="n">
        <x:v>113943.25000000004</x:v>
      </x:c>
      <x:c r="N2026" s="33" t="n">
        <x:v>11.394325000000004</x:v>
      </x:c>
      <x:c r="O2026" s="22" t="str">
        <x:v>公顷</x:v>
      </x:c>
      <x:c r="P2026" s="22" t="str">
        <x:v>未提供（单期横截面）</x:v>
      </x:c>
      <x:c r="Q2026" s="23" t="n">
        <x:v>5005</x:v>
      </x:c>
    </x:row>
    <x:row r="2027">
      <x:c r="A2027" s="30" t="n">
        <x:v>350600</x:v>
      </x:c>
      <x:c r="B2027" s="22" t="str">
        <x:v>漳州市</x:v>
      </x:c>
      <x:c r="C2027" s="31" t="n">
        <x:v>350602</x:v>
      </x:c>
      <x:c r="D2027" s="22" t="str">
        <x:v>芗城区</x:v>
      </x:c>
      <x:c r="E2027" s="22" t="str">
        <x:v>农用地</x:v>
      </x:c>
      <x:c r="F2027" s="22" t="str">
        <x:v>其他农用地</x:v>
      </x:c>
      <x:c r="G2027" s="32" t="str">
        <x:v>1202</x:v>
      </x:c>
      <x:c r="H2027" s="32" t="str">
        <x:v>1202</x:v>
      </x:c>
      <x:c r="I2027" s="22" t="str">
        <x:v>设施农用地</x:v>
      </x:c>
      <x:c r="J2027" s="22" t="str">
        <x:v>农业生态</x:v>
      </x:c>
      <x:c r="K2027" s="32" t="str">
        <x:v>201</x:v>
      </x:c>
      <x:c r="L2027" s="22" t="str">
        <x:v>城市范围</x:v>
      </x:c>
      <x:c r="M2027" s="33" t="n">
        <x:v>9750.659999999998</x:v>
      </x:c>
      <x:c r="N2027" s="33" t="n">
        <x:v>0.9750659999999998</x:v>
      </x:c>
      <x:c r="O2027" s="22" t="str">
        <x:v>公顷</x:v>
      </x:c>
      <x:c r="P2027" s="22" t="str">
        <x:v>未提供（单期横截面）</x:v>
      </x:c>
      <x:c r="Q2027" s="23" t="n">
        <x:v>5006</x:v>
      </x:c>
    </x:row>
    <x:row r="2028">
      <x:c r="A2028" s="30" t="n">
        <x:v>350600</x:v>
      </x:c>
      <x:c r="B2028" s="22" t="str">
        <x:v>漳州市</x:v>
      </x:c>
      <x:c r="C2028" s="31" t="n">
        <x:v>350602</x:v>
      </x:c>
      <x:c r="D2028" s="22" t="str">
        <x:v>芗城区</x:v>
      </x:c>
      <x:c r="E2028" s="22" t="str">
        <x:v>农用地</x:v>
      </x:c>
      <x:c r="F2028" s="22" t="str">
        <x:v>耕地</x:v>
      </x:c>
      <x:c r="G2028" s="32" t="str">
        <x:v>103</x:v>
      </x:c>
      <x:c r="H2028" s="32" t="str">
        <x:v>103</x:v>
      </x:c>
      <x:c r="I2028" s="22" t="str">
        <x:v>旱地</x:v>
      </x:c>
      <x:c r="J2028" s="22" t="str">
        <x:v>农业生态</x:v>
      </x:c>
      <x:c r="K2028" s="32" t="str">
        <x:v>202</x:v>
      </x:c>
      <x:c r="L2028" s="22" t="str">
        <x:v>建制镇范围</x:v>
      </x:c>
      <x:c r="M2028" s="33" t="n">
        <x:v>1153.54</x:v>
      </x:c>
      <x:c r="N2028" s="33" t="n">
        <x:v>0.115354</x:v>
      </x:c>
      <x:c r="O2028" s="22" t="str">
        <x:v>公顷</x:v>
      </x:c>
      <x:c r="P2028" s="22" t="str">
        <x:v>未提供（单期横截面）</x:v>
      </x:c>
      <x:c r="Q2028" s="23" t="n">
        <x:v>5007</x:v>
      </x:c>
    </x:row>
    <x:row r="2029">
      <x:c r="A2029" s="30" t="n">
        <x:v>350600</x:v>
      </x:c>
      <x:c r="B2029" s="22" t="str">
        <x:v>漳州市</x:v>
      </x:c>
      <x:c r="C2029" s="31" t="n">
        <x:v>350602</x:v>
      </x:c>
      <x:c r="D2029" s="22" t="str">
        <x:v>芗城区</x:v>
      </x:c>
      <x:c r="E2029" s="22" t="str">
        <x:v>农用地</x:v>
      </x:c>
      <x:c r="F2029" s="22" t="str">
        <x:v>园地</x:v>
      </x:c>
      <x:c r="G2029" s="32" t="str">
        <x:v>201</x:v>
      </x:c>
      <x:c r="H2029" s="32" t="str">
        <x:v>201</x:v>
      </x:c>
      <x:c r="I2029" s="22" t="str">
        <x:v>果园</x:v>
      </x:c>
      <x:c r="J2029" s="22" t="str">
        <x:v>农业生态</x:v>
      </x:c>
      <x:c r="K2029" s="32" t="str">
        <x:v>202</x:v>
      </x:c>
      <x:c r="L2029" s="22" t="str">
        <x:v>建制镇范围</x:v>
      </x:c>
      <x:c r="M2029" s="33" t="n">
        <x:v>106923.97999999998</x:v>
      </x:c>
      <x:c r="N2029" s="33" t="n">
        <x:v>10.692397999999999</x:v>
      </x:c>
      <x:c r="O2029" s="22" t="str">
        <x:v>公顷</x:v>
      </x:c>
      <x:c r="P2029" s="22" t="str">
        <x:v>未提供（单期横截面）</x:v>
      </x:c>
      <x:c r="Q2029" s="23" t="n">
        <x:v>5008</x:v>
      </x:c>
    </x:row>
    <x:row r="2030">
      <x:c r="A2030" s="30" t="n">
        <x:v>350600</x:v>
      </x:c>
      <x:c r="B2030" s="22" t="str">
        <x:v>漳州市</x:v>
      </x:c>
      <x:c r="C2030" s="31" t="n">
        <x:v>350602</x:v>
      </x:c>
      <x:c r="D2030" s="22" t="str">
        <x:v>芗城区</x:v>
      </x:c>
      <x:c r="E2030" s="22" t="str">
        <x:v>农用地</x:v>
      </x:c>
      <x:c r="F2030" s="22" t="str">
        <x:v>园地</x:v>
      </x:c>
      <x:c r="G2030" s="32" t="str">
        <x:v>0201K</x:v>
      </x:c>
      <x:c r="H2030" s="32" t="str">
        <x:v>201</x:v>
      </x:c>
      <x:c r="I2030" s="22" t="str">
        <x:v>可调整果园</x:v>
      </x:c>
      <x:c r="J2030" s="22" t="str">
        <x:v>农业生态</x:v>
      </x:c>
      <x:c r="K2030" s="32" t="str">
        <x:v>202</x:v>
      </x:c>
      <x:c r="L2030" s="22" t="str">
        <x:v>建制镇范围</x:v>
      </x:c>
      <x:c r="M2030" s="33" t="n">
        <x:v>1472.41</x:v>
      </x:c>
      <x:c r="N2030" s="33" t="n">
        <x:v>0.147241</x:v>
      </x:c>
      <x:c r="O2030" s="22" t="str">
        <x:v>公顷</x:v>
      </x:c>
      <x:c r="P2030" s="22" t="str">
        <x:v>未提供（单期横截面）</x:v>
      </x:c>
      <x:c r="Q2030" s="23" t="n">
        <x:v>5009</x:v>
      </x:c>
    </x:row>
    <x:row r="2031">
      <x:c r="A2031" s="30" t="n">
        <x:v>350600</x:v>
      </x:c>
      <x:c r="B2031" s="22" t="str">
        <x:v>漳州市</x:v>
      </x:c>
      <x:c r="C2031" s="31" t="n">
        <x:v>350602</x:v>
      </x:c>
      <x:c r="D2031" s="22" t="str">
        <x:v>芗城区</x:v>
      </x:c>
      <x:c r="E2031" s="22" t="str">
        <x:v>农用地</x:v>
      </x:c>
      <x:c r="F2031" s="22" t="str">
        <x:v>园地</x:v>
      </x:c>
      <x:c r="G2031" s="32" t="str">
        <x:v>204</x:v>
      </x:c>
      <x:c r="H2031" s="32" t="str">
        <x:v>204</x:v>
      </x:c>
      <x:c r="I2031" s="22" t="str">
        <x:v>其他园地</x:v>
      </x:c>
      <x:c r="J2031" s="22" t="str">
        <x:v>农业生态</x:v>
      </x:c>
      <x:c r="K2031" s="32" t="str">
        <x:v>202</x:v>
      </x:c>
      <x:c r="L2031" s="22" t="str">
        <x:v>建制镇范围</x:v>
      </x:c>
      <x:c r="M2031" s="33" t="n">
        <x:v>10489.41</x:v>
      </x:c>
      <x:c r="N2031" s="33" t="n">
        <x:v>1.048941</x:v>
      </x:c>
      <x:c r="O2031" s="22" t="str">
        <x:v>公顷</x:v>
      </x:c>
      <x:c r="P2031" s="22" t="str">
        <x:v>未提供（单期横截面）</x:v>
      </x:c>
      <x:c r="Q2031" s="23" t="n">
        <x:v>5010</x:v>
      </x:c>
    </x:row>
    <x:row r="2032">
      <x:c r="A2032" s="30" t="n">
        <x:v>350600</x:v>
      </x:c>
      <x:c r="B2032" s="22" t="str">
        <x:v>漳州市</x:v>
      </x:c>
      <x:c r="C2032" s="31" t="n">
        <x:v>350602</x:v>
      </x:c>
      <x:c r="D2032" s="22" t="str">
        <x:v>芗城区</x:v>
      </x:c>
      <x:c r="E2032" s="22" t="str">
        <x:v>农用地</x:v>
      </x:c>
      <x:c r="F2032" s="22" t="str">
        <x:v>林地</x:v>
      </x:c>
      <x:c r="G2032" s="32" t="str">
        <x:v>301</x:v>
      </x:c>
      <x:c r="H2032" s="32" t="str">
        <x:v>301</x:v>
      </x:c>
      <x:c r="I2032" s="22" t="str">
        <x:v>乔木林地</x:v>
      </x:c>
      <x:c r="J2032" s="22" t="str">
        <x:v>农业生态</x:v>
      </x:c>
      <x:c r="K2032" s="32" t="str">
        <x:v>202</x:v>
      </x:c>
      <x:c r="L2032" s="22" t="str">
        <x:v>建制镇范围</x:v>
      </x:c>
      <x:c r="M2032" s="33" t="n">
        <x:v>3578.06</x:v>
      </x:c>
      <x:c r="N2032" s="33" t="n">
        <x:v>0.357806</x:v>
      </x:c>
      <x:c r="O2032" s="22" t="str">
        <x:v>公顷</x:v>
      </x:c>
      <x:c r="P2032" s="22" t="str">
        <x:v>未提供（单期横截面）</x:v>
      </x:c>
      <x:c r="Q2032" s="23" t="n">
        <x:v>5011</x:v>
      </x:c>
    </x:row>
    <x:row r="2033">
      <x:c r="A2033" s="30" t="n">
        <x:v>350600</x:v>
      </x:c>
      <x:c r="B2033" s="22" t="str">
        <x:v>漳州市</x:v>
      </x:c>
      <x:c r="C2033" s="31" t="n">
        <x:v>350602</x:v>
      </x:c>
      <x:c r="D2033" s="22" t="str">
        <x:v>芗城区</x:v>
      </x:c>
      <x:c r="E2033" s="22" t="str">
        <x:v>农用地</x:v>
      </x:c>
      <x:c r="F2033" s="22" t="str">
        <x:v>水域及水利设施</x:v>
      </x:c>
      <x:c r="G2033" s="32" t="str">
        <x:v>1104</x:v>
      </x:c>
      <x:c r="H2033" s="32" t="str">
        <x:v>1104</x:v>
      </x:c>
      <x:c r="I2033" s="22" t="str">
        <x:v>坑塘水面</x:v>
      </x:c>
      <x:c r="J2033" s="22" t="str">
        <x:v>农业生态</x:v>
      </x:c>
      <x:c r="K2033" s="32" t="str">
        <x:v>202</x:v>
      </x:c>
      <x:c r="L2033" s="22" t="str">
        <x:v>建制镇范围</x:v>
      </x:c>
      <x:c r="M2033" s="33" t="n">
        <x:v>6848.35</x:v>
      </x:c>
      <x:c r="N2033" s="33" t="n">
        <x:v>0.6848350000000001</x:v>
      </x:c>
      <x:c r="O2033" s="22" t="str">
        <x:v>公顷</x:v>
      </x:c>
      <x:c r="P2033" s="22" t="str">
        <x:v>未提供（单期横截面）</x:v>
      </x:c>
      <x:c r="Q2033" s="23" t="n">
        <x:v>5012</x:v>
      </x:c>
    </x:row>
    <x:row r="2034">
      <x:c r="A2034" s="30" t="n">
        <x:v>350600</x:v>
      </x:c>
      <x:c r="B2034" s="22" t="str">
        <x:v>漳州市</x:v>
      </x:c>
      <x:c r="C2034" s="31" t="n">
        <x:v>350602</x:v>
      </x:c>
      <x:c r="D2034" s="22" t="str">
        <x:v>芗城区</x:v>
      </x:c>
      <x:c r="E2034" s="22" t="str">
        <x:v>农用地</x:v>
      </x:c>
      <x:c r="F2034" s="22" t="str">
        <x:v>水域及水利设施</x:v>
      </x:c>
      <x:c r="G2034" s="32" t="str">
        <x:v>1104A</x:v>
      </x:c>
      <x:c r="H2034" s="32" t="str">
        <x:v>1104</x:v>
      </x:c>
      <x:c r="I2034" s="22" t="str">
        <x:v>养殖坑塘</x:v>
      </x:c>
      <x:c r="J2034" s="22" t="str">
        <x:v>农业生态</x:v>
      </x:c>
      <x:c r="K2034" s="32" t="str">
        <x:v>202</x:v>
      </x:c>
      <x:c r="L2034" s="22" t="str">
        <x:v>建制镇范围</x:v>
      </x:c>
      <x:c r="M2034" s="33" t="n">
        <x:v>13681.46</x:v>
      </x:c>
      <x:c r="N2034" s="33" t="n">
        <x:v>1.3681459999999999</x:v>
      </x:c>
      <x:c r="O2034" s="22" t="str">
        <x:v>公顷</x:v>
      </x:c>
      <x:c r="P2034" s="22" t="str">
        <x:v>未提供（单期横截面）</x:v>
      </x:c>
      <x:c r="Q2034" s="23" t="n">
        <x:v>5013</x:v>
      </x:c>
    </x:row>
    <x:row r="2035">
      <x:c r="A2035" s="30" t="n">
        <x:v>350600</x:v>
      </x:c>
      <x:c r="B2035" s="22" t="str">
        <x:v>漳州市</x:v>
      </x:c>
      <x:c r="C2035" s="31" t="n">
        <x:v>350602</x:v>
      </x:c>
      <x:c r="D2035" s="22" t="str">
        <x:v>芗城区</x:v>
      </x:c>
      <x:c r="E2035" s="22" t="str">
        <x:v>农用地</x:v>
      </x:c>
      <x:c r="F2035" s="22" t="str">
        <x:v>其他农用地</x:v>
      </x:c>
      <x:c r="G2035" s="32" t="str">
        <x:v>1202</x:v>
      </x:c>
      <x:c r="H2035" s="32" t="str">
        <x:v>1202</x:v>
      </x:c>
      <x:c r="I2035" s="22" t="str">
        <x:v>设施农用地</x:v>
      </x:c>
      <x:c r="J2035" s="22" t="str">
        <x:v>农业生态</x:v>
      </x:c>
      <x:c r="K2035" s="32" t="str">
        <x:v>202</x:v>
      </x:c>
      <x:c r="L2035" s="22" t="str">
        <x:v>建制镇范围</x:v>
      </x:c>
      <x:c r="M2035" s="33" t="n">
        <x:v>1207.91</x:v>
      </x:c>
      <x:c r="N2035" s="33" t="n">
        <x:v>0.12079100000000001</x:v>
      </x:c>
      <x:c r="O2035" s="22" t="str">
        <x:v>公顷</x:v>
      </x:c>
      <x:c r="P2035" s="22" t="str">
        <x:v>未提供（单期横截面）</x:v>
      </x:c>
      <x:c r="Q2035" s="23" t="n">
        <x:v>5014</x:v>
      </x:c>
    </x:row>
    <x:row r="2036">
      <x:c r="A2036" s="30" t="n">
        <x:v>350600</x:v>
      </x:c>
      <x:c r="B2036" s="22" t="str">
        <x:v>漳州市</x:v>
      </x:c>
      <x:c r="C2036" s="31" t="n">
        <x:v>350602</x:v>
      </x:c>
      <x:c r="D2036" s="22" t="str">
        <x:v>芗城区</x:v>
      </x:c>
      <x:c r="E2036" s="22" t="str">
        <x:v>农用地</x:v>
      </x:c>
      <x:c r="F2036" s="22" t="str">
        <x:v>耕地</x:v>
      </x:c>
      <x:c r="G2036" s="32" t="str">
        <x:v>101</x:v>
      </x:c>
      <x:c r="H2036" s="32" t="str">
        <x:v>101</x:v>
      </x:c>
      <x:c r="I2036" s="22" t="str">
        <x:v>水田</x:v>
      </x:c>
      <x:c r="J2036" s="22" t="str">
        <x:v>农业生态</x:v>
      </x:c>
      <x:c r="K2036" s="32" t="str">
        <x:v>203</x:v>
      </x:c>
      <x:c r="L2036" s="22" t="str">
        <x:v>村庄范围</x:v>
      </x:c>
      <x:c r="M2036" s="33" t="n">
        <x:v>2391.71</x:v>
      </x:c>
      <x:c r="N2036" s="33" t="n">
        <x:v>0.239171</x:v>
      </x:c>
      <x:c r="O2036" s="22" t="str">
        <x:v>公顷</x:v>
      </x:c>
      <x:c r="P2036" s="22" t="str">
        <x:v>未提供（单期横截面）</x:v>
      </x:c>
      <x:c r="Q2036" s="23" t="n">
        <x:v>5015</x:v>
      </x:c>
    </x:row>
    <x:row r="2037">
      <x:c r="A2037" s="30" t="n">
        <x:v>350600</x:v>
      </x:c>
      <x:c r="B2037" s="22" t="str">
        <x:v>漳州市</x:v>
      </x:c>
      <x:c r="C2037" s="31" t="n">
        <x:v>350602</x:v>
      </x:c>
      <x:c r="D2037" s="22" t="str">
        <x:v>芗城区</x:v>
      </x:c>
      <x:c r="E2037" s="22" t="str">
        <x:v>农用地</x:v>
      </x:c>
      <x:c r="F2037" s="22" t="str">
        <x:v>耕地</x:v>
      </x:c>
      <x:c r="G2037" s="32" t="str">
        <x:v>102</x:v>
      </x:c>
      <x:c r="H2037" s="32" t="str">
        <x:v>102</x:v>
      </x:c>
      <x:c r="I2037" s="22" t="str">
        <x:v>水浇地</x:v>
      </x:c>
      <x:c r="J2037" s="22" t="str">
        <x:v>农业生态</x:v>
      </x:c>
      <x:c r="K2037" s="32" t="str">
        <x:v>203</x:v>
      </x:c>
      <x:c r="L2037" s="22" t="str">
        <x:v>村庄范围</x:v>
      </x:c>
      <x:c r="M2037" s="33" t="n">
        <x:v>5118.9800000000005</x:v>
      </x:c>
      <x:c r="N2037" s="33" t="n">
        <x:v>0.5118980000000001</x:v>
      </x:c>
      <x:c r="O2037" s="22" t="str">
        <x:v>公顷</x:v>
      </x:c>
      <x:c r="P2037" s="22" t="str">
        <x:v>未提供（单期横截面）</x:v>
      </x:c>
      <x:c r="Q2037" s="23" t="n">
        <x:v>5016</x:v>
      </x:c>
    </x:row>
    <x:row r="2038">
      <x:c r="A2038" s="30" t="n">
        <x:v>350600</x:v>
      </x:c>
      <x:c r="B2038" s="22" t="str">
        <x:v>漳州市</x:v>
      </x:c>
      <x:c r="C2038" s="31" t="n">
        <x:v>350602</x:v>
      </x:c>
      <x:c r="D2038" s="22" t="str">
        <x:v>芗城区</x:v>
      </x:c>
      <x:c r="E2038" s="22" t="str">
        <x:v>农用地</x:v>
      </x:c>
      <x:c r="F2038" s="22" t="str">
        <x:v>耕地</x:v>
      </x:c>
      <x:c r="G2038" s="32" t="str">
        <x:v>103</x:v>
      </x:c>
      <x:c r="H2038" s="32" t="str">
        <x:v>103</x:v>
      </x:c>
      <x:c r="I2038" s="22" t="str">
        <x:v>旱地</x:v>
      </x:c>
      <x:c r="J2038" s="22" t="str">
        <x:v>农业生态</x:v>
      </x:c>
      <x:c r="K2038" s="32" t="str">
        <x:v>203</x:v>
      </x:c>
      <x:c r="L2038" s="22" t="str">
        <x:v>村庄范围</x:v>
      </x:c>
      <x:c r="M2038" s="33" t="n">
        <x:v>15857.669999999998</x:v>
      </x:c>
      <x:c r="N2038" s="33" t="n">
        <x:v>1.585767</x:v>
      </x:c>
      <x:c r="O2038" s="22" t="str">
        <x:v>公顷</x:v>
      </x:c>
      <x:c r="P2038" s="22" t="str">
        <x:v>未提供（单期横截面）</x:v>
      </x:c>
      <x:c r="Q2038" s="23" t="n">
        <x:v>5017</x:v>
      </x:c>
    </x:row>
    <x:row r="2039">
      <x:c r="A2039" s="30" t="n">
        <x:v>350600</x:v>
      </x:c>
      <x:c r="B2039" s="22" t="str">
        <x:v>漳州市</x:v>
      </x:c>
      <x:c r="C2039" s="31" t="n">
        <x:v>350602</x:v>
      </x:c>
      <x:c r="D2039" s="22" t="str">
        <x:v>芗城区</x:v>
      </x:c>
      <x:c r="E2039" s="22" t="str">
        <x:v>农用地</x:v>
      </x:c>
      <x:c r="F2039" s="22" t="str">
        <x:v>园地</x:v>
      </x:c>
      <x:c r="G2039" s="32" t="str">
        <x:v>201</x:v>
      </x:c>
      <x:c r="H2039" s="32" t="str">
        <x:v>201</x:v>
      </x:c>
      <x:c r="I2039" s="22" t="str">
        <x:v>果园</x:v>
      </x:c>
      <x:c r="J2039" s="22" t="str">
        <x:v>农业生态</x:v>
      </x:c>
      <x:c r="K2039" s="32" t="str">
        <x:v>203</x:v>
      </x:c>
      <x:c r="L2039" s="22" t="str">
        <x:v>村庄范围</x:v>
      </x:c>
      <x:c r="M2039" s="33" t="n">
        <x:v>181555.60999999996</x:v>
      </x:c>
      <x:c r="N2039" s="33" t="n">
        <x:v>18.155560999999995</x:v>
      </x:c>
      <x:c r="O2039" s="22" t="str">
        <x:v>公顷</x:v>
      </x:c>
      <x:c r="P2039" s="22" t="str">
        <x:v>未提供（单期横截面）</x:v>
      </x:c>
      <x:c r="Q2039" s="23" t="n">
        <x:v>5018</x:v>
      </x:c>
    </x:row>
    <x:row r="2040">
      <x:c r="A2040" s="30" t="n">
        <x:v>350600</x:v>
      </x:c>
      <x:c r="B2040" s="22" t="str">
        <x:v>漳州市</x:v>
      </x:c>
      <x:c r="C2040" s="31" t="n">
        <x:v>350602</x:v>
      </x:c>
      <x:c r="D2040" s="22" t="str">
        <x:v>芗城区</x:v>
      </x:c>
      <x:c r="E2040" s="22" t="str">
        <x:v>农用地</x:v>
      </x:c>
      <x:c r="F2040" s="22" t="str">
        <x:v>园地</x:v>
      </x:c>
      <x:c r="G2040" s="32" t="str">
        <x:v>0201K</x:v>
      </x:c>
      <x:c r="H2040" s="32" t="str">
        <x:v>201</x:v>
      </x:c>
      <x:c r="I2040" s="22" t="str">
        <x:v>可调整果园</x:v>
      </x:c>
      <x:c r="J2040" s="22" t="str">
        <x:v>农业生态</x:v>
      </x:c>
      <x:c r="K2040" s="32" t="str">
        <x:v>203</x:v>
      </x:c>
      <x:c r="L2040" s="22" t="str">
        <x:v>村庄范围</x:v>
      </x:c>
      <x:c r="M2040" s="33" t="n">
        <x:v>12687.77</x:v>
      </x:c>
      <x:c r="N2040" s="33" t="n">
        <x:v>1.268777</x:v>
      </x:c>
      <x:c r="O2040" s="22" t="str">
        <x:v>公顷</x:v>
      </x:c>
      <x:c r="P2040" s="22" t="str">
        <x:v>未提供（单期横截面）</x:v>
      </x:c>
      <x:c r="Q2040" s="23" t="n">
        <x:v>5019</x:v>
      </x:c>
    </x:row>
    <x:row r="2041">
      <x:c r="A2041" s="30" t="n">
        <x:v>350600</x:v>
      </x:c>
      <x:c r="B2041" s="22" t="str">
        <x:v>漳州市</x:v>
      </x:c>
      <x:c r="C2041" s="31" t="n">
        <x:v>350602</x:v>
      </x:c>
      <x:c r="D2041" s="22" t="str">
        <x:v>芗城区</x:v>
      </x:c>
      <x:c r="E2041" s="22" t="str">
        <x:v>农用地</x:v>
      </x:c>
      <x:c r="F2041" s="22" t="str">
        <x:v>园地</x:v>
      </x:c>
      <x:c r="G2041" s="32" t="str">
        <x:v>204</x:v>
      </x:c>
      <x:c r="H2041" s="32" t="str">
        <x:v>204</x:v>
      </x:c>
      <x:c r="I2041" s="22" t="str">
        <x:v>其他园地</x:v>
      </x:c>
      <x:c r="J2041" s="22" t="str">
        <x:v>农业生态</x:v>
      </x:c>
      <x:c r="K2041" s="32" t="str">
        <x:v>203</x:v>
      </x:c>
      <x:c r="L2041" s="22" t="str">
        <x:v>村庄范围</x:v>
      </x:c>
      <x:c r="M2041" s="33" t="n">
        <x:v>29734.27</x:v>
      </x:c>
      <x:c r="N2041" s="33" t="n">
        <x:v>2.973427</x:v>
      </x:c>
      <x:c r="O2041" s="22" t="str">
        <x:v>公顷</x:v>
      </x:c>
      <x:c r="P2041" s="22" t="str">
        <x:v>未提供（单期横截面）</x:v>
      </x:c>
      <x:c r="Q2041" s="23" t="n">
        <x:v>5020</x:v>
      </x:c>
    </x:row>
    <x:row r="2042">
      <x:c r="A2042" s="30" t="n">
        <x:v>350600</x:v>
      </x:c>
      <x:c r="B2042" s="22" t="str">
        <x:v>漳州市</x:v>
      </x:c>
      <x:c r="C2042" s="31" t="n">
        <x:v>350602</x:v>
      </x:c>
      <x:c r="D2042" s="22" t="str">
        <x:v>芗城区</x:v>
      </x:c>
      <x:c r="E2042" s="22" t="str">
        <x:v>农用地</x:v>
      </x:c>
      <x:c r="F2042" s="22" t="str">
        <x:v>林地</x:v>
      </x:c>
      <x:c r="G2042" s="32" t="str">
        <x:v>301</x:v>
      </x:c>
      <x:c r="H2042" s="32" t="str">
        <x:v>301</x:v>
      </x:c>
      <x:c r="I2042" s="22" t="str">
        <x:v>乔木林地</x:v>
      </x:c>
      <x:c r="J2042" s="22" t="str">
        <x:v>农业生态</x:v>
      </x:c>
      <x:c r="K2042" s="32" t="str">
        <x:v>203</x:v>
      </x:c>
      <x:c r="L2042" s="22" t="str">
        <x:v>村庄范围</x:v>
      </x:c>
      <x:c r="M2042" s="33" t="n">
        <x:v>562.52</x:v>
      </x:c>
      <x:c r="N2042" s="33" t="n">
        <x:v>0.056251999999999996</x:v>
      </x:c>
      <x:c r="O2042" s="22" t="str">
        <x:v>公顷</x:v>
      </x:c>
      <x:c r="P2042" s="22" t="str">
        <x:v>未提供（单期横截面）</x:v>
      </x:c>
      <x:c r="Q2042" s="23" t="n">
        <x:v>5021</x:v>
      </x:c>
    </x:row>
    <x:row r="2043">
      <x:c r="A2043" s="30" t="n">
        <x:v>350600</x:v>
      </x:c>
      <x:c r="B2043" s="22" t="str">
        <x:v>漳州市</x:v>
      </x:c>
      <x:c r="C2043" s="31" t="n">
        <x:v>350602</x:v>
      </x:c>
      <x:c r="D2043" s="22" t="str">
        <x:v>芗城区</x:v>
      </x:c>
      <x:c r="E2043" s="22" t="str">
        <x:v>农用地</x:v>
      </x:c>
      <x:c r="F2043" s="22" t="str">
        <x:v>林地</x:v>
      </x:c>
      <x:c r="G2043" s="32" t="str">
        <x:v>302</x:v>
      </x:c>
      <x:c r="H2043" s="32" t="str">
        <x:v>302</x:v>
      </x:c>
      <x:c r="I2043" s="22" t="str">
        <x:v>竹林地</x:v>
      </x:c>
      <x:c r="J2043" s="22" t="str">
        <x:v>农业生态</x:v>
      </x:c>
      <x:c r="K2043" s="32" t="str">
        <x:v>203</x:v>
      </x:c>
      <x:c r="L2043" s="22" t="str">
        <x:v>村庄范围</x:v>
      </x:c>
      <x:c r="M2043" s="33" t="n">
        <x:v>403.78</x:v>
      </x:c>
      <x:c r="N2043" s="33" t="n">
        <x:v>0.040378</x:v>
      </x:c>
      <x:c r="O2043" s="22" t="str">
        <x:v>公顷</x:v>
      </x:c>
      <x:c r="P2043" s="22" t="str">
        <x:v>未提供（单期横截面）</x:v>
      </x:c>
      <x:c r="Q2043" s="23" t="n">
        <x:v>5022</x:v>
      </x:c>
    </x:row>
    <x:row r="2044">
      <x:c r="A2044" s="30" t="n">
        <x:v>350600</x:v>
      </x:c>
      <x:c r="B2044" s="22" t="str">
        <x:v>漳州市</x:v>
      </x:c>
      <x:c r="C2044" s="31" t="n">
        <x:v>350602</x:v>
      </x:c>
      <x:c r="D2044" s="22" t="str">
        <x:v>芗城区</x:v>
      </x:c>
      <x:c r="E2044" s="22" t="str">
        <x:v>农用地</x:v>
      </x:c>
      <x:c r="F2044" s="22" t="str">
        <x:v>水域及水利设施</x:v>
      </x:c>
      <x:c r="G2044" s="32" t="str">
        <x:v>1104</x:v>
      </x:c>
      <x:c r="H2044" s="32" t="str">
        <x:v>1104</x:v>
      </x:c>
      <x:c r="I2044" s="22" t="str">
        <x:v>坑塘水面</x:v>
      </x:c>
      <x:c r="J2044" s="22" t="str">
        <x:v>农业生态</x:v>
      </x:c>
      <x:c r="K2044" s="32" t="str">
        <x:v>203</x:v>
      </x:c>
      <x:c r="L2044" s="22" t="str">
        <x:v>村庄范围</x:v>
      </x:c>
      <x:c r="M2044" s="33" t="n">
        <x:v>61746.77</x:v>
      </x:c>
      <x:c r="N2044" s="33" t="n">
        <x:v>6.174677</x:v>
      </x:c>
      <x:c r="O2044" s="22" t="str">
        <x:v>公顷</x:v>
      </x:c>
      <x:c r="P2044" s="22" t="str">
        <x:v>未提供（单期横截面）</x:v>
      </x:c>
      <x:c r="Q2044" s="23" t="n">
        <x:v>5023</x:v>
      </x:c>
    </x:row>
    <x:row r="2045">
      <x:c r="A2045" s="30" t="n">
        <x:v>350600</x:v>
      </x:c>
      <x:c r="B2045" s="22" t="str">
        <x:v>漳州市</x:v>
      </x:c>
      <x:c r="C2045" s="31" t="n">
        <x:v>350602</x:v>
      </x:c>
      <x:c r="D2045" s="22" t="str">
        <x:v>芗城区</x:v>
      </x:c>
      <x:c r="E2045" s="22" t="str">
        <x:v>农用地</x:v>
      </x:c>
      <x:c r="F2045" s="22" t="str">
        <x:v>水域及水利设施</x:v>
      </x:c>
      <x:c r="G2045" s="32" t="str">
        <x:v>1107</x:v>
      </x:c>
      <x:c r="H2045" s="32" t="str">
        <x:v>1107</x:v>
      </x:c>
      <x:c r="I2045" s="22" t="str">
        <x:v>沟渠</x:v>
      </x:c>
      <x:c r="J2045" s="22" t="str">
        <x:v>农业生态</x:v>
      </x:c>
      <x:c r="K2045" s="32" t="str">
        <x:v>203</x:v>
      </x:c>
      <x:c r="L2045" s="22" t="str">
        <x:v>村庄范围</x:v>
      </x:c>
      <x:c r="M2045" s="33" t="n">
        <x:v>10371.07</x:v>
      </x:c>
      <x:c r="N2045" s="33" t="n">
        <x:v>1.037107</x:v>
      </x:c>
      <x:c r="O2045" s="22" t="str">
        <x:v>公顷</x:v>
      </x:c>
      <x:c r="P2045" s="22" t="str">
        <x:v>未提供（单期横截面）</x:v>
      </x:c>
      <x:c r="Q2045" s="23" t="n">
        <x:v>5024</x:v>
      </x:c>
    </x:row>
    <x:row r="2046">
      <x:c r="A2046" s="30" t="n">
        <x:v>350600</x:v>
      </x:c>
      <x:c r="B2046" s="22" t="str">
        <x:v>漳州市</x:v>
      </x:c>
      <x:c r="C2046" s="31" t="n">
        <x:v>350602</x:v>
      </x:c>
      <x:c r="D2046" s="22" t="str">
        <x:v>芗城区</x:v>
      </x:c>
      <x:c r="E2046" s="22" t="str">
        <x:v>农用地</x:v>
      </x:c>
      <x:c r="F2046" s="22" t="str">
        <x:v>其他农用地</x:v>
      </x:c>
      <x:c r="G2046" s="32" t="str">
        <x:v>1202</x:v>
      </x:c>
      <x:c r="H2046" s="32" t="str">
        <x:v>1202</x:v>
      </x:c>
      <x:c r="I2046" s="22" t="str">
        <x:v>设施农用地</x:v>
      </x:c>
      <x:c r="J2046" s="22" t="str">
        <x:v>农业生态</x:v>
      </x:c>
      <x:c r="K2046" s="32" t="str">
        <x:v>203</x:v>
      </x:c>
      <x:c r="L2046" s="22" t="str">
        <x:v>村庄范围</x:v>
      </x:c>
      <x:c r="M2046" s="33" t="n">
        <x:v>20893.02</x:v>
      </x:c>
      <x:c r="N2046" s="33" t="n">
        <x:v>2.089302</x:v>
      </x:c>
      <x:c r="O2046" s="22" t="str">
        <x:v>公顷</x:v>
      </x:c>
      <x:c r="P2046" s="22" t="str">
        <x:v>未提供（单期横截面）</x:v>
      </x:c>
      <x:c r="Q2046" s="23" t="n">
        <x:v>5025</x:v>
      </x:c>
    </x:row>
    <x:row r="2047">
      <x:c r="A2047" s="30" t="n">
        <x:v>350600</x:v>
      </x:c>
      <x:c r="B2047" s="22" t="str">
        <x:v>漳州市</x:v>
      </x:c>
      <x:c r="C2047" s="31" t="n">
        <x:v>350602</x:v>
      </x:c>
      <x:c r="D2047" s="22" t="str">
        <x:v>芗城区</x:v>
      </x:c>
      <x:c r="E2047" s="22" t="str">
        <x:v>未利用地</x:v>
      </x:c>
      <x:c r="F2047" s="22" t="str">
        <x:v>草地</x:v>
      </x:c>
      <x:c r="G2047" s="32" t="str">
        <x:v>404</x:v>
      </x:c>
      <x:c r="H2047" s="32" t="str">
        <x:v>404</x:v>
      </x:c>
      <x:c r="I2047" s="22" t="str">
        <x:v>其他草地</x:v>
      </x:c>
      <x:c r="J2047" s="22" t="str">
        <x:v>农业生态</x:v>
      </x:c>
      <x:c r="K2047" s="32" t="str"/>
      <x:c r="L2047" s="22" t="str">
        <x:v>不适用/未标注</x:v>
      </x:c>
      <x:c r="M2047" s="33" t="n">
        <x:v>3292523.950000001</x:v>
      </x:c>
      <x:c r="N2047" s="33" t="n">
        <x:v>329.2523950000001</x:v>
      </x:c>
      <x:c r="O2047" s="22" t="str">
        <x:v>公顷</x:v>
      </x:c>
      <x:c r="P2047" s="22" t="str">
        <x:v>未提供（单期横截面）</x:v>
      </x:c>
      <x:c r="Q2047" s="23" t="n">
        <x:v>5026</x:v>
      </x:c>
    </x:row>
    <x:row r="2048">
      <x:c r="A2048" s="30" t="n">
        <x:v>350600</x:v>
      </x:c>
      <x:c r="B2048" s="22" t="str">
        <x:v>漳州市</x:v>
      </x:c>
      <x:c r="C2048" s="31" t="n">
        <x:v>350602</x:v>
      </x:c>
      <x:c r="D2048" s="22" t="str">
        <x:v>芗城区</x:v>
      </x:c>
      <x:c r="E2048" s="22" t="str">
        <x:v>未利用地</x:v>
      </x:c>
      <x:c r="F2048" s="22" t="str">
        <x:v>水域及水利设施</x:v>
      </x:c>
      <x:c r="G2048" s="32" t="str">
        <x:v>1101</x:v>
      </x:c>
      <x:c r="H2048" s="32" t="str">
        <x:v>1101</x:v>
      </x:c>
      <x:c r="I2048" s="22" t="str">
        <x:v>河流水面</x:v>
      </x:c>
      <x:c r="J2048" s="22" t="str">
        <x:v>农业生态</x:v>
      </x:c>
      <x:c r="K2048" s="32" t="str"/>
      <x:c r="L2048" s="22" t="str">
        <x:v>不适用/未标注</x:v>
      </x:c>
      <x:c r="M2048" s="33" t="n">
        <x:v>9055448.510000005</x:v>
      </x:c>
      <x:c r="N2048" s="33" t="n">
        <x:v>905.5448510000006</x:v>
      </x:c>
      <x:c r="O2048" s="22" t="str">
        <x:v>公顷</x:v>
      </x:c>
      <x:c r="P2048" s="22" t="str">
        <x:v>未提供（单期横截面）</x:v>
      </x:c>
      <x:c r="Q2048" s="23" t="n">
        <x:v>5027</x:v>
      </x:c>
    </x:row>
    <x:row r="2049">
      <x:c r="A2049" s="30" t="n">
        <x:v>350600</x:v>
      </x:c>
      <x:c r="B2049" s="22" t="str">
        <x:v>漳州市</x:v>
      </x:c>
      <x:c r="C2049" s="31" t="n">
        <x:v>350602</x:v>
      </x:c>
      <x:c r="D2049" s="22" t="str">
        <x:v>芗城区</x:v>
      </x:c>
      <x:c r="E2049" s="22" t="str">
        <x:v>未利用地</x:v>
      </x:c>
      <x:c r="F2049" s="22" t="str">
        <x:v>水域及水利设施</x:v>
      </x:c>
      <x:c r="G2049" s="32" t="str">
        <x:v>1106</x:v>
      </x:c>
      <x:c r="H2049" s="32" t="str">
        <x:v>1106</x:v>
      </x:c>
      <x:c r="I2049" s="22" t="str">
        <x:v>内陆滩涂</x:v>
      </x:c>
      <x:c r="J2049" s="22" t="str">
        <x:v>农业生态</x:v>
      </x:c>
      <x:c r="K2049" s="32" t="str"/>
      <x:c r="L2049" s="22" t="str">
        <x:v>不适用/未标注</x:v>
      </x:c>
      <x:c r="M2049" s="33" t="n">
        <x:v>1416522.6199999999</x:v>
      </x:c>
      <x:c r="N2049" s="33" t="n">
        <x:v>141.65226199999998</x:v>
      </x:c>
      <x:c r="O2049" s="22" t="str">
        <x:v>公顷</x:v>
      </x:c>
      <x:c r="P2049" s="22" t="str">
        <x:v>未提供（单期横截面）</x:v>
      </x:c>
      <x:c r="Q2049" s="23" t="n">
        <x:v>5028</x:v>
      </x:c>
    </x:row>
    <x:row r="2050">
      <x:c r="A2050" s="30" t="n">
        <x:v>350600</x:v>
      </x:c>
      <x:c r="B2050" s="22" t="str">
        <x:v>漳州市</x:v>
      </x:c>
      <x:c r="C2050" s="31" t="n">
        <x:v>350602</x:v>
      </x:c>
      <x:c r="D2050" s="22" t="str">
        <x:v>芗城区</x:v>
      </x:c>
      <x:c r="E2050" s="22" t="str">
        <x:v>未利用地</x:v>
      </x:c>
      <x:c r="F2050" s="22" t="str">
        <x:v>未利用地</x:v>
      </x:c>
      <x:c r="G2050" s="32" t="str">
        <x:v>1207</x:v>
      </x:c>
      <x:c r="H2050" s="32" t="str">
        <x:v>1207</x:v>
      </x:c>
      <x:c r="I2050" s="22" t="str">
        <x:v>裸岩石砾地</x:v>
      </x:c>
      <x:c r="J2050" s="22" t="str">
        <x:v>未利用地</x:v>
      </x:c>
      <x:c r="K2050" s="32" t="str"/>
      <x:c r="L2050" s="22" t="str">
        <x:v>不适用/未标注</x:v>
      </x:c>
      <x:c r="M2050" s="33" t="n">
        <x:v>118.12</x:v>
      </x:c>
      <x:c r="N2050" s="33" t="n">
        <x:v>0.011812000000000001</x:v>
      </x:c>
      <x:c r="O2050" s="22" t="str">
        <x:v>公顷</x:v>
      </x:c>
      <x:c r="P2050" s="22" t="str">
        <x:v>未提供（单期横截面）</x:v>
      </x:c>
      <x:c r="Q2050" s="23" t="n">
        <x:v>5029</x:v>
      </x:c>
    </x:row>
    <x:row r="2051">
      <x:c r="A2051" s="30" t="n">
        <x:v>350600</x:v>
      </x:c>
      <x:c r="B2051" s="22" t="str">
        <x:v>漳州市</x:v>
      </x:c>
      <x:c r="C2051" s="31" t="n">
        <x:v>350602</x:v>
      </x:c>
      <x:c r="D2051" s="22" t="str">
        <x:v>芗城区</x:v>
      </x:c>
      <x:c r="E2051" s="22" t="str">
        <x:v>未利用地</x:v>
      </x:c>
      <x:c r="F2051" s="22" t="str">
        <x:v>草地</x:v>
      </x:c>
      <x:c r="G2051" s="32" t="str">
        <x:v>404</x:v>
      </x:c>
      <x:c r="H2051" s="32" t="str">
        <x:v>404</x:v>
      </x:c>
      <x:c r="I2051" s="22" t="str">
        <x:v>其他草地</x:v>
      </x:c>
      <x:c r="J2051" s="22" t="str">
        <x:v>农业生态</x:v>
      </x:c>
      <x:c r="K2051" s="32" t="str">
        <x:v>201</x:v>
      </x:c>
      <x:c r="L2051" s="22" t="str">
        <x:v>城市范围</x:v>
      </x:c>
      <x:c r="M2051" s="33" t="n">
        <x:v>24411.58</x:v>
      </x:c>
      <x:c r="N2051" s="33" t="n">
        <x:v>2.441158</x:v>
      </x:c>
      <x:c r="O2051" s="22" t="str">
        <x:v>公顷</x:v>
      </x:c>
      <x:c r="P2051" s="22" t="str">
        <x:v>未提供（单期横截面）</x:v>
      </x:c>
      <x:c r="Q2051" s="23" t="n">
        <x:v>5030</x:v>
      </x:c>
    </x:row>
    <x:row r="2052">
      <x:c r="A2052" s="30" t="n">
        <x:v>350600</x:v>
      </x:c>
      <x:c r="B2052" s="22" t="str">
        <x:v>漳州市</x:v>
      </x:c>
      <x:c r="C2052" s="31" t="n">
        <x:v>350602</x:v>
      </x:c>
      <x:c r="D2052" s="22" t="str">
        <x:v>芗城区</x:v>
      </x:c>
      <x:c r="E2052" s="22" t="str">
        <x:v>未利用地</x:v>
      </x:c>
      <x:c r="F2052" s="22" t="str">
        <x:v>水域及水利设施</x:v>
      </x:c>
      <x:c r="G2052" s="32" t="str">
        <x:v>1101</x:v>
      </x:c>
      <x:c r="H2052" s="32" t="str">
        <x:v>1101</x:v>
      </x:c>
      <x:c r="I2052" s="22" t="str">
        <x:v>河流水面</x:v>
      </x:c>
      <x:c r="J2052" s="22" t="str">
        <x:v>农业生态</x:v>
      </x:c>
      <x:c r="K2052" s="32" t="str">
        <x:v>201</x:v>
      </x:c>
      <x:c r="L2052" s="22" t="str">
        <x:v>城市范围</x:v>
      </x:c>
      <x:c r="M2052" s="33" t="n">
        <x:v>11169.49</x:v>
      </x:c>
      <x:c r="N2052" s="33" t="n">
        <x:v>1.116949</x:v>
      </x:c>
      <x:c r="O2052" s="22" t="str">
        <x:v>公顷</x:v>
      </x:c>
      <x:c r="P2052" s="22" t="str">
        <x:v>未提供（单期横截面）</x:v>
      </x:c>
      <x:c r="Q2052" s="23" t="n">
        <x:v>5031</x:v>
      </x:c>
    </x:row>
    <x:row r="2053">
      <x:c r="A2053" s="30" t="n">
        <x:v>350600</x:v>
      </x:c>
      <x:c r="B2053" s="22" t="str">
        <x:v>漳州市</x:v>
      </x:c>
      <x:c r="C2053" s="31" t="n">
        <x:v>350602</x:v>
      </x:c>
      <x:c r="D2053" s="22" t="str">
        <x:v>芗城区</x:v>
      </x:c>
      <x:c r="E2053" s="22" t="str">
        <x:v>未利用地</x:v>
      </x:c>
      <x:c r="F2053" s="22" t="str">
        <x:v>草地</x:v>
      </x:c>
      <x:c r="G2053" s="32" t="str">
        <x:v>404</x:v>
      </x:c>
      <x:c r="H2053" s="32" t="str">
        <x:v>404</x:v>
      </x:c>
      <x:c r="I2053" s="22" t="str">
        <x:v>其他草地</x:v>
      </x:c>
      <x:c r="J2053" s="22" t="str">
        <x:v>农业生态</x:v>
      </x:c>
      <x:c r="K2053" s="32" t="str">
        <x:v>202</x:v>
      </x:c>
      <x:c r="L2053" s="22" t="str">
        <x:v>建制镇范围</x:v>
      </x:c>
      <x:c r="M2053" s="33" t="n">
        <x:v>9658.070000000002</x:v>
      </x:c>
      <x:c r="N2053" s="33" t="n">
        <x:v>0.9658070000000002</x:v>
      </x:c>
      <x:c r="O2053" s="22" t="str">
        <x:v>公顷</x:v>
      </x:c>
      <x:c r="P2053" s="22" t="str">
        <x:v>未提供（单期横截面）</x:v>
      </x:c>
      <x:c r="Q2053" s="23" t="n">
        <x:v>5032</x:v>
      </x:c>
    </x:row>
    <x:row r="2054">
      <x:c r="A2054" s="30" t="n">
        <x:v>350600</x:v>
      </x:c>
      <x:c r="B2054" s="22" t="str">
        <x:v>漳州市</x:v>
      </x:c>
      <x:c r="C2054" s="31" t="n">
        <x:v>350602</x:v>
      </x:c>
      <x:c r="D2054" s="22" t="str">
        <x:v>芗城区</x:v>
      </x:c>
      <x:c r="E2054" s="22" t="str">
        <x:v>未利用地</x:v>
      </x:c>
      <x:c r="F2054" s="22" t="str">
        <x:v>草地</x:v>
      </x:c>
      <x:c r="G2054" s="32" t="str">
        <x:v>404</x:v>
      </x:c>
      <x:c r="H2054" s="32" t="str">
        <x:v>404</x:v>
      </x:c>
      <x:c r="I2054" s="22" t="str">
        <x:v>其他草地</x:v>
      </x:c>
      <x:c r="J2054" s="22" t="str">
        <x:v>农业生态</x:v>
      </x:c>
      <x:c r="K2054" s="32" t="str">
        <x:v>203</x:v>
      </x:c>
      <x:c r="L2054" s="22" t="str">
        <x:v>村庄范围</x:v>
      </x:c>
      <x:c r="M2054" s="33" t="n">
        <x:v>42770.25</x:v>
      </x:c>
      <x:c r="N2054" s="33" t="n">
        <x:v>4.277025</x:v>
      </x:c>
      <x:c r="O2054" s="22" t="str">
        <x:v>公顷</x:v>
      </x:c>
      <x:c r="P2054" s="22" t="str">
        <x:v>未提供（单期横截面）</x:v>
      </x:c>
      <x:c r="Q2054" s="23" t="n">
        <x:v>5033</x:v>
      </x:c>
    </x:row>
    <x:row r="2055">
      <x:c r="A2055" s="30" t="n">
        <x:v>350600</x:v>
      </x:c>
      <x:c r="B2055" s="22" t="str">
        <x:v>漳州市</x:v>
      </x:c>
      <x:c r="C2055" s="31" t="n">
        <x:v>350603</x:v>
      </x:c>
      <x:c r="D2055" s="22" t="str">
        <x:v>龙文区</x:v>
      </x:c>
      <x:c r="E2055" s="22" t="str">
        <x:v>建设用地</x:v>
      </x:c>
      <x:c r="F2055" s="22" t="str">
        <x:v>交通运输用地</x:v>
      </x:c>
      <x:c r="G2055" s="32" t="str">
        <x:v>1001</x:v>
      </x:c>
      <x:c r="H2055" s="32" t="str">
        <x:v>1001</x:v>
      </x:c>
      <x:c r="I2055" s="22" t="str">
        <x:v>铁路用地</x:v>
      </x:c>
      <x:c r="J2055" s="22" t="str">
        <x:v>交通门户</x:v>
      </x:c>
      <x:c r="K2055" s="32" t="str"/>
      <x:c r="L2055" s="22" t="str">
        <x:v>不适用/未标注</x:v>
      </x:c>
      <x:c r="M2055" s="33" t="n">
        <x:v>444038.77</x:v>
      </x:c>
      <x:c r="N2055" s="33" t="n">
        <x:v>44.403877</x:v>
      </x:c>
      <x:c r="O2055" s="22" t="str">
        <x:v>公顷</x:v>
      </x:c>
      <x:c r="P2055" s="22" t="str">
        <x:v>未提供（单期横截面）</x:v>
      </x:c>
      <x:c r="Q2055" s="23" t="n">
        <x:v>5034</x:v>
      </x:c>
    </x:row>
    <x:row r="2056">
      <x:c r="A2056" s="30" t="n">
        <x:v>350600</x:v>
      </x:c>
      <x:c r="B2056" s="22" t="str">
        <x:v>漳州市</x:v>
      </x:c>
      <x:c r="C2056" s="31" t="n">
        <x:v>350603</x:v>
      </x:c>
      <x:c r="D2056" s="22" t="str">
        <x:v>龙文区</x:v>
      </x:c>
      <x:c r="E2056" s="22" t="str">
        <x:v>建设用地</x:v>
      </x:c>
      <x:c r="F2056" s="22" t="str">
        <x:v>交通运输用地</x:v>
      </x:c>
      <x:c r="G2056" s="32" t="str">
        <x:v>1003</x:v>
      </x:c>
      <x:c r="H2056" s="32" t="str">
        <x:v>1003</x:v>
      </x:c>
      <x:c r="I2056" s="22" t="str">
        <x:v>公路用地</x:v>
      </x:c>
      <x:c r="J2056" s="22" t="str">
        <x:v>交通门户</x:v>
      </x:c>
      <x:c r="K2056" s="32" t="str"/>
      <x:c r="L2056" s="22" t="str">
        <x:v>不适用/未标注</x:v>
      </x:c>
      <x:c r="M2056" s="33" t="n">
        <x:v>4691246.43</x:v>
      </x:c>
      <x:c r="N2056" s="33" t="n">
        <x:v>469.124643</x:v>
      </x:c>
      <x:c r="O2056" s="22" t="str">
        <x:v>公顷</x:v>
      </x:c>
      <x:c r="P2056" s="22" t="str">
        <x:v>未提供（单期横截面）</x:v>
      </x:c>
      <x:c r="Q2056" s="23" t="n">
        <x:v>5035</x:v>
      </x:c>
    </x:row>
    <x:row r="2057">
      <x:c r="A2057" s="30" t="n">
        <x:v>350600</x:v>
      </x:c>
      <x:c r="B2057" s="22" t="str">
        <x:v>漳州市</x:v>
      </x:c>
      <x:c r="C2057" s="31" t="n">
        <x:v>350603</x:v>
      </x:c>
      <x:c r="D2057" s="22" t="str">
        <x:v>龙文区</x:v>
      </x:c>
      <x:c r="E2057" s="22" t="str">
        <x:v>建设用地</x:v>
      </x:c>
      <x:c r="F2057" s="22" t="str">
        <x:v>水域及水利设施</x:v>
      </x:c>
      <x:c r="G2057" s="32" t="str">
        <x:v>1109</x:v>
      </x:c>
      <x:c r="H2057" s="32" t="str">
        <x:v>1109</x:v>
      </x:c>
      <x:c r="I2057" s="22" t="str">
        <x:v>水工建筑用地</x:v>
      </x:c>
      <x:c r="J2057" s="22" t="str">
        <x:v>其他建设</x:v>
      </x:c>
      <x:c r="K2057" s="32" t="str"/>
      <x:c r="L2057" s="22" t="str">
        <x:v>不适用/未标注</x:v>
      </x:c>
      <x:c r="M2057" s="33" t="n">
        <x:v>330723.13999999996</x:v>
      </x:c>
      <x:c r="N2057" s="33" t="n">
        <x:v>33.072314</x:v>
      </x:c>
      <x:c r="O2057" s="22" t="str">
        <x:v>公顷</x:v>
      </x:c>
      <x:c r="P2057" s="22" t="str">
        <x:v>未提供（单期横截面）</x:v>
      </x:c>
      <x:c r="Q2057" s="23" t="n">
        <x:v>5036</x:v>
      </x:c>
    </x:row>
    <x:row r="2058">
      <x:c r="A2058" s="30" t="n">
        <x:v>350600</x:v>
      </x:c>
      <x:c r="B2058" s="22" t="str">
        <x:v>漳州市</x:v>
      </x:c>
      <x:c r="C2058" s="31" t="n">
        <x:v>350603</x:v>
      </x:c>
      <x:c r="D2058" s="22" t="str">
        <x:v>龙文区</x:v>
      </x:c>
      <x:c r="E2058" s="22" t="str">
        <x:v>建设用地</x:v>
      </x:c>
      <x:c r="F2058" s="22" t="str">
        <x:v>工矿仓储用地</x:v>
      </x:c>
      <x:c r="G2058" s="32" t="str">
        <x:v>508</x:v>
      </x:c>
      <x:c r="H2058" s="32" t="str">
        <x:v>508</x:v>
      </x:c>
      <x:c r="I2058" s="22" t="str">
        <x:v>物流仓储用地</x:v>
      </x:c>
      <x:c r="J2058" s="22" t="str">
        <x:v>产业功能</x:v>
      </x:c>
      <x:c r="K2058" s="32" t="str">
        <x:v>201</x:v>
      </x:c>
      <x:c r="L2058" s="22" t="str">
        <x:v>城市范围</x:v>
      </x:c>
      <x:c r="M2058" s="33" t="n">
        <x:v>386953.95000000007</x:v>
      </x:c>
      <x:c r="N2058" s="33" t="n">
        <x:v>38.695395000000005</x:v>
      </x:c>
      <x:c r="O2058" s="22" t="str">
        <x:v>公顷</x:v>
      </x:c>
      <x:c r="P2058" s="22" t="str">
        <x:v>未提供（单期横截面）</x:v>
      </x:c>
      <x:c r="Q2058" s="23" t="n">
        <x:v>5037</x:v>
      </x:c>
    </x:row>
    <x:row r="2059">
      <x:c r="A2059" s="30" t="n">
        <x:v>350600</x:v>
      </x:c>
      <x:c r="B2059" s="22" t="str">
        <x:v>漳州市</x:v>
      </x:c>
      <x:c r="C2059" s="31" t="n">
        <x:v>350603</x:v>
      </x:c>
      <x:c r="D2059" s="22" t="str">
        <x:v>龙文区</x:v>
      </x:c>
      <x:c r="E2059" s="22" t="str">
        <x:v>建设用地</x:v>
      </x:c>
      <x:c r="F2059" s="22" t="str">
        <x:v>商业服务业用地</x:v>
      </x:c>
      <x:c r="G2059" s="32" t="str">
        <x:v>05H1</x:v>
      </x:c>
      <x:c r="H2059" s="32" t="str">
        <x:v>05H1</x:v>
      </x:c>
      <x:c r="I2059" s="22" t="str">
        <x:v>商业服务业设施用地</x:v>
      </x:c>
      <x:c r="J2059" s="22" t="str">
        <x:v>商业服务</x:v>
      </x:c>
      <x:c r="K2059" s="32" t="str">
        <x:v>201</x:v>
      </x:c>
      <x:c r="L2059" s="22" t="str">
        <x:v>城市范围</x:v>
      </x:c>
      <x:c r="M2059" s="33" t="n">
        <x:v>2496452.76</x:v>
      </x:c>
      <x:c r="N2059" s="33" t="n">
        <x:v>249.64527599999997</x:v>
      </x:c>
      <x:c r="O2059" s="22" t="str">
        <x:v>公顷</x:v>
      </x:c>
      <x:c r="P2059" s="22" t="str">
        <x:v>未提供（单期横截面）</x:v>
      </x:c>
      <x:c r="Q2059" s="23" t="n">
        <x:v>5038</x:v>
      </x:c>
    </x:row>
    <x:row r="2060">
      <x:c r="A2060" s="30" t="n">
        <x:v>350600</x:v>
      </x:c>
      <x:c r="B2060" s="22" t="str">
        <x:v>漳州市</x:v>
      </x:c>
      <x:c r="C2060" s="31" t="n">
        <x:v>350603</x:v>
      </x:c>
      <x:c r="D2060" s="22" t="str">
        <x:v>龙文区</x:v>
      </x:c>
      <x:c r="E2060" s="22" t="str">
        <x:v>建设用地</x:v>
      </x:c>
      <x:c r="F2060" s="22" t="str">
        <x:v>工矿仓储用地</x:v>
      </x:c>
      <x:c r="G2060" s="32" t="str">
        <x:v>601</x:v>
      </x:c>
      <x:c r="H2060" s="32" t="str">
        <x:v>601</x:v>
      </x:c>
      <x:c r="I2060" s="22" t="str">
        <x:v>工业用地</x:v>
      </x:c>
      <x:c r="J2060" s="22" t="str">
        <x:v>产业功能</x:v>
      </x:c>
      <x:c r="K2060" s="32" t="str">
        <x:v>201</x:v>
      </x:c>
      <x:c r="L2060" s="22" t="str">
        <x:v>城市范围</x:v>
      </x:c>
      <x:c r="M2060" s="33" t="n">
        <x:v>5637840.360000001</x:v>
      </x:c>
      <x:c r="N2060" s="33" t="n">
        <x:v>563.7840360000001</x:v>
      </x:c>
      <x:c r="O2060" s="22" t="str">
        <x:v>公顷</x:v>
      </x:c>
      <x:c r="P2060" s="22" t="str">
        <x:v>未提供（单期横截面）</x:v>
      </x:c>
      <x:c r="Q2060" s="23" t="n">
        <x:v>5039</x:v>
      </x:c>
    </x:row>
    <x:row r="2061">
      <x:c r="A2061" s="30" t="n">
        <x:v>350600</x:v>
      </x:c>
      <x:c r="B2061" s="22" t="str">
        <x:v>漳州市</x:v>
      </x:c>
      <x:c r="C2061" s="31" t="n">
        <x:v>350603</x:v>
      </x:c>
      <x:c r="D2061" s="22" t="str">
        <x:v>龙文区</x:v>
      </x:c>
      <x:c r="E2061" s="22" t="str">
        <x:v>建设用地</x:v>
      </x:c>
      <x:c r="F2061" s="22" t="str">
        <x:v>工矿仓储用地</x:v>
      </x:c>
      <x:c r="G2061" s="32" t="str">
        <x:v>602</x:v>
      </x:c>
      <x:c r="H2061" s="32" t="str">
        <x:v>602</x:v>
      </x:c>
      <x:c r="I2061" s="22" t="str">
        <x:v>采矿用地</x:v>
      </x:c>
      <x:c r="J2061" s="22" t="str">
        <x:v>产业功能</x:v>
      </x:c>
      <x:c r="K2061" s="32" t="str">
        <x:v>201</x:v>
      </x:c>
      <x:c r="L2061" s="22" t="str">
        <x:v>城市范围</x:v>
      </x:c>
      <x:c r="M2061" s="33" t="n">
        <x:v>13419.17</x:v>
      </x:c>
      <x:c r="N2061" s="33" t="n">
        <x:v>1.341917</x:v>
      </x:c>
      <x:c r="O2061" s="22" t="str">
        <x:v>公顷</x:v>
      </x:c>
      <x:c r="P2061" s="22" t="str">
        <x:v>未提供（单期横截面）</x:v>
      </x:c>
      <x:c r="Q2061" s="23" t="n">
        <x:v>5040</x:v>
      </x:c>
    </x:row>
    <x:row r="2062">
      <x:c r="A2062" s="30" t="n">
        <x:v>350600</x:v>
      </x:c>
      <x:c r="B2062" s="22" t="str">
        <x:v>漳州市</x:v>
      </x:c>
      <x:c r="C2062" s="31" t="n">
        <x:v>350603</x:v>
      </x:c>
      <x:c r="D2062" s="22" t="str">
        <x:v>龙文区</x:v>
      </x:c>
      <x:c r="E2062" s="22" t="str">
        <x:v>建设用地</x:v>
      </x:c>
      <x:c r="F2062" s="22" t="str">
        <x:v>居住用地</x:v>
      </x:c>
      <x:c r="G2062" s="32" t="str">
        <x:v>701</x:v>
      </x:c>
      <x:c r="H2062" s="32" t="str">
        <x:v>701</x:v>
      </x:c>
      <x:c r="I2062" s="22" t="str">
        <x:v>城镇住宅用地</x:v>
      </x:c>
      <x:c r="J2062" s="22" t="str">
        <x:v>居住功能</x:v>
      </x:c>
      <x:c r="K2062" s="32" t="str">
        <x:v>201</x:v>
      </x:c>
      <x:c r="L2062" s="22" t="str">
        <x:v>城市范围</x:v>
      </x:c>
      <x:c r="M2062" s="33" t="n">
        <x:v>9263531.389999997</x:v>
      </x:c>
      <x:c r="N2062" s="33" t="n">
        <x:v>926.3531389999997</x:v>
      </x:c>
      <x:c r="O2062" s="22" t="str">
        <x:v>公顷</x:v>
      </x:c>
      <x:c r="P2062" s="22" t="str">
        <x:v>未提供（单期横截面）</x:v>
      </x:c>
      <x:c r="Q2062" s="23" t="n">
        <x:v>5041</x:v>
      </x:c>
    </x:row>
    <x:row r="2063">
      <x:c r="A2063" s="30" t="n">
        <x:v>350600</x:v>
      </x:c>
      <x:c r="B2063" s="22" t="str">
        <x:v>漳州市</x:v>
      </x:c>
      <x:c r="C2063" s="31" t="n">
        <x:v>350603</x:v>
      </x:c>
      <x:c r="D2063" s="22" t="str">
        <x:v>龙文区</x:v>
      </x:c>
      <x:c r="E2063" s="22" t="str">
        <x:v>建设用地</x:v>
      </x:c>
      <x:c r="F2063" s="22" t="str">
        <x:v>居住用地</x:v>
      </x:c>
      <x:c r="G2063" s="32" t="str">
        <x:v>702</x:v>
      </x:c>
      <x:c r="H2063" s="32" t="str">
        <x:v>702</x:v>
      </x:c>
      <x:c r="I2063" s="22" t="str">
        <x:v>农村宅基地</x:v>
      </x:c>
      <x:c r="J2063" s="22" t="str">
        <x:v>居住功能</x:v>
      </x:c>
      <x:c r="K2063" s="32" t="str">
        <x:v>201</x:v>
      </x:c>
      <x:c r="L2063" s="22" t="str">
        <x:v>城市范围</x:v>
      </x:c>
      <x:c r="M2063" s="33" t="n">
        <x:v>2361201.6499999994</x:v>
      </x:c>
      <x:c r="N2063" s="33" t="n">
        <x:v>236.12016499999996</x:v>
      </x:c>
      <x:c r="O2063" s="22" t="str">
        <x:v>公顷</x:v>
      </x:c>
      <x:c r="P2063" s="22" t="str">
        <x:v>未提供（单期横截面）</x:v>
      </x:c>
      <x:c r="Q2063" s="23" t="n">
        <x:v>5042</x:v>
      </x:c>
    </x:row>
    <x:row r="2064">
      <x:c r="A2064" s="30" t="n">
        <x:v>350600</x:v>
      </x:c>
      <x:c r="B2064" s="22" t="str">
        <x:v>漳州市</x:v>
      </x:c>
      <x:c r="C2064" s="31" t="n">
        <x:v>350603</x:v>
      </x:c>
      <x:c r="D2064" s="22" t="str">
        <x:v>龙文区</x:v>
      </x:c>
      <x:c r="E2064" s="22" t="str">
        <x:v>建设用地</x:v>
      </x:c>
      <x:c r="F2064" s="22" t="str">
        <x:v>公用设施用地</x:v>
      </x:c>
      <x:c r="G2064" s="32" t="str">
        <x:v>809</x:v>
      </x:c>
      <x:c r="H2064" s="32" t="str">
        <x:v>809</x:v>
      </x:c>
      <x:c r="I2064" s="22" t="str">
        <x:v>公用设施用地</x:v>
      </x:c>
      <x:c r="J2064" s="22" t="str">
        <x:v>其他建设</x:v>
      </x:c>
      <x:c r="K2064" s="32" t="str">
        <x:v>201</x:v>
      </x:c>
      <x:c r="L2064" s="22" t="str">
        <x:v>城市范围</x:v>
      </x:c>
      <x:c r="M2064" s="33" t="n">
        <x:v>99445.31000000001</x:v>
      </x:c>
      <x:c r="N2064" s="33" t="n">
        <x:v>9.944531000000001</x:v>
      </x:c>
      <x:c r="O2064" s="22" t="str">
        <x:v>公顷</x:v>
      </x:c>
      <x:c r="P2064" s="22" t="str">
        <x:v>未提供（单期横截面）</x:v>
      </x:c>
      <x:c r="Q2064" s="23" t="n">
        <x:v>5043</x:v>
      </x:c>
    </x:row>
    <x:row r="2065">
      <x:c r="A2065" s="30" t="n">
        <x:v>350600</x:v>
      </x:c>
      <x:c r="B2065" s="22" t="str">
        <x:v>漳州市</x:v>
      </x:c>
      <x:c r="C2065" s="31" t="n">
        <x:v>350603</x:v>
      </x:c>
      <x:c r="D2065" s="22" t="str">
        <x:v>龙文区</x:v>
      </x:c>
      <x:c r="E2065" s="22" t="str">
        <x:v>建设用地</x:v>
      </x:c>
      <x:c r="F2065" s="22" t="str">
        <x:v>绿地与广场用地</x:v>
      </x:c>
      <x:c r="G2065" s="32" t="str">
        <x:v>810</x:v>
      </x:c>
      <x:c r="H2065" s="32" t="str">
        <x:v>810</x:v>
      </x:c>
      <x:c r="I2065" s="22" t="str">
        <x:v>公园与绿地</x:v>
      </x:c>
      <x:c r="J2065" s="22" t="str">
        <x:v>公共空间</x:v>
      </x:c>
      <x:c r="K2065" s="32" t="str">
        <x:v>201</x:v>
      </x:c>
      <x:c r="L2065" s="22" t="str">
        <x:v>城市范围</x:v>
      </x:c>
      <x:c r="M2065" s="33" t="n">
        <x:v>2031811.3199999998</x:v>
      </x:c>
      <x:c r="N2065" s="33" t="n">
        <x:v>203.181132</x:v>
      </x:c>
      <x:c r="O2065" s="22" t="str">
        <x:v>公顷</x:v>
      </x:c>
      <x:c r="P2065" s="22" t="str">
        <x:v>未提供（单期横截面）</x:v>
      </x:c>
      <x:c r="Q2065" s="23" t="n">
        <x:v>5044</x:v>
      </x:c>
    </x:row>
    <x:row r="2066">
      <x:c r="A2066" s="30" t="n">
        <x:v>350600</x:v>
      </x:c>
      <x:c r="B2066" s="22" t="str">
        <x:v>漳州市</x:v>
      </x:c>
      <x:c r="C2066" s="31" t="n">
        <x:v>350603</x:v>
      </x:c>
      <x:c r="D2066" s="22" t="str">
        <x:v>龙文区</x:v>
      </x:c>
      <x:c r="E2066" s="22" t="str">
        <x:v>建设用地</x:v>
      </x:c>
      <x:c r="F2066" s="22" t="str">
        <x:v>绿地与广场用地</x:v>
      </x:c>
      <x:c r="G2066" s="32" t="str">
        <x:v>0810A</x:v>
      </x:c>
      <x:c r="H2066" s="32" t="str">
        <x:v>0810</x:v>
      </x:c>
      <x:c r="I2066" s="22" t="str">
        <x:v>广场用地</x:v>
      </x:c>
      <x:c r="J2066" s="22" t="str">
        <x:v>公共空间</x:v>
      </x:c>
      <x:c r="K2066" s="32" t="str">
        <x:v>201</x:v>
      </x:c>
      <x:c r="L2066" s="22" t="str">
        <x:v>城市范围</x:v>
      </x:c>
      <x:c r="M2066" s="33" t="n">
        <x:v>12121.5</x:v>
      </x:c>
      <x:c r="N2066" s="33" t="n">
        <x:v>1.21215</x:v>
      </x:c>
      <x:c r="O2066" s="22" t="str">
        <x:v>公顷</x:v>
      </x:c>
      <x:c r="P2066" s="22" t="str">
        <x:v>未提供（单期横截面）</x:v>
      </x:c>
      <x:c r="Q2066" s="23" t="n">
        <x:v>5045</x:v>
      </x:c>
    </x:row>
    <x:row r="2067">
      <x:c r="A2067" s="30" t="n">
        <x:v>350600</x:v>
      </x:c>
      <x:c r="B2067" s="22" t="str">
        <x:v>漳州市</x:v>
      </x:c>
      <x:c r="C2067" s="31" t="n">
        <x:v>350603</x:v>
      </x:c>
      <x:c r="D2067" s="22" t="str">
        <x:v>龙文区</x:v>
      </x:c>
      <x:c r="E2067" s="22" t="str">
        <x:v>建设用地</x:v>
      </x:c>
      <x:c r="F2067" s="22" t="str">
        <x:v>公共管理与公共服务用地</x:v>
      </x:c>
      <x:c r="G2067" s="32" t="str">
        <x:v>08H1</x:v>
      </x:c>
      <x:c r="H2067" s="32" t="str">
        <x:v>08H1</x:v>
      </x:c>
      <x:c r="I2067" s="22" t="str">
        <x:v>机关团体新闻出版用地</x:v>
      </x:c>
      <x:c r="J2067" s="22" t="str">
        <x:v>公共服务</x:v>
      </x:c>
      <x:c r="K2067" s="32" t="str">
        <x:v>201</x:v>
      </x:c>
      <x:c r="L2067" s="22" t="str">
        <x:v>城市范围</x:v>
      </x:c>
      <x:c r="M2067" s="33" t="n">
        <x:v>662176.8999999999</x:v>
      </x:c>
      <x:c r="N2067" s="33" t="n">
        <x:v>66.21768999999999</x:v>
      </x:c>
      <x:c r="O2067" s="22" t="str">
        <x:v>公顷</x:v>
      </x:c>
      <x:c r="P2067" s="22" t="str">
        <x:v>未提供（单期横截面）</x:v>
      </x:c>
      <x:c r="Q2067" s="23" t="n">
        <x:v>5046</x:v>
      </x:c>
    </x:row>
    <x:row r="2068">
      <x:c r="A2068" s="30" t="n">
        <x:v>350600</x:v>
      </x:c>
      <x:c r="B2068" s="22" t="str">
        <x:v>漳州市</x:v>
      </x:c>
      <x:c r="C2068" s="31" t="n">
        <x:v>350603</x:v>
      </x:c>
      <x:c r="D2068" s="22" t="str">
        <x:v>龙文区</x:v>
      </x:c>
      <x:c r="E2068" s="22" t="str">
        <x:v>建设用地</x:v>
      </x:c>
      <x:c r="F2068" s="22" t="str">
        <x:v>公共管理与公共服务用地</x:v>
      </x:c>
      <x:c r="G2068" s="32" t="str">
        <x:v>08H2</x:v>
      </x:c>
      <x:c r="H2068" s="32" t="str">
        <x:v>08H2</x:v>
      </x:c>
      <x:c r="I2068" s="22" t="str">
        <x:v>科教文卫用地</x:v>
      </x:c>
      <x:c r="J2068" s="22" t="str">
        <x:v>公共服务</x:v>
      </x:c>
      <x:c r="K2068" s="32" t="str">
        <x:v>201</x:v>
      </x:c>
      <x:c r="L2068" s="22" t="str">
        <x:v>城市范围</x:v>
      </x:c>
      <x:c r="M2068" s="33" t="n">
        <x:v>1095223.8499999999</x:v>
      </x:c>
      <x:c r="N2068" s="33" t="n">
        <x:v>109.52238499999999</x:v>
      </x:c>
      <x:c r="O2068" s="22" t="str">
        <x:v>公顷</x:v>
      </x:c>
      <x:c r="P2068" s="22" t="str">
        <x:v>未提供（单期横截面）</x:v>
      </x:c>
      <x:c r="Q2068" s="23" t="n">
        <x:v>5047</x:v>
      </x:c>
    </x:row>
    <x:row r="2069">
      <x:c r="A2069" s="30" t="n">
        <x:v>350600</x:v>
      </x:c>
      <x:c r="B2069" s="22" t="str">
        <x:v>漳州市</x:v>
      </x:c>
      <x:c r="C2069" s="31" t="n">
        <x:v>350603</x:v>
      </x:c>
      <x:c r="D2069" s="22" t="str">
        <x:v>龙文区</x:v>
      </x:c>
      <x:c r="E2069" s="22" t="str">
        <x:v>建设用地</x:v>
      </x:c>
      <x:c r="F2069" s="22" t="str">
        <x:v>公共管理与公共服务用地</x:v>
      </x:c>
      <x:c r="G2069" s="32" t="str">
        <x:v>08H2A</x:v>
      </x:c>
      <x:c r="H2069" s="32" t="str">
        <x:v>08H2</x:v>
      </x:c>
      <x:c r="I2069" s="22" t="str">
        <x:v>高教用地</x:v>
      </x:c>
      <x:c r="J2069" s="22" t="str">
        <x:v>公共服务</x:v>
      </x:c>
      <x:c r="K2069" s="32" t="str">
        <x:v>201</x:v>
      </x:c>
      <x:c r="L2069" s="22" t="str">
        <x:v>城市范围</x:v>
      </x:c>
      <x:c r="M2069" s="33" t="n">
        <x:v>169181.34999999998</x:v>
      </x:c>
      <x:c r="N2069" s="33" t="n">
        <x:v>16.918134999999996</x:v>
      </x:c>
      <x:c r="O2069" s="22" t="str">
        <x:v>公顷</x:v>
      </x:c>
      <x:c r="P2069" s="22" t="str">
        <x:v>未提供（单期横截面）</x:v>
      </x:c>
      <x:c r="Q2069" s="23" t="n">
        <x:v>5048</x:v>
      </x:c>
    </x:row>
    <x:row r="2070">
      <x:c r="A2070" s="30" t="n">
        <x:v>350600</x:v>
      </x:c>
      <x:c r="B2070" s="22" t="str">
        <x:v>漳州市</x:v>
      </x:c>
      <x:c r="C2070" s="31" t="n">
        <x:v>350603</x:v>
      </x:c>
      <x:c r="D2070" s="22" t="str">
        <x:v>龙文区</x:v>
      </x:c>
      <x:c r="E2070" s="22" t="str">
        <x:v>建设用地</x:v>
      </x:c>
      <x:c r="F2070" s="22" t="str">
        <x:v>特殊用地</x:v>
      </x:c>
      <x:c r="G2070" s="32" t="str">
        <x:v>9</x:v>
      </x:c>
      <x:c r="H2070" s="32" t="str">
        <x:v>9</x:v>
      </x:c>
      <x:c r="I2070" s="22" t="str">
        <x:v>特殊用地</x:v>
      </x:c>
      <x:c r="J2070" s="22" t="str">
        <x:v>其他建设</x:v>
      </x:c>
      <x:c r="K2070" s="32" t="str">
        <x:v>201</x:v>
      </x:c>
      <x:c r="L2070" s="22" t="str">
        <x:v>城市范围</x:v>
      </x:c>
      <x:c r="M2070" s="33" t="n">
        <x:v>410853.04</x:v>
      </x:c>
      <x:c r="N2070" s="33" t="n">
        <x:v>41.085304</x:v>
      </x:c>
      <x:c r="O2070" s="22" t="str">
        <x:v>公顷</x:v>
      </x:c>
      <x:c r="P2070" s="22" t="str">
        <x:v>未提供（单期横截面）</x:v>
      </x:c>
      <x:c r="Q2070" s="23" t="n">
        <x:v>5049</x:v>
      </x:c>
    </x:row>
    <x:row r="2071">
      <x:c r="A2071" s="30" t="n">
        <x:v>350600</x:v>
      </x:c>
      <x:c r="B2071" s="22" t="str">
        <x:v>漳州市</x:v>
      </x:c>
      <x:c r="C2071" s="31" t="n">
        <x:v>350603</x:v>
      </x:c>
      <x:c r="D2071" s="22" t="str">
        <x:v>龙文区</x:v>
      </x:c>
      <x:c r="E2071" s="22" t="str">
        <x:v>建设用地</x:v>
      </x:c>
      <x:c r="F2071" s="22" t="str">
        <x:v>交通运输用地</x:v>
      </x:c>
      <x:c r="G2071" s="32" t="str">
        <x:v>1003</x:v>
      </x:c>
      <x:c r="H2071" s="32" t="str">
        <x:v>1003</x:v>
      </x:c>
      <x:c r="I2071" s="22" t="str">
        <x:v>公路用地</x:v>
      </x:c>
      <x:c r="J2071" s="22" t="str">
        <x:v>交通门户</x:v>
      </x:c>
      <x:c r="K2071" s="32" t="str">
        <x:v>201</x:v>
      </x:c>
      <x:c r="L2071" s="22" t="str">
        <x:v>城市范围</x:v>
      </x:c>
      <x:c r="M2071" s="33" t="n">
        <x:v>38566.61</x:v>
      </x:c>
      <x:c r="N2071" s="33" t="n">
        <x:v>3.856661</x:v>
      </x:c>
      <x:c r="O2071" s="22" t="str">
        <x:v>公顷</x:v>
      </x:c>
      <x:c r="P2071" s="22" t="str">
        <x:v>未提供（单期横截面）</x:v>
      </x:c>
      <x:c r="Q2071" s="23" t="n">
        <x:v>5050</x:v>
      </x:c>
    </x:row>
    <x:row r="2072">
      <x:c r="A2072" s="30" t="n">
        <x:v>350600</x:v>
      </x:c>
      <x:c r="B2072" s="22" t="str">
        <x:v>漳州市</x:v>
      </x:c>
      <x:c r="C2072" s="31" t="n">
        <x:v>350603</x:v>
      </x:c>
      <x:c r="D2072" s="22" t="str">
        <x:v>龙文区</x:v>
      </x:c>
      <x:c r="E2072" s="22" t="str">
        <x:v>建设用地</x:v>
      </x:c>
      <x:c r="F2072" s="22" t="str">
        <x:v>交通运输用地</x:v>
      </x:c>
      <x:c r="G2072" s="32" t="str">
        <x:v>1004</x:v>
      </x:c>
      <x:c r="H2072" s="32" t="str">
        <x:v>1004</x:v>
      </x:c>
      <x:c r="I2072" s="22" t="str">
        <x:v>城镇村道路用地</x:v>
      </x:c>
      <x:c r="J2072" s="22" t="str">
        <x:v>交通门户</x:v>
      </x:c>
      <x:c r="K2072" s="32" t="str">
        <x:v>201</x:v>
      </x:c>
      <x:c r="L2072" s="22" t="str">
        <x:v>城市范围</x:v>
      </x:c>
      <x:c r="M2072" s="33" t="n">
        <x:v>3835675.4899999998</x:v>
      </x:c>
      <x:c r="N2072" s="33" t="n">
        <x:v>383.567549</x:v>
      </x:c>
      <x:c r="O2072" s="22" t="str">
        <x:v>公顷</x:v>
      </x:c>
      <x:c r="P2072" s="22" t="str">
        <x:v>未提供（单期横截面）</x:v>
      </x:c>
      <x:c r="Q2072" s="23" t="n">
        <x:v>5051</x:v>
      </x:c>
    </x:row>
    <x:row r="2073">
      <x:c r="A2073" s="30" t="n">
        <x:v>350600</x:v>
      </x:c>
      <x:c r="B2073" s="22" t="str">
        <x:v>漳州市</x:v>
      </x:c>
      <x:c r="C2073" s="31" t="n">
        <x:v>350603</x:v>
      </x:c>
      <x:c r="D2073" s="22" t="str">
        <x:v>龙文区</x:v>
      </x:c>
      <x:c r="E2073" s="22" t="str">
        <x:v>建设用地</x:v>
      </x:c>
      <x:c r="F2073" s="22" t="str">
        <x:v>交通运输用地</x:v>
      </x:c>
      <x:c r="G2073" s="32" t="str">
        <x:v>1005</x:v>
      </x:c>
      <x:c r="H2073" s="32" t="str">
        <x:v>1005</x:v>
      </x:c>
      <x:c r="I2073" s="22" t="str">
        <x:v>交通服务场站用地</x:v>
      </x:c>
      <x:c r="J2073" s="22" t="str">
        <x:v>交通门户</x:v>
      </x:c>
      <x:c r="K2073" s="32" t="str">
        <x:v>201</x:v>
      </x:c>
      <x:c r="L2073" s="22" t="str">
        <x:v>城市范围</x:v>
      </x:c>
      <x:c r="M2073" s="33" t="n">
        <x:v>239651.33000000002</x:v>
      </x:c>
      <x:c r="N2073" s="33" t="n">
        <x:v>23.965133</x:v>
      </x:c>
      <x:c r="O2073" s="22" t="str">
        <x:v>公顷</x:v>
      </x:c>
      <x:c r="P2073" s="22" t="str">
        <x:v>未提供（单期横截面）</x:v>
      </x:c>
      <x:c r="Q2073" s="23" t="n">
        <x:v>5052</x:v>
      </x:c>
    </x:row>
    <x:row r="2074">
      <x:c r="A2074" s="30" t="n">
        <x:v>350600</x:v>
      </x:c>
      <x:c r="B2074" s="22" t="str">
        <x:v>漳州市</x:v>
      </x:c>
      <x:c r="C2074" s="31" t="n">
        <x:v>350603</x:v>
      </x:c>
      <x:c r="D2074" s="22" t="str">
        <x:v>龙文区</x:v>
      </x:c>
      <x:c r="E2074" s="22" t="str">
        <x:v>建设用地</x:v>
      </x:c>
      <x:c r="F2074" s="22" t="str">
        <x:v>水域及水利设施</x:v>
      </x:c>
      <x:c r="G2074" s="32" t="str">
        <x:v>1109</x:v>
      </x:c>
      <x:c r="H2074" s="32" t="str">
        <x:v>1109</x:v>
      </x:c>
      <x:c r="I2074" s="22" t="str">
        <x:v>水工建筑用地</x:v>
      </x:c>
      <x:c r="J2074" s="22" t="str">
        <x:v>其他建设</x:v>
      </x:c>
      <x:c r="K2074" s="32" t="str">
        <x:v>201</x:v>
      </x:c>
      <x:c r="L2074" s="22" t="str">
        <x:v>城市范围</x:v>
      </x:c>
      <x:c r="M2074" s="33" t="n">
        <x:v>51387.090000000004</x:v>
      </x:c>
      <x:c r="N2074" s="33" t="n">
        <x:v>5.138709</x:v>
      </x:c>
      <x:c r="O2074" s="22" t="str">
        <x:v>公顷</x:v>
      </x:c>
      <x:c r="P2074" s="22" t="str">
        <x:v>未提供（单期横截面）</x:v>
      </x:c>
      <x:c r="Q2074" s="23" t="n">
        <x:v>5053</x:v>
      </x:c>
    </x:row>
    <x:row r="2075">
      <x:c r="A2075" s="30" t="n">
        <x:v>350600</x:v>
      </x:c>
      <x:c r="B2075" s="22" t="str">
        <x:v>漳州市</x:v>
      </x:c>
      <x:c r="C2075" s="31" t="n">
        <x:v>350603</x:v>
      </x:c>
      <x:c r="D2075" s="22" t="str">
        <x:v>龙文区</x:v>
      </x:c>
      <x:c r="E2075" s="22" t="str">
        <x:v>建设用地</x:v>
      </x:c>
      <x:c r="F2075" s="22" t="str">
        <x:v>其他建设用地</x:v>
      </x:c>
      <x:c r="G2075" s="32" t="str">
        <x:v>1201</x:v>
      </x:c>
      <x:c r="H2075" s="32" t="str">
        <x:v>1201</x:v>
      </x:c>
      <x:c r="I2075" s="22" t="str">
        <x:v>空闲地</x:v>
      </x:c>
      <x:c r="J2075" s="22" t="str">
        <x:v>其他建设</x:v>
      </x:c>
      <x:c r="K2075" s="32" t="str">
        <x:v>201</x:v>
      </x:c>
      <x:c r="L2075" s="22" t="str">
        <x:v>城市范围</x:v>
      </x:c>
      <x:c r="M2075" s="33" t="n">
        <x:v>11212.22</x:v>
      </x:c>
      <x:c r="N2075" s="33" t="n">
        <x:v>1.121222</x:v>
      </x:c>
      <x:c r="O2075" s="22" t="str">
        <x:v>公顷</x:v>
      </x:c>
      <x:c r="P2075" s="22" t="str">
        <x:v>未提供（单期横截面）</x:v>
      </x:c>
      <x:c r="Q2075" s="23" t="n">
        <x:v>5054</x:v>
      </x:c>
    </x:row>
    <x:row r="2076">
      <x:c r="A2076" s="30" t="n">
        <x:v>350600</x:v>
      </x:c>
      <x:c r="B2076" s="22" t="str">
        <x:v>漳州市</x:v>
      </x:c>
      <x:c r="C2076" s="31" t="n">
        <x:v>350603</x:v>
      </x:c>
      <x:c r="D2076" s="22" t="str">
        <x:v>龙文区</x:v>
      </x:c>
      <x:c r="E2076" s="22" t="str">
        <x:v>建设用地</x:v>
      </x:c>
      <x:c r="F2076" s="22" t="str">
        <x:v>工矿仓储用地</x:v>
      </x:c>
      <x:c r="G2076" s="32" t="str">
        <x:v>508</x:v>
      </x:c>
      <x:c r="H2076" s="32" t="str">
        <x:v>508</x:v>
      </x:c>
      <x:c r="I2076" s="22" t="str">
        <x:v>物流仓储用地</x:v>
      </x:c>
      <x:c r="J2076" s="22" t="str">
        <x:v>产业功能</x:v>
      </x:c>
      <x:c r="K2076" s="32" t="str">
        <x:v>202</x:v>
      </x:c>
      <x:c r="L2076" s="22" t="str">
        <x:v>建制镇范围</x:v>
      </x:c>
      <x:c r="M2076" s="33" t="n">
        <x:v>116076.89000000001</x:v>
      </x:c>
      <x:c r="N2076" s="33" t="n">
        <x:v>11.607689</x:v>
      </x:c>
      <x:c r="O2076" s="22" t="str">
        <x:v>公顷</x:v>
      </x:c>
      <x:c r="P2076" s="22" t="str">
        <x:v>未提供（单期横截面）</x:v>
      </x:c>
      <x:c r="Q2076" s="23" t="n">
        <x:v>5055</x:v>
      </x:c>
    </x:row>
    <x:row r="2077">
      <x:c r="A2077" s="30" t="n">
        <x:v>350600</x:v>
      </x:c>
      <x:c r="B2077" s="22" t="str">
        <x:v>漳州市</x:v>
      </x:c>
      <x:c r="C2077" s="31" t="n">
        <x:v>350603</x:v>
      </x:c>
      <x:c r="D2077" s="22" t="str">
        <x:v>龙文区</x:v>
      </x:c>
      <x:c r="E2077" s="22" t="str">
        <x:v>建设用地</x:v>
      </x:c>
      <x:c r="F2077" s="22" t="str">
        <x:v>商业服务业用地</x:v>
      </x:c>
      <x:c r="G2077" s="32" t="str">
        <x:v>05H1</x:v>
      </x:c>
      <x:c r="H2077" s="32" t="str">
        <x:v>05H1</x:v>
      </x:c>
      <x:c r="I2077" s="22" t="str">
        <x:v>商业服务业设施用地</x:v>
      </x:c>
      <x:c r="J2077" s="22" t="str">
        <x:v>商业服务</x:v>
      </x:c>
      <x:c r="K2077" s="32" t="str">
        <x:v>202</x:v>
      </x:c>
      <x:c r="L2077" s="22" t="str">
        <x:v>建制镇范围</x:v>
      </x:c>
      <x:c r="M2077" s="33" t="n">
        <x:v>537.56</x:v>
      </x:c>
      <x:c r="N2077" s="33" t="n">
        <x:v>0.05375599999999999</x:v>
      </x:c>
      <x:c r="O2077" s="22" t="str">
        <x:v>公顷</x:v>
      </x:c>
      <x:c r="P2077" s="22" t="str">
        <x:v>未提供（单期横截面）</x:v>
      </x:c>
      <x:c r="Q2077" s="23" t="n">
        <x:v>5056</x:v>
      </x:c>
    </x:row>
    <x:row r="2078">
      <x:c r="A2078" s="30" t="n">
        <x:v>350600</x:v>
      </x:c>
      <x:c r="B2078" s="22" t="str">
        <x:v>漳州市</x:v>
      </x:c>
      <x:c r="C2078" s="31" t="n">
        <x:v>350603</x:v>
      </x:c>
      <x:c r="D2078" s="22" t="str">
        <x:v>龙文区</x:v>
      </x:c>
      <x:c r="E2078" s="22" t="str">
        <x:v>建设用地</x:v>
      </x:c>
      <x:c r="F2078" s="22" t="str">
        <x:v>工矿仓储用地</x:v>
      </x:c>
      <x:c r="G2078" s="32" t="str">
        <x:v>601</x:v>
      </x:c>
      <x:c r="H2078" s="32" t="str">
        <x:v>601</x:v>
      </x:c>
      <x:c r="I2078" s="22" t="str">
        <x:v>工业用地</x:v>
      </x:c>
      <x:c r="J2078" s="22" t="str">
        <x:v>产业功能</x:v>
      </x:c>
      <x:c r="K2078" s="32" t="str">
        <x:v>202</x:v>
      </x:c>
      <x:c r="L2078" s="22" t="str">
        <x:v>建制镇范围</x:v>
      </x:c>
      <x:c r="M2078" s="33" t="n">
        <x:v>725853.07</x:v>
      </x:c>
      <x:c r="N2078" s="33" t="n">
        <x:v>72.585307</x:v>
      </x:c>
      <x:c r="O2078" s="22" t="str">
        <x:v>公顷</x:v>
      </x:c>
      <x:c r="P2078" s="22" t="str">
        <x:v>未提供（单期横截面）</x:v>
      </x:c>
      <x:c r="Q2078" s="23" t="n">
        <x:v>5057</x:v>
      </x:c>
    </x:row>
    <x:row r="2079">
      <x:c r="A2079" s="30" t="n">
        <x:v>350600</x:v>
      </x:c>
      <x:c r="B2079" s="22" t="str">
        <x:v>漳州市</x:v>
      </x:c>
      <x:c r="C2079" s="31" t="n">
        <x:v>350603</x:v>
      </x:c>
      <x:c r="D2079" s="22" t="str">
        <x:v>龙文区</x:v>
      </x:c>
      <x:c r="E2079" s="22" t="str">
        <x:v>建设用地</x:v>
      </x:c>
      <x:c r="F2079" s="22" t="str">
        <x:v>居住用地</x:v>
      </x:c>
      <x:c r="G2079" s="32" t="str">
        <x:v>701</x:v>
      </x:c>
      <x:c r="H2079" s="32" t="str">
        <x:v>701</x:v>
      </x:c>
      <x:c r="I2079" s="22" t="str">
        <x:v>城镇住宅用地</x:v>
      </x:c>
      <x:c r="J2079" s="22" t="str">
        <x:v>居住功能</x:v>
      </x:c>
      <x:c r="K2079" s="32" t="str">
        <x:v>202</x:v>
      </x:c>
      <x:c r="L2079" s="22" t="str">
        <x:v>建制镇范围</x:v>
      </x:c>
      <x:c r="M2079" s="33" t="n">
        <x:v>305368.22000000003</x:v>
      </x:c>
      <x:c r="N2079" s="33" t="n">
        <x:v>30.536822000000004</x:v>
      </x:c>
      <x:c r="O2079" s="22" t="str">
        <x:v>公顷</x:v>
      </x:c>
      <x:c r="P2079" s="22" t="str">
        <x:v>未提供（单期横截面）</x:v>
      </x:c>
      <x:c r="Q2079" s="23" t="n">
        <x:v>5058</x:v>
      </x:c>
    </x:row>
    <x:row r="2080">
      <x:c r="A2080" s="30" t="n">
        <x:v>350600</x:v>
      </x:c>
      <x:c r="B2080" s="22" t="str">
        <x:v>漳州市</x:v>
      </x:c>
      <x:c r="C2080" s="31" t="n">
        <x:v>350603</x:v>
      </x:c>
      <x:c r="D2080" s="22" t="str">
        <x:v>龙文区</x:v>
      </x:c>
      <x:c r="E2080" s="22" t="str">
        <x:v>建设用地</x:v>
      </x:c>
      <x:c r="F2080" s="22" t="str">
        <x:v>居住用地</x:v>
      </x:c>
      <x:c r="G2080" s="32" t="str">
        <x:v>702</x:v>
      </x:c>
      <x:c r="H2080" s="32" t="str">
        <x:v>702</x:v>
      </x:c>
      <x:c r="I2080" s="22" t="str">
        <x:v>农村宅基地</x:v>
      </x:c>
      <x:c r="J2080" s="22" t="str">
        <x:v>居住功能</x:v>
      </x:c>
      <x:c r="K2080" s="32" t="str">
        <x:v>202</x:v>
      </x:c>
      <x:c r="L2080" s="22" t="str">
        <x:v>建制镇范围</x:v>
      </x:c>
      <x:c r="M2080" s="33" t="n">
        <x:v>24456.25</x:v>
      </x:c>
      <x:c r="N2080" s="33" t="n">
        <x:v>2.445625</x:v>
      </x:c>
      <x:c r="O2080" s="22" t="str">
        <x:v>公顷</x:v>
      </x:c>
      <x:c r="P2080" s="22" t="str">
        <x:v>未提供（单期横截面）</x:v>
      </x:c>
      <x:c r="Q2080" s="23" t="n">
        <x:v>5059</x:v>
      </x:c>
    </x:row>
    <x:row r="2081">
      <x:c r="A2081" s="30" t="n">
        <x:v>350600</x:v>
      </x:c>
      <x:c r="B2081" s="22" t="str">
        <x:v>漳州市</x:v>
      </x:c>
      <x:c r="C2081" s="31" t="n">
        <x:v>350603</x:v>
      </x:c>
      <x:c r="D2081" s="22" t="str">
        <x:v>龙文区</x:v>
      </x:c>
      <x:c r="E2081" s="22" t="str">
        <x:v>建设用地</x:v>
      </x:c>
      <x:c r="F2081" s="22" t="str">
        <x:v>绿地与广场用地</x:v>
      </x:c>
      <x:c r="G2081" s="32" t="str">
        <x:v>810</x:v>
      </x:c>
      <x:c r="H2081" s="32" t="str">
        <x:v>810</x:v>
      </x:c>
      <x:c r="I2081" s="22" t="str">
        <x:v>公园与绿地</x:v>
      </x:c>
      <x:c r="J2081" s="22" t="str">
        <x:v>公共空间</x:v>
      </x:c>
      <x:c r="K2081" s="32" t="str">
        <x:v>202</x:v>
      </x:c>
      <x:c r="L2081" s="22" t="str">
        <x:v>建制镇范围</x:v>
      </x:c>
      <x:c r="M2081" s="33" t="n">
        <x:v>6996.16</x:v>
      </x:c>
      <x:c r="N2081" s="33" t="n">
        <x:v>0.699616</x:v>
      </x:c>
      <x:c r="O2081" s="22" t="str">
        <x:v>公顷</x:v>
      </x:c>
      <x:c r="P2081" s="22" t="str">
        <x:v>未提供（单期横截面）</x:v>
      </x:c>
      <x:c r="Q2081" s="23" t="n">
        <x:v>5060</x:v>
      </x:c>
    </x:row>
    <x:row r="2082">
      <x:c r="A2082" s="30" t="n">
        <x:v>350600</x:v>
      </x:c>
      <x:c r="B2082" s="22" t="str">
        <x:v>漳州市</x:v>
      </x:c>
      <x:c r="C2082" s="31" t="n">
        <x:v>350603</x:v>
      </x:c>
      <x:c r="D2082" s="22" t="str">
        <x:v>龙文区</x:v>
      </x:c>
      <x:c r="E2082" s="22" t="str">
        <x:v>建设用地</x:v>
      </x:c>
      <x:c r="F2082" s="22" t="str">
        <x:v>公共管理与公共服务用地</x:v>
      </x:c>
      <x:c r="G2082" s="32" t="str">
        <x:v>08H1</x:v>
      </x:c>
      <x:c r="H2082" s="32" t="str">
        <x:v>08H1</x:v>
      </x:c>
      <x:c r="I2082" s="22" t="str">
        <x:v>机关团体新闻出版用地</x:v>
      </x:c>
      <x:c r="J2082" s="22" t="str">
        <x:v>公共服务</x:v>
      </x:c>
      <x:c r="K2082" s="32" t="str">
        <x:v>202</x:v>
      </x:c>
      <x:c r="L2082" s="22" t="str">
        <x:v>建制镇范围</x:v>
      </x:c>
      <x:c r="M2082" s="33" t="n">
        <x:v>31472.699999999997</x:v>
      </x:c>
      <x:c r="N2082" s="33" t="n">
        <x:v>3.14727</x:v>
      </x:c>
      <x:c r="O2082" s="22" t="str">
        <x:v>公顷</x:v>
      </x:c>
      <x:c r="P2082" s="22" t="str">
        <x:v>未提供（单期横截面）</x:v>
      </x:c>
      <x:c r="Q2082" s="23" t="n">
        <x:v>5061</x:v>
      </x:c>
    </x:row>
    <x:row r="2083">
      <x:c r="A2083" s="30" t="n">
        <x:v>350600</x:v>
      </x:c>
      <x:c r="B2083" s="22" t="str">
        <x:v>漳州市</x:v>
      </x:c>
      <x:c r="C2083" s="31" t="n">
        <x:v>350603</x:v>
      </x:c>
      <x:c r="D2083" s="22" t="str">
        <x:v>龙文区</x:v>
      </x:c>
      <x:c r="E2083" s="22" t="str">
        <x:v>建设用地</x:v>
      </x:c>
      <x:c r="F2083" s="22" t="str">
        <x:v>公共管理与公共服务用地</x:v>
      </x:c>
      <x:c r="G2083" s="32" t="str">
        <x:v>08H2</x:v>
      </x:c>
      <x:c r="H2083" s="32" t="str">
        <x:v>08H2</x:v>
      </x:c>
      <x:c r="I2083" s="22" t="str">
        <x:v>科教文卫用地</x:v>
      </x:c>
      <x:c r="J2083" s="22" t="str">
        <x:v>公共服务</x:v>
      </x:c>
      <x:c r="K2083" s="32" t="str">
        <x:v>202</x:v>
      </x:c>
      <x:c r="L2083" s="22" t="str">
        <x:v>建制镇范围</x:v>
      </x:c>
      <x:c r="M2083" s="33" t="n">
        <x:v>63022.22</x:v>
      </x:c>
      <x:c r="N2083" s="33" t="n">
        <x:v>6.302222</x:v>
      </x:c>
      <x:c r="O2083" s="22" t="str">
        <x:v>公顷</x:v>
      </x:c>
      <x:c r="P2083" s="22" t="str">
        <x:v>未提供（单期横截面）</x:v>
      </x:c>
      <x:c r="Q2083" s="23" t="n">
        <x:v>5062</x:v>
      </x:c>
    </x:row>
    <x:row r="2084">
      <x:c r="A2084" s="30" t="n">
        <x:v>350600</x:v>
      </x:c>
      <x:c r="B2084" s="22" t="str">
        <x:v>漳州市</x:v>
      </x:c>
      <x:c r="C2084" s="31" t="n">
        <x:v>350603</x:v>
      </x:c>
      <x:c r="D2084" s="22" t="str">
        <x:v>龙文区</x:v>
      </x:c>
      <x:c r="E2084" s="22" t="str">
        <x:v>建设用地</x:v>
      </x:c>
      <x:c r="F2084" s="22" t="str">
        <x:v>特殊用地</x:v>
      </x:c>
      <x:c r="G2084" s="32" t="str">
        <x:v>9</x:v>
      </x:c>
      <x:c r="H2084" s="32" t="str">
        <x:v>9</x:v>
      </x:c>
      <x:c r="I2084" s="22" t="str">
        <x:v>特殊用地</x:v>
      </x:c>
      <x:c r="J2084" s="22" t="str">
        <x:v>其他建设</x:v>
      </x:c>
      <x:c r="K2084" s="32" t="str">
        <x:v>202</x:v>
      </x:c>
      <x:c r="L2084" s="22" t="str">
        <x:v>建制镇范围</x:v>
      </x:c>
      <x:c r="M2084" s="33" t="n">
        <x:v>12802.44</x:v>
      </x:c>
      <x:c r="N2084" s="33" t="n">
        <x:v>1.2802440000000002</x:v>
      </x:c>
      <x:c r="O2084" s="22" t="str">
        <x:v>公顷</x:v>
      </x:c>
      <x:c r="P2084" s="22" t="str">
        <x:v>未提供（单期横截面）</x:v>
      </x:c>
      <x:c r="Q2084" s="23" t="n">
        <x:v>5063</x:v>
      </x:c>
    </x:row>
    <x:row r="2085">
      <x:c r="A2085" s="30" t="n">
        <x:v>350600</x:v>
      </x:c>
      <x:c r="B2085" s="22" t="str">
        <x:v>漳州市</x:v>
      </x:c>
      <x:c r="C2085" s="31" t="n">
        <x:v>350603</x:v>
      </x:c>
      <x:c r="D2085" s="22" t="str">
        <x:v>龙文区</x:v>
      </x:c>
      <x:c r="E2085" s="22" t="str">
        <x:v>建设用地</x:v>
      </x:c>
      <x:c r="F2085" s="22" t="str">
        <x:v>交通运输用地</x:v>
      </x:c>
      <x:c r="G2085" s="32" t="str">
        <x:v>1001</x:v>
      </x:c>
      <x:c r="H2085" s="32" t="str">
        <x:v>1001</x:v>
      </x:c>
      <x:c r="I2085" s="22" t="str">
        <x:v>铁路用地</x:v>
      </x:c>
      <x:c r="J2085" s="22" t="str">
        <x:v>交通门户</x:v>
      </x:c>
      <x:c r="K2085" s="32" t="str">
        <x:v>202</x:v>
      </x:c>
      <x:c r="L2085" s="22" t="str">
        <x:v>建制镇范围</x:v>
      </x:c>
      <x:c r="M2085" s="33" t="n">
        <x:v>1336.06</x:v>
      </x:c>
      <x:c r="N2085" s="33" t="n">
        <x:v>0.133606</x:v>
      </x:c>
      <x:c r="O2085" s="22" t="str">
        <x:v>公顷</x:v>
      </x:c>
      <x:c r="P2085" s="22" t="str">
        <x:v>未提供（单期横截面）</x:v>
      </x:c>
      <x:c r="Q2085" s="23" t="n">
        <x:v>5064</x:v>
      </x:c>
    </x:row>
    <x:row r="2086">
      <x:c r="A2086" s="30" t="n">
        <x:v>350600</x:v>
      </x:c>
      <x:c r="B2086" s="22" t="str">
        <x:v>漳州市</x:v>
      </x:c>
      <x:c r="C2086" s="31" t="n">
        <x:v>350603</x:v>
      </x:c>
      <x:c r="D2086" s="22" t="str">
        <x:v>龙文区</x:v>
      </x:c>
      <x:c r="E2086" s="22" t="str">
        <x:v>建设用地</x:v>
      </x:c>
      <x:c r="F2086" s="22" t="str">
        <x:v>交通运输用地</x:v>
      </x:c>
      <x:c r="G2086" s="32" t="str">
        <x:v>1004</x:v>
      </x:c>
      <x:c r="H2086" s="32" t="str">
        <x:v>1004</x:v>
      </x:c>
      <x:c r="I2086" s="22" t="str">
        <x:v>城镇村道路用地</x:v>
      </x:c>
      <x:c r="J2086" s="22" t="str">
        <x:v>交通门户</x:v>
      </x:c>
      <x:c r="K2086" s="32" t="str">
        <x:v>202</x:v>
      </x:c>
      <x:c r="L2086" s="22" t="str">
        <x:v>建制镇范围</x:v>
      </x:c>
      <x:c r="M2086" s="33" t="n">
        <x:v>60895.579999999994</x:v>
      </x:c>
      <x:c r="N2086" s="33" t="n">
        <x:v>6.089557999999999</x:v>
      </x:c>
      <x:c r="O2086" s="22" t="str">
        <x:v>公顷</x:v>
      </x:c>
      <x:c r="P2086" s="22" t="str">
        <x:v>未提供（单期横截面）</x:v>
      </x:c>
      <x:c r="Q2086" s="23" t="n">
        <x:v>5065</x:v>
      </x:c>
    </x:row>
    <x:row r="2087">
      <x:c r="A2087" s="30" t="n">
        <x:v>350600</x:v>
      </x:c>
      <x:c r="B2087" s="22" t="str">
        <x:v>漳州市</x:v>
      </x:c>
      <x:c r="C2087" s="31" t="n">
        <x:v>350603</x:v>
      </x:c>
      <x:c r="D2087" s="22" t="str">
        <x:v>龙文区</x:v>
      </x:c>
      <x:c r="E2087" s="22" t="str">
        <x:v>建设用地</x:v>
      </x:c>
      <x:c r="F2087" s="22" t="str">
        <x:v>工矿仓储用地</x:v>
      </x:c>
      <x:c r="G2087" s="32" t="str">
        <x:v>508</x:v>
      </x:c>
      <x:c r="H2087" s="32" t="str">
        <x:v>508</x:v>
      </x:c>
      <x:c r="I2087" s="22" t="str">
        <x:v>物流仓储用地</x:v>
      </x:c>
      <x:c r="J2087" s="22" t="str">
        <x:v>产业功能</x:v>
      </x:c>
      <x:c r="K2087" s="32" t="str">
        <x:v>203</x:v>
      </x:c>
      <x:c r="L2087" s="22" t="str">
        <x:v>村庄范围</x:v>
      </x:c>
      <x:c r="M2087" s="33" t="n">
        <x:v>549156.6500000001</x:v>
      </x:c>
      <x:c r="N2087" s="33" t="n">
        <x:v>54.91566500000001</x:v>
      </x:c>
      <x:c r="O2087" s="22" t="str">
        <x:v>公顷</x:v>
      </x:c>
      <x:c r="P2087" s="22" t="str">
        <x:v>未提供（单期横截面）</x:v>
      </x:c>
      <x:c r="Q2087" s="23" t="n">
        <x:v>5066</x:v>
      </x:c>
    </x:row>
    <x:row r="2088">
      <x:c r="A2088" s="30" t="n">
        <x:v>350600</x:v>
      </x:c>
      <x:c r="B2088" s="22" t="str">
        <x:v>漳州市</x:v>
      </x:c>
      <x:c r="C2088" s="31" t="n">
        <x:v>350603</x:v>
      </x:c>
      <x:c r="D2088" s="22" t="str">
        <x:v>龙文区</x:v>
      </x:c>
      <x:c r="E2088" s="22" t="str">
        <x:v>建设用地</x:v>
      </x:c>
      <x:c r="F2088" s="22" t="str">
        <x:v>商业服务业用地</x:v>
      </x:c>
      <x:c r="G2088" s="32" t="str">
        <x:v>05H1</x:v>
      </x:c>
      <x:c r="H2088" s="32" t="str">
        <x:v>05H1</x:v>
      </x:c>
      <x:c r="I2088" s="22" t="str">
        <x:v>商业服务业设施用地</x:v>
      </x:c>
      <x:c r="J2088" s="22" t="str">
        <x:v>商业服务</x:v>
      </x:c>
      <x:c r="K2088" s="32" t="str">
        <x:v>203</x:v>
      </x:c>
      <x:c r="L2088" s="22" t="str">
        <x:v>村庄范围</x:v>
      </x:c>
      <x:c r="M2088" s="33" t="n">
        <x:v>515951.2900000001</x:v>
      </x:c>
      <x:c r="N2088" s="33" t="n">
        <x:v>51.59512900000001</x:v>
      </x:c>
      <x:c r="O2088" s="22" t="str">
        <x:v>公顷</x:v>
      </x:c>
      <x:c r="P2088" s="22" t="str">
        <x:v>未提供（单期横截面）</x:v>
      </x:c>
      <x:c r="Q2088" s="23" t="n">
        <x:v>5067</x:v>
      </x:c>
    </x:row>
    <x:row r="2089">
      <x:c r="A2089" s="30" t="n">
        <x:v>350600</x:v>
      </x:c>
      <x:c r="B2089" s="22" t="str">
        <x:v>漳州市</x:v>
      </x:c>
      <x:c r="C2089" s="31" t="n">
        <x:v>350603</x:v>
      </x:c>
      <x:c r="D2089" s="22" t="str">
        <x:v>龙文区</x:v>
      </x:c>
      <x:c r="E2089" s="22" t="str">
        <x:v>建设用地</x:v>
      </x:c>
      <x:c r="F2089" s="22" t="str">
        <x:v>工矿仓储用地</x:v>
      </x:c>
      <x:c r="G2089" s="32" t="str">
        <x:v>601</x:v>
      </x:c>
      <x:c r="H2089" s="32" t="str">
        <x:v>601</x:v>
      </x:c>
      <x:c r="I2089" s="22" t="str">
        <x:v>工业用地</x:v>
      </x:c>
      <x:c r="J2089" s="22" t="str">
        <x:v>产业功能</x:v>
      </x:c>
      <x:c r="K2089" s="32" t="str">
        <x:v>203</x:v>
      </x:c>
      <x:c r="L2089" s="22" t="str">
        <x:v>村庄范围</x:v>
      </x:c>
      <x:c r="M2089" s="33" t="n">
        <x:v>2987327.7899999996</x:v>
      </x:c>
      <x:c r="N2089" s="33" t="n">
        <x:v>298.73277899999994</x:v>
      </x:c>
      <x:c r="O2089" s="22" t="str">
        <x:v>公顷</x:v>
      </x:c>
      <x:c r="P2089" s="22" t="str">
        <x:v>未提供（单期横截面）</x:v>
      </x:c>
      <x:c r="Q2089" s="23" t="n">
        <x:v>5068</x:v>
      </x:c>
    </x:row>
    <x:row r="2090">
      <x:c r="A2090" s="30" t="n">
        <x:v>350600</x:v>
      </x:c>
      <x:c r="B2090" s="22" t="str">
        <x:v>漳州市</x:v>
      </x:c>
      <x:c r="C2090" s="31" t="n">
        <x:v>350603</x:v>
      </x:c>
      <x:c r="D2090" s="22" t="str">
        <x:v>龙文区</x:v>
      </x:c>
      <x:c r="E2090" s="22" t="str">
        <x:v>建设用地</x:v>
      </x:c>
      <x:c r="F2090" s="22" t="str">
        <x:v>工矿仓储用地</x:v>
      </x:c>
      <x:c r="G2090" s="32" t="str">
        <x:v>602</x:v>
      </x:c>
      <x:c r="H2090" s="32" t="str">
        <x:v>602</x:v>
      </x:c>
      <x:c r="I2090" s="22" t="str">
        <x:v>采矿用地</x:v>
      </x:c>
      <x:c r="J2090" s="22" t="str">
        <x:v>产业功能</x:v>
      </x:c>
      <x:c r="K2090" s="32" t="str">
        <x:v>203</x:v>
      </x:c>
      <x:c r="L2090" s="22" t="str">
        <x:v>村庄范围</x:v>
      </x:c>
      <x:c r="M2090" s="33" t="n">
        <x:v>48981.13</x:v>
      </x:c>
      <x:c r="N2090" s="33" t="n">
        <x:v>4.8981129999999995</x:v>
      </x:c>
      <x:c r="O2090" s="22" t="str">
        <x:v>公顷</x:v>
      </x:c>
      <x:c r="P2090" s="22" t="str">
        <x:v>未提供（单期横截面）</x:v>
      </x:c>
      <x:c r="Q2090" s="23" t="n">
        <x:v>5069</x:v>
      </x:c>
    </x:row>
    <x:row r="2091">
      <x:c r="A2091" s="30" t="n">
        <x:v>350600</x:v>
      </x:c>
      <x:c r="B2091" s="22" t="str">
        <x:v>漳州市</x:v>
      </x:c>
      <x:c r="C2091" s="31" t="n">
        <x:v>350603</x:v>
      </x:c>
      <x:c r="D2091" s="22" t="str">
        <x:v>龙文区</x:v>
      </x:c>
      <x:c r="E2091" s="22" t="str">
        <x:v>建设用地</x:v>
      </x:c>
      <x:c r="F2091" s="22" t="str">
        <x:v>居住用地</x:v>
      </x:c>
      <x:c r="G2091" s="32" t="str">
        <x:v>701</x:v>
      </x:c>
      <x:c r="H2091" s="32" t="str">
        <x:v>701</x:v>
      </x:c>
      <x:c r="I2091" s="22" t="str">
        <x:v>城镇住宅用地</x:v>
      </x:c>
      <x:c r="J2091" s="22" t="str">
        <x:v>居住功能</x:v>
      </x:c>
      <x:c r="K2091" s="32" t="str">
        <x:v>203</x:v>
      </x:c>
      <x:c r="L2091" s="22" t="str">
        <x:v>村庄范围</x:v>
      </x:c>
      <x:c r="M2091" s="33" t="n">
        <x:v>79774.21</x:v>
      </x:c>
      <x:c r="N2091" s="33" t="n">
        <x:v>7.9774210000000005</x:v>
      </x:c>
      <x:c r="O2091" s="22" t="str">
        <x:v>公顷</x:v>
      </x:c>
      <x:c r="P2091" s="22" t="str">
        <x:v>未提供（单期横截面）</x:v>
      </x:c>
      <x:c r="Q2091" s="23" t="n">
        <x:v>5070</x:v>
      </x:c>
    </x:row>
    <x:row r="2092">
      <x:c r="A2092" s="30" t="n">
        <x:v>350600</x:v>
      </x:c>
      <x:c r="B2092" s="22" t="str">
        <x:v>漳州市</x:v>
      </x:c>
      <x:c r="C2092" s="31" t="n">
        <x:v>350603</x:v>
      </x:c>
      <x:c r="D2092" s="22" t="str">
        <x:v>龙文区</x:v>
      </x:c>
      <x:c r="E2092" s="22" t="str">
        <x:v>建设用地</x:v>
      </x:c>
      <x:c r="F2092" s="22" t="str">
        <x:v>居住用地</x:v>
      </x:c>
      <x:c r="G2092" s="32" t="str">
        <x:v>702</x:v>
      </x:c>
      <x:c r="H2092" s="32" t="str">
        <x:v>702</x:v>
      </x:c>
      <x:c r="I2092" s="22" t="str">
        <x:v>农村宅基地</x:v>
      </x:c>
      <x:c r="J2092" s="22" t="str">
        <x:v>居住功能</x:v>
      </x:c>
      <x:c r="K2092" s="32" t="str">
        <x:v>203</x:v>
      </x:c>
      <x:c r="L2092" s="22" t="str">
        <x:v>村庄范围</x:v>
      </x:c>
      <x:c r="M2092" s="33" t="n">
        <x:v>8680296.480000006</x:v>
      </x:c>
      <x:c r="N2092" s="33" t="n">
        <x:v>868.0296480000006</x:v>
      </x:c>
      <x:c r="O2092" s="22" t="str">
        <x:v>公顷</x:v>
      </x:c>
      <x:c r="P2092" s="22" t="str">
        <x:v>未提供（单期横截面）</x:v>
      </x:c>
      <x:c r="Q2092" s="23" t="n">
        <x:v>5071</x:v>
      </x:c>
    </x:row>
    <x:row r="2093">
      <x:c r="A2093" s="30" t="n">
        <x:v>350600</x:v>
      </x:c>
      <x:c r="B2093" s="22" t="str">
        <x:v>漳州市</x:v>
      </x:c>
      <x:c r="C2093" s="31" t="n">
        <x:v>350603</x:v>
      </x:c>
      <x:c r="D2093" s="22" t="str">
        <x:v>龙文区</x:v>
      </x:c>
      <x:c r="E2093" s="22" t="str">
        <x:v>建设用地</x:v>
      </x:c>
      <x:c r="F2093" s="22" t="str">
        <x:v>公用设施用地</x:v>
      </x:c>
      <x:c r="G2093" s="32" t="str">
        <x:v>809</x:v>
      </x:c>
      <x:c r="H2093" s="32" t="str">
        <x:v>809</x:v>
      </x:c>
      <x:c r="I2093" s="22" t="str">
        <x:v>公用设施用地</x:v>
      </x:c>
      <x:c r="J2093" s="22" t="str">
        <x:v>其他建设</x:v>
      </x:c>
      <x:c r="K2093" s="32" t="str">
        <x:v>203</x:v>
      </x:c>
      <x:c r="L2093" s="22" t="str">
        <x:v>村庄范围</x:v>
      </x:c>
      <x:c r="M2093" s="33" t="n">
        <x:v>164279.80999999997</x:v>
      </x:c>
      <x:c r="N2093" s="33" t="n">
        <x:v>16.427980999999996</x:v>
      </x:c>
      <x:c r="O2093" s="22" t="str">
        <x:v>公顷</x:v>
      </x:c>
      <x:c r="P2093" s="22" t="str">
        <x:v>未提供（单期横截面）</x:v>
      </x:c>
      <x:c r="Q2093" s="23" t="n">
        <x:v>5072</x:v>
      </x:c>
    </x:row>
    <x:row r="2094">
      <x:c r="A2094" s="30" t="n">
        <x:v>350600</x:v>
      </x:c>
      <x:c r="B2094" s="22" t="str">
        <x:v>漳州市</x:v>
      </x:c>
      <x:c r="C2094" s="31" t="n">
        <x:v>350603</x:v>
      </x:c>
      <x:c r="D2094" s="22" t="str">
        <x:v>龙文区</x:v>
      </x:c>
      <x:c r="E2094" s="22" t="str">
        <x:v>建设用地</x:v>
      </x:c>
      <x:c r="F2094" s="22" t="str">
        <x:v>绿地与广场用地</x:v>
      </x:c>
      <x:c r="G2094" s="32" t="str">
        <x:v>810</x:v>
      </x:c>
      <x:c r="H2094" s="32" t="str">
        <x:v>810</x:v>
      </x:c>
      <x:c r="I2094" s="22" t="str">
        <x:v>公园与绿地</x:v>
      </x:c>
      <x:c r="J2094" s="22" t="str">
        <x:v>公共空间</x:v>
      </x:c>
      <x:c r="K2094" s="32" t="str">
        <x:v>203</x:v>
      </x:c>
      <x:c r="L2094" s="22" t="str">
        <x:v>村庄范围</x:v>
      </x:c>
      <x:c r="M2094" s="33" t="n">
        <x:v>897999.5600000002</x:v>
      </x:c>
      <x:c r="N2094" s="33" t="n">
        <x:v>89.79995600000002</x:v>
      </x:c>
      <x:c r="O2094" s="22" t="str">
        <x:v>公顷</x:v>
      </x:c>
      <x:c r="P2094" s="22" t="str">
        <x:v>未提供（单期横截面）</x:v>
      </x:c>
      <x:c r="Q2094" s="23" t="n">
        <x:v>5073</x:v>
      </x:c>
    </x:row>
    <x:row r="2095">
      <x:c r="A2095" s="30" t="n">
        <x:v>350600</x:v>
      </x:c>
      <x:c r="B2095" s="22" t="str">
        <x:v>漳州市</x:v>
      </x:c>
      <x:c r="C2095" s="31" t="n">
        <x:v>350603</x:v>
      </x:c>
      <x:c r="D2095" s="22" t="str">
        <x:v>龙文区</x:v>
      </x:c>
      <x:c r="E2095" s="22" t="str">
        <x:v>建设用地</x:v>
      </x:c>
      <x:c r="F2095" s="22" t="str">
        <x:v>绿地与广场用地</x:v>
      </x:c>
      <x:c r="G2095" s="32" t="str">
        <x:v>0810A</x:v>
      </x:c>
      <x:c r="H2095" s="32" t="str">
        <x:v>0810</x:v>
      </x:c>
      <x:c r="I2095" s="22" t="str">
        <x:v>广场用地</x:v>
      </x:c>
      <x:c r="J2095" s="22" t="str">
        <x:v>公共空间</x:v>
      </x:c>
      <x:c r="K2095" s="32" t="str">
        <x:v>203</x:v>
      </x:c>
      <x:c r="L2095" s="22" t="str">
        <x:v>村庄范围</x:v>
      </x:c>
      <x:c r="M2095" s="33" t="n">
        <x:v>14864.9</x:v>
      </x:c>
      <x:c r="N2095" s="33" t="n">
        <x:v>1.4864899999999999</x:v>
      </x:c>
      <x:c r="O2095" s="22" t="str">
        <x:v>公顷</x:v>
      </x:c>
      <x:c r="P2095" s="22" t="str">
        <x:v>未提供（单期横截面）</x:v>
      </x:c>
      <x:c r="Q2095" s="23" t="n">
        <x:v>5074</x:v>
      </x:c>
    </x:row>
    <x:row r="2096">
      <x:c r="A2096" s="30" t="n">
        <x:v>350600</x:v>
      </x:c>
      <x:c r="B2096" s="22" t="str">
        <x:v>漳州市</x:v>
      </x:c>
      <x:c r="C2096" s="31" t="n">
        <x:v>350603</x:v>
      </x:c>
      <x:c r="D2096" s="22" t="str">
        <x:v>龙文区</x:v>
      </x:c>
      <x:c r="E2096" s="22" t="str">
        <x:v>建设用地</x:v>
      </x:c>
      <x:c r="F2096" s="22" t="str">
        <x:v>公共管理与公共服务用地</x:v>
      </x:c>
      <x:c r="G2096" s="32" t="str">
        <x:v>08H1</x:v>
      </x:c>
      <x:c r="H2096" s="32" t="str">
        <x:v>08H1</x:v>
      </x:c>
      <x:c r="I2096" s="22" t="str">
        <x:v>机关团体新闻出版用地</x:v>
      </x:c>
      <x:c r="J2096" s="22" t="str">
        <x:v>公共服务</x:v>
      </x:c>
      <x:c r="K2096" s="32" t="str">
        <x:v>203</x:v>
      </x:c>
      <x:c r="L2096" s="22" t="str">
        <x:v>村庄范围</x:v>
      </x:c>
      <x:c r="M2096" s="33" t="n">
        <x:v>42785.29</x:v>
      </x:c>
      <x:c r="N2096" s="33" t="n">
        <x:v>4.278529</x:v>
      </x:c>
      <x:c r="O2096" s="22" t="str">
        <x:v>公顷</x:v>
      </x:c>
      <x:c r="P2096" s="22" t="str">
        <x:v>未提供（单期横截面）</x:v>
      </x:c>
      <x:c r="Q2096" s="23" t="n">
        <x:v>5075</x:v>
      </x:c>
    </x:row>
    <x:row r="2097">
      <x:c r="A2097" s="30" t="n">
        <x:v>350600</x:v>
      </x:c>
      <x:c r="B2097" s="22" t="str">
        <x:v>漳州市</x:v>
      </x:c>
      <x:c r="C2097" s="31" t="n">
        <x:v>350603</x:v>
      </x:c>
      <x:c r="D2097" s="22" t="str">
        <x:v>龙文区</x:v>
      </x:c>
      <x:c r="E2097" s="22" t="str">
        <x:v>建设用地</x:v>
      </x:c>
      <x:c r="F2097" s="22" t="str">
        <x:v>公共管理与公共服务用地</x:v>
      </x:c>
      <x:c r="G2097" s="32" t="str">
        <x:v>08H2</x:v>
      </x:c>
      <x:c r="H2097" s="32" t="str">
        <x:v>08H2</x:v>
      </x:c>
      <x:c r="I2097" s="22" t="str">
        <x:v>科教文卫用地</x:v>
      </x:c>
      <x:c r="J2097" s="22" t="str">
        <x:v>公共服务</x:v>
      </x:c>
      <x:c r="K2097" s="32" t="str">
        <x:v>203</x:v>
      </x:c>
      <x:c r="L2097" s="22" t="str">
        <x:v>村庄范围</x:v>
      </x:c>
      <x:c r="M2097" s="33" t="n">
        <x:v>164381.12999999998</x:v>
      </x:c>
      <x:c r="N2097" s="33" t="n">
        <x:v>16.438112999999998</x:v>
      </x:c>
      <x:c r="O2097" s="22" t="str">
        <x:v>公顷</x:v>
      </x:c>
      <x:c r="P2097" s="22" t="str">
        <x:v>未提供（单期横截面）</x:v>
      </x:c>
      <x:c r="Q2097" s="23" t="n">
        <x:v>5076</x:v>
      </x:c>
    </x:row>
    <x:row r="2098">
      <x:c r="A2098" s="30" t="n">
        <x:v>350600</x:v>
      </x:c>
      <x:c r="B2098" s="22" t="str">
        <x:v>漳州市</x:v>
      </x:c>
      <x:c r="C2098" s="31" t="n">
        <x:v>350603</x:v>
      </x:c>
      <x:c r="D2098" s="22" t="str">
        <x:v>龙文区</x:v>
      </x:c>
      <x:c r="E2098" s="22" t="str">
        <x:v>建设用地</x:v>
      </x:c>
      <x:c r="F2098" s="22" t="str">
        <x:v>特殊用地</x:v>
      </x:c>
      <x:c r="G2098" s="32" t="str">
        <x:v>9</x:v>
      </x:c>
      <x:c r="H2098" s="32" t="str">
        <x:v>9</x:v>
      </x:c>
      <x:c r="I2098" s="22" t="str">
        <x:v>特殊用地</x:v>
      </x:c>
      <x:c r="J2098" s="22" t="str">
        <x:v>其他建设</x:v>
      </x:c>
      <x:c r="K2098" s="32" t="str">
        <x:v>203</x:v>
      </x:c>
      <x:c r="L2098" s="22" t="str">
        <x:v>村庄范围</x:v>
      </x:c>
      <x:c r="M2098" s="33" t="n">
        <x:v>192773.78</x:v>
      </x:c>
      <x:c r="N2098" s="33" t="n">
        <x:v>19.277378</x:v>
      </x:c>
      <x:c r="O2098" s="22" t="str">
        <x:v>公顷</x:v>
      </x:c>
      <x:c r="P2098" s="22" t="str">
        <x:v>未提供（单期横截面）</x:v>
      </x:c>
      <x:c r="Q2098" s="23" t="n">
        <x:v>5077</x:v>
      </x:c>
    </x:row>
    <x:row r="2099">
      <x:c r="A2099" s="30" t="n">
        <x:v>350600</x:v>
      </x:c>
      <x:c r="B2099" s="22" t="str">
        <x:v>漳州市</x:v>
      </x:c>
      <x:c r="C2099" s="31" t="n">
        <x:v>350603</x:v>
      </x:c>
      <x:c r="D2099" s="22" t="str">
        <x:v>龙文区</x:v>
      </x:c>
      <x:c r="E2099" s="22" t="str">
        <x:v>建设用地</x:v>
      </x:c>
      <x:c r="F2099" s="22" t="str">
        <x:v>交通运输用地</x:v>
      </x:c>
      <x:c r="G2099" s="32" t="str">
        <x:v>1004</x:v>
      </x:c>
      <x:c r="H2099" s="32" t="str">
        <x:v>1004</x:v>
      </x:c>
      <x:c r="I2099" s="22" t="str">
        <x:v>城镇村道路用地</x:v>
      </x:c>
      <x:c r="J2099" s="22" t="str">
        <x:v>交通门户</x:v>
      </x:c>
      <x:c r="K2099" s="32" t="str">
        <x:v>203</x:v>
      </x:c>
      <x:c r="L2099" s="22" t="str">
        <x:v>村庄范围</x:v>
      </x:c>
      <x:c r="M2099" s="33" t="n">
        <x:v>539679.8700000003</x:v>
      </x:c>
      <x:c r="N2099" s="33" t="n">
        <x:v>53.967987000000036</x:v>
      </x:c>
      <x:c r="O2099" s="22" t="str">
        <x:v>公顷</x:v>
      </x:c>
      <x:c r="P2099" s="22" t="str">
        <x:v>未提供（单期横截面）</x:v>
      </x:c>
      <x:c r="Q2099" s="23" t="n">
        <x:v>5078</x:v>
      </x:c>
    </x:row>
    <x:row r="2100">
      <x:c r="A2100" s="30" t="n">
        <x:v>350600</x:v>
      </x:c>
      <x:c r="B2100" s="22" t="str">
        <x:v>漳州市</x:v>
      </x:c>
      <x:c r="C2100" s="31" t="n">
        <x:v>350603</x:v>
      </x:c>
      <x:c r="D2100" s="22" t="str">
        <x:v>龙文区</x:v>
      </x:c>
      <x:c r="E2100" s="22" t="str">
        <x:v>建设用地</x:v>
      </x:c>
      <x:c r="F2100" s="22" t="str">
        <x:v>交通运输用地</x:v>
      </x:c>
      <x:c r="G2100" s="32" t="str">
        <x:v>1005</x:v>
      </x:c>
      <x:c r="H2100" s="32" t="str">
        <x:v>1005</x:v>
      </x:c>
      <x:c r="I2100" s="22" t="str">
        <x:v>交通服务场站用地</x:v>
      </x:c>
      <x:c r="J2100" s="22" t="str">
        <x:v>交通门户</x:v>
      </x:c>
      <x:c r="K2100" s="32" t="str">
        <x:v>203</x:v>
      </x:c>
      <x:c r="L2100" s="22" t="str">
        <x:v>村庄范围</x:v>
      </x:c>
      <x:c r="M2100" s="33" t="n">
        <x:v>192759.03</x:v>
      </x:c>
      <x:c r="N2100" s="33" t="n">
        <x:v>19.275903</x:v>
      </x:c>
      <x:c r="O2100" s="22" t="str">
        <x:v>公顷</x:v>
      </x:c>
      <x:c r="P2100" s="22" t="str">
        <x:v>未提供（单期横截面）</x:v>
      </x:c>
      <x:c r="Q2100" s="23" t="n">
        <x:v>5079</x:v>
      </x:c>
    </x:row>
    <x:row r="2101">
      <x:c r="A2101" s="30" t="n">
        <x:v>350600</x:v>
      </x:c>
      <x:c r="B2101" s="22" t="str">
        <x:v>漳州市</x:v>
      </x:c>
      <x:c r="C2101" s="31" t="n">
        <x:v>350603</x:v>
      </x:c>
      <x:c r="D2101" s="22" t="str">
        <x:v>龙文区</x:v>
      </x:c>
      <x:c r="E2101" s="22" t="str">
        <x:v>建设用地</x:v>
      </x:c>
      <x:c r="F2101" s="22" t="str">
        <x:v>交通运输用地</x:v>
      </x:c>
      <x:c r="G2101" s="32" t="str">
        <x:v>1008</x:v>
      </x:c>
      <x:c r="H2101" s="32" t="str">
        <x:v>1008</x:v>
      </x:c>
      <x:c r="I2101" s="22" t="str">
        <x:v>港口码头用地</x:v>
      </x:c>
      <x:c r="J2101" s="22" t="str">
        <x:v>交通门户</x:v>
      </x:c>
      <x:c r="K2101" s="32" t="str">
        <x:v>203</x:v>
      </x:c>
      <x:c r="L2101" s="22" t="str">
        <x:v>村庄范围</x:v>
      </x:c>
      <x:c r="M2101" s="33" t="n">
        <x:v>944.56</x:v>
      </x:c>
      <x:c r="N2101" s="33" t="n">
        <x:v>0.094456</x:v>
      </x:c>
      <x:c r="O2101" s="22" t="str">
        <x:v>公顷</x:v>
      </x:c>
      <x:c r="P2101" s="22" t="str">
        <x:v>未提供（单期横截面）</x:v>
      </x:c>
      <x:c r="Q2101" s="23" t="n">
        <x:v>5080</x:v>
      </x:c>
    </x:row>
    <x:row r="2102">
      <x:c r="A2102" s="30" t="n">
        <x:v>350600</x:v>
      </x:c>
      <x:c r="B2102" s="22" t="str">
        <x:v>漳州市</x:v>
      </x:c>
      <x:c r="C2102" s="31" t="n">
        <x:v>350603</x:v>
      </x:c>
      <x:c r="D2102" s="22" t="str">
        <x:v>龙文区</x:v>
      </x:c>
      <x:c r="E2102" s="22" t="str">
        <x:v>建设用地</x:v>
      </x:c>
      <x:c r="F2102" s="22" t="str">
        <x:v>其他建设用地</x:v>
      </x:c>
      <x:c r="G2102" s="32" t="str">
        <x:v>1201</x:v>
      </x:c>
      <x:c r="H2102" s="32" t="str">
        <x:v>1201</x:v>
      </x:c>
      <x:c r="I2102" s="22" t="str">
        <x:v>空闲地</x:v>
      </x:c>
      <x:c r="J2102" s="22" t="str">
        <x:v>其他建设</x:v>
      </x:c>
      <x:c r="K2102" s="32" t="str">
        <x:v>203</x:v>
      </x:c>
      <x:c r="L2102" s="22" t="str">
        <x:v>村庄范围</x:v>
      </x:c>
      <x:c r="M2102" s="33" t="n">
        <x:v>5954.51</x:v>
      </x:c>
      <x:c r="N2102" s="33" t="n">
        <x:v>0.5954510000000001</x:v>
      </x:c>
      <x:c r="O2102" s="22" t="str">
        <x:v>公顷</x:v>
      </x:c>
      <x:c r="P2102" s="22" t="str">
        <x:v>未提供（单期横截面）</x:v>
      </x:c>
      <x:c r="Q2102" s="23" t="n">
        <x:v>5081</x:v>
      </x:c>
    </x:row>
    <x:row r="2103">
      <x:c r="A2103" s="30" t="n">
        <x:v>350600</x:v>
      </x:c>
      <x:c r="B2103" s="22" t="str">
        <x:v>漳州市</x:v>
      </x:c>
      <x:c r="C2103" s="31" t="n">
        <x:v>350603</x:v>
      </x:c>
      <x:c r="D2103" s="22" t="str">
        <x:v>龙文区</x:v>
      </x:c>
      <x:c r="E2103" s="22" t="str">
        <x:v>建设用地</x:v>
      </x:c>
      <x:c r="F2103" s="22" t="str">
        <x:v>工矿仓储用地</x:v>
      </x:c>
      <x:c r="G2103" s="32" t="str">
        <x:v>601</x:v>
      </x:c>
      <x:c r="H2103" s="32" t="str">
        <x:v>601</x:v>
      </x:c>
      <x:c r="I2103" s="22" t="str">
        <x:v>工业用地</x:v>
      </x:c>
      <x:c r="J2103" s="22" t="str">
        <x:v>产业功能</x:v>
      </x:c>
      <x:c r="K2103" s="32" t="str">
        <x:v>203A</x:v>
      </x:c>
      <x:c r="L2103" s="22" t="str">
        <x:v>村庄独立工业用地</x:v>
      </x:c>
      <x:c r="M2103" s="33" t="n">
        <x:v>364304.86999999994</x:v>
      </x:c>
      <x:c r="N2103" s="33" t="n">
        <x:v>36.43048699999999</x:v>
      </x:c>
      <x:c r="O2103" s="22" t="str">
        <x:v>公顷</x:v>
      </x:c>
      <x:c r="P2103" s="22" t="str">
        <x:v>未提供（单期横截面）</x:v>
      </x:c>
      <x:c r="Q2103" s="23" t="n">
        <x:v>5082</x:v>
      </x:c>
    </x:row>
    <x:row r="2104">
      <x:c r="A2104" s="30" t="n">
        <x:v>350600</x:v>
      </x:c>
      <x:c r="B2104" s="22" t="str">
        <x:v>漳州市</x:v>
      </x:c>
      <x:c r="C2104" s="31" t="n">
        <x:v>350603</x:v>
      </x:c>
      <x:c r="D2104" s="22" t="str">
        <x:v>龙文区</x:v>
      </x:c>
      <x:c r="E2104" s="22" t="str">
        <x:v>建设用地</x:v>
      </x:c>
      <x:c r="F2104" s="22" t="str">
        <x:v>工矿仓储用地</x:v>
      </x:c>
      <x:c r="G2104" s="32" t="str">
        <x:v>508</x:v>
      </x:c>
      <x:c r="H2104" s="32" t="str">
        <x:v>508</x:v>
      </x:c>
      <x:c r="I2104" s="22" t="str">
        <x:v>物流仓储用地</x:v>
      </x:c>
      <x:c r="J2104" s="22" t="str">
        <x:v>产业功能</x:v>
      </x:c>
      <x:c r="K2104" s="32" t="str">
        <x:v>204</x:v>
      </x:c>
      <x:c r="L2104" s="22" t="str">
        <x:v>盐田及采矿用地</x:v>
      </x:c>
      <x:c r="M2104" s="33" t="n">
        <x:v>2181.93</x:v>
      </x:c>
      <x:c r="N2104" s="33" t="n">
        <x:v>0.21819299999999997</x:v>
      </x:c>
      <x:c r="O2104" s="22" t="str">
        <x:v>公顷</x:v>
      </x:c>
      <x:c r="P2104" s="22" t="str">
        <x:v>未提供（单期横截面）</x:v>
      </x:c>
      <x:c r="Q2104" s="23" t="n">
        <x:v>5083</x:v>
      </x:c>
    </x:row>
    <x:row r="2105">
      <x:c r="A2105" s="30" t="n">
        <x:v>350600</x:v>
      </x:c>
      <x:c r="B2105" s="22" t="str">
        <x:v>漳州市</x:v>
      </x:c>
      <x:c r="C2105" s="31" t="n">
        <x:v>350603</x:v>
      </x:c>
      <x:c r="D2105" s="22" t="str">
        <x:v>龙文区</x:v>
      </x:c>
      <x:c r="E2105" s="22" t="str">
        <x:v>建设用地</x:v>
      </x:c>
      <x:c r="F2105" s="22" t="str">
        <x:v>工矿仓储用地</x:v>
      </x:c>
      <x:c r="G2105" s="32" t="str">
        <x:v>601</x:v>
      </x:c>
      <x:c r="H2105" s="32" t="str">
        <x:v>601</x:v>
      </x:c>
      <x:c r="I2105" s="22" t="str">
        <x:v>工业用地</x:v>
      </x:c>
      <x:c r="J2105" s="22" t="str">
        <x:v>产业功能</x:v>
      </x:c>
      <x:c r="K2105" s="32" t="str">
        <x:v>204</x:v>
      </x:c>
      <x:c r="L2105" s="22" t="str">
        <x:v>盐田及采矿用地</x:v>
      </x:c>
      <x:c r="M2105" s="33" t="n">
        <x:v>302.38</x:v>
      </x:c>
      <x:c r="N2105" s="33" t="n">
        <x:v>0.030238</x:v>
      </x:c>
      <x:c r="O2105" s="22" t="str">
        <x:v>公顷</x:v>
      </x:c>
      <x:c r="P2105" s="22" t="str">
        <x:v>未提供（单期横截面）</x:v>
      </x:c>
      <x:c r="Q2105" s="23" t="n">
        <x:v>5084</x:v>
      </x:c>
    </x:row>
    <x:row r="2106">
      <x:c r="A2106" s="30" t="n">
        <x:v>350600</x:v>
      </x:c>
      <x:c r="B2106" s="22" t="str">
        <x:v>漳州市</x:v>
      </x:c>
      <x:c r="C2106" s="31" t="n">
        <x:v>350603</x:v>
      </x:c>
      <x:c r="D2106" s="22" t="str">
        <x:v>龙文区</x:v>
      </x:c>
      <x:c r="E2106" s="22" t="str">
        <x:v>建设用地</x:v>
      </x:c>
      <x:c r="F2106" s="22" t="str">
        <x:v>工矿仓储用地</x:v>
      </x:c>
      <x:c r="G2106" s="32" t="str">
        <x:v>602</x:v>
      </x:c>
      <x:c r="H2106" s="32" t="str">
        <x:v>602</x:v>
      </x:c>
      <x:c r="I2106" s="22" t="str">
        <x:v>采矿用地</x:v>
      </x:c>
      <x:c r="J2106" s="22" t="str">
        <x:v>产业功能</x:v>
      </x:c>
      <x:c r="K2106" s="32" t="str">
        <x:v>204</x:v>
      </x:c>
      <x:c r="L2106" s="22" t="str">
        <x:v>盐田及采矿用地</x:v>
      </x:c>
      <x:c r="M2106" s="33" t="n">
        <x:v>397976.55999999994</x:v>
      </x:c>
      <x:c r="N2106" s="33" t="n">
        <x:v>39.797655999999996</x:v>
      </x:c>
      <x:c r="O2106" s="22" t="str">
        <x:v>公顷</x:v>
      </x:c>
      <x:c r="P2106" s="22" t="str">
        <x:v>未提供（单期横截面）</x:v>
      </x:c>
      <x:c r="Q2106" s="23" t="n">
        <x:v>5085</x:v>
      </x:c>
    </x:row>
    <x:row r="2107">
      <x:c r="A2107" s="30" t="n">
        <x:v>350600</x:v>
      </x:c>
      <x:c r="B2107" s="22" t="str">
        <x:v>漳州市</x:v>
      </x:c>
      <x:c r="C2107" s="31" t="n">
        <x:v>350603</x:v>
      </x:c>
      <x:c r="D2107" s="22" t="str">
        <x:v>龙文区</x:v>
      </x:c>
      <x:c r="E2107" s="22" t="str">
        <x:v>建设用地</x:v>
      </x:c>
      <x:c r="F2107" s="22" t="str">
        <x:v>特殊用地</x:v>
      </x:c>
      <x:c r="G2107" s="32" t="str">
        <x:v>9</x:v>
      </x:c>
      <x:c r="H2107" s="32" t="str">
        <x:v>9</x:v>
      </x:c>
      <x:c r="I2107" s="22" t="str">
        <x:v>特殊用地</x:v>
      </x:c>
      <x:c r="J2107" s="22" t="str">
        <x:v>其他建设</x:v>
      </x:c>
      <x:c r="K2107" s="32" t="str">
        <x:v>205</x:v>
      </x:c>
      <x:c r="L2107" s="22" t="str">
        <x:v>特殊用地</x:v>
      </x:c>
      <x:c r="M2107" s="33" t="n">
        <x:v>491159.61000000004</x:v>
      </x:c>
      <x:c r="N2107" s="33" t="n">
        <x:v>49.115961000000006</x:v>
      </x:c>
      <x:c r="O2107" s="22" t="str">
        <x:v>公顷</x:v>
      </x:c>
      <x:c r="P2107" s="22" t="str">
        <x:v>未提供（单期横截面）</x:v>
      </x:c>
      <x:c r="Q2107" s="23" t="n">
        <x:v>5086</x:v>
      </x:c>
    </x:row>
    <x:row r="2108">
      <x:c r="A2108" s="30" t="n">
        <x:v>350600</x:v>
      </x:c>
      <x:c r="B2108" s="22" t="str">
        <x:v>漳州市</x:v>
      </x:c>
      <x:c r="C2108" s="31" t="n">
        <x:v>350603</x:v>
      </x:c>
      <x:c r="D2108" s="22" t="str">
        <x:v>龙文区</x:v>
      </x:c>
      <x:c r="E2108" s="22" t="str">
        <x:v>农用地</x:v>
      </x:c>
      <x:c r="F2108" s="22" t="str">
        <x:v>耕地</x:v>
      </x:c>
      <x:c r="G2108" s="32" t="str">
        <x:v>101</x:v>
      </x:c>
      <x:c r="H2108" s="32" t="str">
        <x:v>101</x:v>
      </x:c>
      <x:c r="I2108" s="22" t="str">
        <x:v>水田</x:v>
      </x:c>
      <x:c r="J2108" s="22" t="str">
        <x:v>农业生态</x:v>
      </x:c>
      <x:c r="K2108" s="32" t="str"/>
      <x:c r="L2108" s="22" t="str">
        <x:v>不适用/未标注</x:v>
      </x:c>
      <x:c r="M2108" s="33" t="n">
        <x:v>3220265.8200000008</x:v>
      </x:c>
      <x:c r="N2108" s="33" t="n">
        <x:v>322.0265820000001</x:v>
      </x:c>
      <x:c r="O2108" s="22" t="str">
        <x:v>公顷</x:v>
      </x:c>
      <x:c r="P2108" s="22" t="str">
        <x:v>未提供（单期横截面）</x:v>
      </x:c>
      <x:c r="Q2108" s="23" t="n">
        <x:v>5087</x:v>
      </x:c>
    </x:row>
    <x:row r="2109">
      <x:c r="A2109" s="30" t="n">
        <x:v>350600</x:v>
      </x:c>
      <x:c r="B2109" s="22" t="str">
        <x:v>漳州市</x:v>
      </x:c>
      <x:c r="C2109" s="31" t="n">
        <x:v>350603</x:v>
      </x:c>
      <x:c r="D2109" s="22" t="str">
        <x:v>龙文区</x:v>
      </x:c>
      <x:c r="E2109" s="22" t="str">
        <x:v>农用地</x:v>
      </x:c>
      <x:c r="F2109" s="22" t="str">
        <x:v>耕地</x:v>
      </x:c>
      <x:c r="G2109" s="32" t="str">
        <x:v>102</x:v>
      </x:c>
      <x:c r="H2109" s="32" t="str">
        <x:v>102</x:v>
      </x:c>
      <x:c r="I2109" s="22" t="str">
        <x:v>水浇地</x:v>
      </x:c>
      <x:c r="J2109" s="22" t="str">
        <x:v>农业生态</x:v>
      </x:c>
      <x:c r="K2109" s="32" t="str"/>
      <x:c r="L2109" s="22" t="str">
        <x:v>不适用/未标注</x:v>
      </x:c>
      <x:c r="M2109" s="33" t="n">
        <x:v>1143426.6599999995</x:v>
      </x:c>
      <x:c r="N2109" s="33" t="n">
        <x:v>114.34266599999995</x:v>
      </x:c>
      <x:c r="O2109" s="22" t="str">
        <x:v>公顷</x:v>
      </x:c>
      <x:c r="P2109" s="22" t="str">
        <x:v>未提供（单期横截面）</x:v>
      </x:c>
      <x:c r="Q2109" s="23" t="n">
        <x:v>5088</x:v>
      </x:c>
    </x:row>
    <x:row r="2110">
      <x:c r="A2110" s="30" t="n">
        <x:v>350600</x:v>
      </x:c>
      <x:c r="B2110" s="22" t="str">
        <x:v>漳州市</x:v>
      </x:c>
      <x:c r="C2110" s="31" t="n">
        <x:v>350603</x:v>
      </x:c>
      <x:c r="D2110" s="22" t="str">
        <x:v>龙文区</x:v>
      </x:c>
      <x:c r="E2110" s="22" t="str">
        <x:v>农用地</x:v>
      </x:c>
      <x:c r="F2110" s="22" t="str">
        <x:v>耕地</x:v>
      </x:c>
      <x:c r="G2110" s="32" t="str">
        <x:v>103</x:v>
      </x:c>
      <x:c r="H2110" s="32" t="str">
        <x:v>103</x:v>
      </x:c>
      <x:c r="I2110" s="22" t="str">
        <x:v>旱地</x:v>
      </x:c>
      <x:c r="J2110" s="22" t="str">
        <x:v>农业生态</x:v>
      </x:c>
      <x:c r="K2110" s="32" t="str"/>
      <x:c r="L2110" s="22" t="str">
        <x:v>不适用/未标注</x:v>
      </x:c>
      <x:c r="M2110" s="33" t="n">
        <x:v>2939378.4099999974</x:v>
      </x:c>
      <x:c r="N2110" s="33" t="n">
        <x:v>293.9378409999997</x:v>
      </x:c>
      <x:c r="O2110" s="22" t="str">
        <x:v>公顷</x:v>
      </x:c>
      <x:c r="P2110" s="22" t="str">
        <x:v>未提供（单期横截面）</x:v>
      </x:c>
      <x:c r="Q2110" s="23" t="n">
        <x:v>5089</x:v>
      </x:c>
    </x:row>
    <x:row r="2111">
      <x:c r="A2111" s="30" t="n">
        <x:v>350600</x:v>
      </x:c>
      <x:c r="B2111" s="22" t="str">
        <x:v>漳州市</x:v>
      </x:c>
      <x:c r="C2111" s="31" t="n">
        <x:v>350603</x:v>
      </x:c>
      <x:c r="D2111" s="22" t="str">
        <x:v>龙文区</x:v>
      </x:c>
      <x:c r="E2111" s="22" t="str">
        <x:v>农用地</x:v>
      </x:c>
      <x:c r="F2111" s="22" t="str">
        <x:v>园地</x:v>
      </x:c>
      <x:c r="G2111" s="32" t="str">
        <x:v>201</x:v>
      </x:c>
      <x:c r="H2111" s="32" t="str">
        <x:v>201</x:v>
      </x:c>
      <x:c r="I2111" s="22" t="str">
        <x:v>果园</x:v>
      </x:c>
      <x:c r="J2111" s="22" t="str">
        <x:v>农业生态</x:v>
      </x:c>
      <x:c r="K2111" s="32" t="str"/>
      <x:c r="L2111" s="22" t="str">
        <x:v>不适用/未标注</x:v>
      </x:c>
      <x:c r="M2111" s="33" t="n">
        <x:v>11208293.299999997</x:v>
      </x:c>
      <x:c r="N2111" s="33" t="n">
        <x:v>1120.8293299999998</x:v>
      </x:c>
      <x:c r="O2111" s="22" t="str">
        <x:v>公顷</x:v>
      </x:c>
      <x:c r="P2111" s="22" t="str">
        <x:v>未提供（单期横截面）</x:v>
      </x:c>
      <x:c r="Q2111" s="23" t="n">
        <x:v>5090</x:v>
      </x:c>
    </x:row>
    <x:row r="2112">
      <x:c r="A2112" s="30" t="n">
        <x:v>350600</x:v>
      </x:c>
      <x:c r="B2112" s="22" t="str">
        <x:v>漳州市</x:v>
      </x:c>
      <x:c r="C2112" s="31" t="n">
        <x:v>350603</x:v>
      </x:c>
      <x:c r="D2112" s="22" t="str">
        <x:v>龙文区</x:v>
      </x:c>
      <x:c r="E2112" s="22" t="str">
        <x:v>农用地</x:v>
      </x:c>
      <x:c r="F2112" s="22" t="str">
        <x:v>园地</x:v>
      </x:c>
      <x:c r="G2112" s="32" t="str">
        <x:v>0201K</x:v>
      </x:c>
      <x:c r="H2112" s="32" t="str">
        <x:v>201</x:v>
      </x:c>
      <x:c r="I2112" s="22" t="str">
        <x:v>可调整果园</x:v>
      </x:c>
      <x:c r="J2112" s="22" t="str">
        <x:v>农业生态</x:v>
      </x:c>
      <x:c r="K2112" s="32" t="str"/>
      <x:c r="L2112" s="22" t="str">
        <x:v>不适用/未标注</x:v>
      </x:c>
      <x:c r="M2112" s="33" t="n">
        <x:v>472233.2800000001</x:v>
      </x:c>
      <x:c r="N2112" s="33" t="n">
        <x:v>47.22332800000001</x:v>
      </x:c>
      <x:c r="O2112" s="22" t="str">
        <x:v>公顷</x:v>
      </x:c>
      <x:c r="P2112" s="22" t="str">
        <x:v>未提供（单期横截面）</x:v>
      </x:c>
      <x:c r="Q2112" s="23" t="n">
        <x:v>5091</x:v>
      </x:c>
    </x:row>
    <x:row r="2113">
      <x:c r="A2113" s="30" t="n">
        <x:v>350600</x:v>
      </x:c>
      <x:c r="B2113" s="22" t="str">
        <x:v>漳州市</x:v>
      </x:c>
      <x:c r="C2113" s="31" t="n">
        <x:v>350603</x:v>
      </x:c>
      <x:c r="D2113" s="22" t="str">
        <x:v>龙文区</x:v>
      </x:c>
      <x:c r="E2113" s="22" t="str">
        <x:v>农用地</x:v>
      </x:c>
      <x:c r="F2113" s="22" t="str">
        <x:v>园地</x:v>
      </x:c>
      <x:c r="G2113" s="32" t="str">
        <x:v>202</x:v>
      </x:c>
      <x:c r="H2113" s="32" t="str">
        <x:v>202</x:v>
      </x:c>
      <x:c r="I2113" s="22" t="str">
        <x:v>茶园</x:v>
      </x:c>
      <x:c r="J2113" s="22" t="str">
        <x:v>农业生态</x:v>
      </x:c>
      <x:c r="K2113" s="32" t="str"/>
      <x:c r="L2113" s="22" t="str">
        <x:v>不适用/未标注</x:v>
      </x:c>
      <x:c r="M2113" s="33" t="n">
        <x:v>26952.04</x:v>
      </x:c>
      <x:c r="N2113" s="33" t="n">
        <x:v>2.695204</x:v>
      </x:c>
      <x:c r="O2113" s="22" t="str">
        <x:v>公顷</x:v>
      </x:c>
      <x:c r="P2113" s="22" t="str">
        <x:v>未提供（单期横截面）</x:v>
      </x:c>
      <x:c r="Q2113" s="23" t="n">
        <x:v>5092</x:v>
      </x:c>
    </x:row>
    <x:row r="2114">
      <x:c r="A2114" s="30" t="n">
        <x:v>350600</x:v>
      </x:c>
      <x:c r="B2114" s="22" t="str">
        <x:v>漳州市</x:v>
      </x:c>
      <x:c r="C2114" s="31" t="n">
        <x:v>350603</x:v>
      </x:c>
      <x:c r="D2114" s="22" t="str">
        <x:v>龙文区</x:v>
      </x:c>
      <x:c r="E2114" s="22" t="str">
        <x:v>农用地</x:v>
      </x:c>
      <x:c r="F2114" s="22" t="str">
        <x:v>园地</x:v>
      </x:c>
      <x:c r="G2114" s="32" t="str">
        <x:v>204</x:v>
      </x:c>
      <x:c r="H2114" s="32" t="str">
        <x:v>204</x:v>
      </x:c>
      <x:c r="I2114" s="22" t="str">
        <x:v>其他园地</x:v>
      </x:c>
      <x:c r="J2114" s="22" t="str">
        <x:v>农业生态</x:v>
      </x:c>
      <x:c r="K2114" s="32" t="str"/>
      <x:c r="L2114" s="22" t="str">
        <x:v>不适用/未标注</x:v>
      </x:c>
      <x:c r="M2114" s="33" t="n">
        <x:v>3555037.3299999977</x:v>
      </x:c>
      <x:c r="N2114" s="33" t="n">
        <x:v>355.5037329999998</x:v>
      </x:c>
      <x:c r="O2114" s="22" t="str">
        <x:v>公顷</x:v>
      </x:c>
      <x:c r="P2114" s="22" t="str">
        <x:v>未提供（单期横截面）</x:v>
      </x:c>
      <x:c r="Q2114" s="23" t="n">
        <x:v>5093</x:v>
      </x:c>
    </x:row>
    <x:row r="2115">
      <x:c r="A2115" s="30" t="n">
        <x:v>350600</x:v>
      </x:c>
      <x:c r="B2115" s="22" t="str">
        <x:v>漳州市</x:v>
      </x:c>
      <x:c r="C2115" s="31" t="n">
        <x:v>350603</x:v>
      </x:c>
      <x:c r="D2115" s="22" t="str">
        <x:v>龙文区</x:v>
      </x:c>
      <x:c r="E2115" s="22" t="str">
        <x:v>农用地</x:v>
      </x:c>
      <x:c r="F2115" s="22" t="str">
        <x:v>园地</x:v>
      </x:c>
      <x:c r="G2115" s="32" t="str">
        <x:v>0204K</x:v>
      </x:c>
      <x:c r="H2115" s="32" t="str">
        <x:v>0204</x:v>
      </x:c>
      <x:c r="I2115" s="22" t="str">
        <x:v>可调整其他园地</x:v>
      </x:c>
      <x:c r="J2115" s="22" t="str">
        <x:v>农业生态</x:v>
      </x:c>
      <x:c r="K2115" s="32" t="str"/>
      <x:c r="L2115" s="22" t="str">
        <x:v>不适用/未标注</x:v>
      </x:c>
      <x:c r="M2115" s="33" t="n">
        <x:v>45977.16</x:v>
      </x:c>
      <x:c r="N2115" s="33" t="n">
        <x:v>4.597716</x:v>
      </x:c>
      <x:c r="O2115" s="22" t="str">
        <x:v>公顷</x:v>
      </x:c>
      <x:c r="P2115" s="22" t="str">
        <x:v>未提供（单期横截面）</x:v>
      </x:c>
      <x:c r="Q2115" s="23" t="n">
        <x:v>5094</x:v>
      </x:c>
    </x:row>
    <x:row r="2116">
      <x:c r="A2116" s="30" t="n">
        <x:v>350600</x:v>
      </x:c>
      <x:c r="B2116" s="22" t="str">
        <x:v>漳州市</x:v>
      </x:c>
      <x:c r="C2116" s="31" t="n">
        <x:v>350603</x:v>
      </x:c>
      <x:c r="D2116" s="22" t="str">
        <x:v>龙文区</x:v>
      </x:c>
      <x:c r="E2116" s="22" t="str">
        <x:v>农用地</x:v>
      </x:c>
      <x:c r="F2116" s="22" t="str">
        <x:v>林地</x:v>
      </x:c>
      <x:c r="G2116" s="32" t="str">
        <x:v>301</x:v>
      </x:c>
      <x:c r="H2116" s="32" t="str">
        <x:v>301</x:v>
      </x:c>
      <x:c r="I2116" s="22" t="str">
        <x:v>乔木林地</x:v>
      </x:c>
      <x:c r="J2116" s="22" t="str">
        <x:v>农业生态</x:v>
      </x:c>
      <x:c r="K2116" s="32" t="str"/>
      <x:c r="L2116" s="22" t="str">
        <x:v>不适用/未标注</x:v>
      </x:c>
      <x:c r="M2116" s="33" t="n">
        <x:v>21571283.09999999</x:v>
      </x:c>
      <x:c r="N2116" s="33" t="n">
        <x:v>2157.128309999999</x:v>
      </x:c>
      <x:c r="O2116" s="22" t="str">
        <x:v>公顷</x:v>
      </x:c>
      <x:c r="P2116" s="22" t="str">
        <x:v>未提供（单期横截面）</x:v>
      </x:c>
      <x:c r="Q2116" s="23" t="n">
        <x:v>5095</x:v>
      </x:c>
    </x:row>
    <x:row r="2117">
      <x:c r="A2117" s="30" t="n">
        <x:v>350600</x:v>
      </x:c>
      <x:c r="B2117" s="22" t="str">
        <x:v>漳州市</x:v>
      </x:c>
      <x:c r="C2117" s="31" t="n">
        <x:v>350603</x:v>
      </x:c>
      <x:c r="D2117" s="22" t="str">
        <x:v>龙文区</x:v>
      </x:c>
      <x:c r="E2117" s="22" t="str">
        <x:v>农用地</x:v>
      </x:c>
      <x:c r="F2117" s="22" t="str">
        <x:v>林地</x:v>
      </x:c>
      <x:c r="G2117" s="32" t="str">
        <x:v>302</x:v>
      </x:c>
      <x:c r="H2117" s="32" t="str">
        <x:v>302</x:v>
      </x:c>
      <x:c r="I2117" s="22" t="str">
        <x:v>竹林地</x:v>
      </x:c>
      <x:c r="J2117" s="22" t="str">
        <x:v>农业生态</x:v>
      </x:c>
      <x:c r="K2117" s="32" t="str"/>
      <x:c r="L2117" s="22" t="str">
        <x:v>不适用/未标注</x:v>
      </x:c>
      <x:c r="M2117" s="33" t="n">
        <x:v>715948.0700000003</x:v>
      </x:c>
      <x:c r="N2117" s="33" t="n">
        <x:v>71.59480700000003</x:v>
      </x:c>
      <x:c r="O2117" s="22" t="str">
        <x:v>公顷</x:v>
      </x:c>
      <x:c r="P2117" s="22" t="str">
        <x:v>未提供（单期横截面）</x:v>
      </x:c>
      <x:c r="Q2117" s="23" t="n">
        <x:v>5096</x:v>
      </x:c>
    </x:row>
    <x:row r="2118">
      <x:c r="A2118" s="30" t="n">
        <x:v>350600</x:v>
      </x:c>
      <x:c r="B2118" s="22" t="str">
        <x:v>漳州市</x:v>
      </x:c>
      <x:c r="C2118" s="31" t="n">
        <x:v>350603</x:v>
      </x:c>
      <x:c r="D2118" s="22" t="str">
        <x:v>龙文区</x:v>
      </x:c>
      <x:c r="E2118" s="22" t="str">
        <x:v>农用地</x:v>
      </x:c>
      <x:c r="F2118" s="22" t="str">
        <x:v>林地</x:v>
      </x:c>
      <x:c r="G2118" s="32" t="str">
        <x:v>305</x:v>
      </x:c>
      <x:c r="H2118" s="32" t="str">
        <x:v>305</x:v>
      </x:c>
      <x:c r="I2118" s="22" t="str">
        <x:v>灌木林地</x:v>
      </x:c>
      <x:c r="J2118" s="22" t="str">
        <x:v>农业生态</x:v>
      </x:c>
      <x:c r="K2118" s="32" t="str"/>
      <x:c r="L2118" s="22" t="str">
        <x:v>不适用/未标注</x:v>
      </x:c>
      <x:c r="M2118" s="33" t="n">
        <x:v>253398.68</x:v>
      </x:c>
      <x:c r="N2118" s="33" t="n">
        <x:v>25.339868</x:v>
      </x:c>
      <x:c r="O2118" s="22" t="str">
        <x:v>公顷</x:v>
      </x:c>
      <x:c r="P2118" s="22" t="str">
        <x:v>未提供（单期横截面）</x:v>
      </x:c>
      <x:c r="Q2118" s="23" t="n">
        <x:v>5097</x:v>
      </x:c>
    </x:row>
    <x:row r="2119">
      <x:c r="A2119" s="30" t="n">
        <x:v>350600</x:v>
      </x:c>
      <x:c r="B2119" s="22" t="str">
        <x:v>漳州市</x:v>
      </x:c>
      <x:c r="C2119" s="31" t="n">
        <x:v>350603</x:v>
      </x:c>
      <x:c r="D2119" s="22" t="str">
        <x:v>龙文区</x:v>
      </x:c>
      <x:c r="E2119" s="22" t="str">
        <x:v>农用地</x:v>
      </x:c>
      <x:c r="F2119" s="22" t="str">
        <x:v>林地</x:v>
      </x:c>
      <x:c r="G2119" s="32" t="str">
        <x:v>307</x:v>
      </x:c>
      <x:c r="H2119" s="32" t="str">
        <x:v>307</x:v>
      </x:c>
      <x:c r="I2119" s="22" t="str">
        <x:v>其他林地</x:v>
      </x:c>
      <x:c r="J2119" s="22" t="str">
        <x:v>农业生态</x:v>
      </x:c>
      <x:c r="K2119" s="32" t="str"/>
      <x:c r="L2119" s="22" t="str">
        <x:v>不适用/未标注</x:v>
      </x:c>
      <x:c r="M2119" s="33" t="n">
        <x:v>4561107.799999998</x:v>
      </x:c>
      <x:c r="N2119" s="33" t="n">
        <x:v>456.1107799999998</x:v>
      </x:c>
      <x:c r="O2119" s="22" t="str">
        <x:v>公顷</x:v>
      </x:c>
      <x:c r="P2119" s="22" t="str">
        <x:v>未提供（单期横截面）</x:v>
      </x:c>
      <x:c r="Q2119" s="23" t="n">
        <x:v>5098</x:v>
      </x:c>
    </x:row>
    <x:row r="2120">
      <x:c r="A2120" s="30" t="n">
        <x:v>350600</x:v>
      </x:c>
      <x:c r="B2120" s="22" t="str">
        <x:v>漳州市</x:v>
      </x:c>
      <x:c r="C2120" s="31" t="n">
        <x:v>350603</x:v>
      </x:c>
      <x:c r="D2120" s="22" t="str">
        <x:v>龙文区</x:v>
      </x:c>
      <x:c r="E2120" s="22" t="str">
        <x:v>农用地</x:v>
      </x:c>
      <x:c r="F2120" s="22" t="str">
        <x:v>其他农用地</x:v>
      </x:c>
      <x:c r="G2120" s="32" t="str">
        <x:v>1006</x:v>
      </x:c>
      <x:c r="H2120" s="32" t="str">
        <x:v>1006</x:v>
      </x:c>
      <x:c r="I2120" s="22" t="str">
        <x:v>农村道路</x:v>
      </x:c>
      <x:c r="J2120" s="22" t="str">
        <x:v>农业生态</x:v>
      </x:c>
      <x:c r="K2120" s="32" t="str"/>
      <x:c r="L2120" s="22" t="str">
        <x:v>不适用/未标注</x:v>
      </x:c>
      <x:c r="M2120" s="33" t="n">
        <x:v>1042230.0100000001</x:v>
      </x:c>
      <x:c r="N2120" s="33" t="n">
        <x:v>104.22300100000001</x:v>
      </x:c>
      <x:c r="O2120" s="22" t="str">
        <x:v>公顷</x:v>
      </x:c>
      <x:c r="P2120" s="22" t="str">
        <x:v>未提供（单期横截面）</x:v>
      </x:c>
      <x:c r="Q2120" s="23" t="n">
        <x:v>5099</x:v>
      </x:c>
    </x:row>
    <x:row r="2121">
      <x:c r="A2121" s="30" t="n">
        <x:v>350600</x:v>
      </x:c>
      <x:c r="B2121" s="22" t="str">
        <x:v>漳州市</x:v>
      </x:c>
      <x:c r="C2121" s="31" t="n">
        <x:v>350603</x:v>
      </x:c>
      <x:c r="D2121" s="22" t="str">
        <x:v>龙文区</x:v>
      </x:c>
      <x:c r="E2121" s="22" t="str">
        <x:v>农用地</x:v>
      </x:c>
      <x:c r="F2121" s="22" t="str">
        <x:v>水域及水利设施</x:v>
      </x:c>
      <x:c r="G2121" s="32" t="str">
        <x:v>1103</x:v>
      </x:c>
      <x:c r="H2121" s="32" t="str">
        <x:v>1103</x:v>
      </x:c>
      <x:c r="I2121" s="22" t="str">
        <x:v>水库水面</x:v>
      </x:c>
      <x:c r="J2121" s="22" t="str">
        <x:v>农业生态</x:v>
      </x:c>
      <x:c r="K2121" s="32" t="str"/>
      <x:c r="L2121" s="22" t="str">
        <x:v>不适用/未标注</x:v>
      </x:c>
      <x:c r="M2121" s="33" t="n">
        <x:v>266091.22000000003</x:v>
      </x:c>
      <x:c r="N2121" s="33" t="n">
        <x:v>26.609122000000003</x:v>
      </x:c>
      <x:c r="O2121" s="22" t="str">
        <x:v>公顷</x:v>
      </x:c>
      <x:c r="P2121" s="22" t="str">
        <x:v>未提供（单期横截面）</x:v>
      </x:c>
      <x:c r="Q2121" s="23" t="n">
        <x:v>5100</x:v>
      </x:c>
    </x:row>
    <x:row r="2122">
      <x:c r="A2122" s="30" t="n">
        <x:v>350600</x:v>
      </x:c>
      <x:c r="B2122" s="22" t="str">
        <x:v>漳州市</x:v>
      </x:c>
      <x:c r="C2122" s="31" t="n">
        <x:v>350603</x:v>
      </x:c>
      <x:c r="D2122" s="22" t="str">
        <x:v>龙文区</x:v>
      </x:c>
      <x:c r="E2122" s="22" t="str">
        <x:v>农用地</x:v>
      </x:c>
      <x:c r="F2122" s="22" t="str">
        <x:v>水域及水利设施</x:v>
      </x:c>
      <x:c r="G2122" s="32" t="str">
        <x:v>1104</x:v>
      </x:c>
      <x:c r="H2122" s="32" t="str">
        <x:v>1104</x:v>
      </x:c>
      <x:c r="I2122" s="22" t="str">
        <x:v>坑塘水面</x:v>
      </x:c>
      <x:c r="J2122" s="22" t="str">
        <x:v>农业生态</x:v>
      </x:c>
      <x:c r="K2122" s="32" t="str"/>
      <x:c r="L2122" s="22" t="str">
        <x:v>不适用/未标注</x:v>
      </x:c>
      <x:c r="M2122" s="33" t="n">
        <x:v>2302848.1399999983</x:v>
      </x:c>
      <x:c r="N2122" s="33" t="n">
        <x:v>230.28481399999984</x:v>
      </x:c>
      <x:c r="O2122" s="22" t="str">
        <x:v>公顷</x:v>
      </x:c>
      <x:c r="P2122" s="22" t="str">
        <x:v>未提供（单期横截面）</x:v>
      </x:c>
      <x:c r="Q2122" s="23" t="n">
        <x:v>5101</x:v>
      </x:c>
    </x:row>
    <x:row r="2123">
      <x:c r="A2123" s="30" t="n">
        <x:v>350600</x:v>
      </x:c>
      <x:c r="B2123" s="22" t="str">
        <x:v>漳州市</x:v>
      </x:c>
      <x:c r="C2123" s="31" t="n">
        <x:v>350603</x:v>
      </x:c>
      <x:c r="D2123" s="22" t="str">
        <x:v>龙文区</x:v>
      </x:c>
      <x:c r="E2123" s="22" t="str">
        <x:v>农用地</x:v>
      </x:c>
      <x:c r="F2123" s="22" t="str">
        <x:v>水域及水利设施</x:v>
      </x:c>
      <x:c r="G2123" s="32" t="str">
        <x:v>1104A</x:v>
      </x:c>
      <x:c r="H2123" s="32" t="str">
        <x:v>1104</x:v>
      </x:c>
      <x:c r="I2123" s="22" t="str">
        <x:v>养殖坑塘</x:v>
      </x:c>
      <x:c r="J2123" s="22" t="str">
        <x:v>农业生态</x:v>
      </x:c>
      <x:c r="K2123" s="32" t="str"/>
      <x:c r="L2123" s="22" t="str">
        <x:v>不适用/未标注</x:v>
      </x:c>
      <x:c r="M2123" s="33" t="n">
        <x:v>2037840.4300000006</x:v>
      </x:c>
      <x:c r="N2123" s="33" t="n">
        <x:v>203.78404300000005</x:v>
      </x:c>
      <x:c r="O2123" s="22" t="str">
        <x:v>公顷</x:v>
      </x:c>
      <x:c r="P2123" s="22" t="str">
        <x:v>未提供（单期横截面）</x:v>
      </x:c>
      <x:c r="Q2123" s="23" t="n">
        <x:v>5102</x:v>
      </x:c>
    </x:row>
    <x:row r="2124">
      <x:c r="A2124" s="30" t="n">
        <x:v>350600</x:v>
      </x:c>
      <x:c r="B2124" s="22" t="str">
        <x:v>漳州市</x:v>
      </x:c>
      <x:c r="C2124" s="31" t="n">
        <x:v>350603</x:v>
      </x:c>
      <x:c r="D2124" s="22" t="str">
        <x:v>龙文区</x:v>
      </x:c>
      <x:c r="E2124" s="22" t="str">
        <x:v>农用地</x:v>
      </x:c>
      <x:c r="F2124" s="22" t="str">
        <x:v>水域及水利设施</x:v>
      </x:c>
      <x:c r="G2124" s="32" t="str">
        <x:v>1104K</x:v>
      </x:c>
      <x:c r="H2124" s="32" t="str">
        <x:v>1104</x:v>
      </x:c>
      <x:c r="I2124" s="22" t="str">
        <x:v>可调整养殖坑塘</x:v>
      </x:c>
      <x:c r="J2124" s="22" t="str">
        <x:v>农业生态</x:v>
      </x:c>
      <x:c r="K2124" s="32" t="str"/>
      <x:c r="L2124" s="22" t="str">
        <x:v>不适用/未标注</x:v>
      </x:c>
      <x:c r="M2124" s="33" t="n">
        <x:v>1455168.5999999994</x:v>
      </x:c>
      <x:c r="N2124" s="33" t="n">
        <x:v>145.51685999999995</x:v>
      </x:c>
      <x:c r="O2124" s="22" t="str">
        <x:v>公顷</x:v>
      </x:c>
      <x:c r="P2124" s="22" t="str">
        <x:v>未提供（单期横截面）</x:v>
      </x:c>
      <x:c r="Q2124" s="23" t="n">
        <x:v>5103</x:v>
      </x:c>
    </x:row>
    <x:row r="2125">
      <x:c r="A2125" s="30" t="n">
        <x:v>350600</x:v>
      </x:c>
      <x:c r="B2125" s="22" t="str">
        <x:v>漳州市</x:v>
      </x:c>
      <x:c r="C2125" s="31" t="n">
        <x:v>350603</x:v>
      </x:c>
      <x:c r="D2125" s="22" t="str">
        <x:v>龙文区</x:v>
      </x:c>
      <x:c r="E2125" s="22" t="str">
        <x:v>农用地</x:v>
      </x:c>
      <x:c r="F2125" s="22" t="str">
        <x:v>水域及水利设施</x:v>
      </x:c>
      <x:c r="G2125" s="32" t="str">
        <x:v>1107</x:v>
      </x:c>
      <x:c r="H2125" s="32" t="str">
        <x:v>1107</x:v>
      </x:c>
      <x:c r="I2125" s="22" t="str">
        <x:v>沟渠</x:v>
      </x:c>
      <x:c r="J2125" s="22" t="str">
        <x:v>农业生态</x:v>
      </x:c>
      <x:c r="K2125" s="32" t="str"/>
      <x:c r="L2125" s="22" t="str">
        <x:v>不适用/未标注</x:v>
      </x:c>
      <x:c r="M2125" s="33" t="n">
        <x:v>145211.79</x:v>
      </x:c>
      <x:c r="N2125" s="33" t="n">
        <x:v>14.521179</x:v>
      </x:c>
      <x:c r="O2125" s="22" t="str">
        <x:v>公顷</x:v>
      </x:c>
      <x:c r="P2125" s="22" t="str">
        <x:v>未提供（单期横截面）</x:v>
      </x:c>
      <x:c r="Q2125" s="23" t="n">
        <x:v>5104</x:v>
      </x:c>
    </x:row>
    <x:row r="2126">
      <x:c r="A2126" s="30" t="n">
        <x:v>350600</x:v>
      </x:c>
      <x:c r="B2126" s="22" t="str">
        <x:v>漳州市</x:v>
      </x:c>
      <x:c r="C2126" s="31" t="n">
        <x:v>350603</x:v>
      </x:c>
      <x:c r="D2126" s="22" t="str">
        <x:v>龙文区</x:v>
      </x:c>
      <x:c r="E2126" s="22" t="str">
        <x:v>农用地</x:v>
      </x:c>
      <x:c r="F2126" s="22" t="str">
        <x:v>其他农用地</x:v>
      </x:c>
      <x:c r="G2126" s="32" t="str">
        <x:v>1202</x:v>
      </x:c>
      <x:c r="H2126" s="32" t="str">
        <x:v>1202</x:v>
      </x:c>
      <x:c r="I2126" s="22" t="str">
        <x:v>设施农用地</x:v>
      </x:c>
      <x:c r="J2126" s="22" t="str">
        <x:v>农业生态</x:v>
      </x:c>
      <x:c r="K2126" s="32" t="str"/>
      <x:c r="L2126" s="22" t="str">
        <x:v>不适用/未标注</x:v>
      </x:c>
      <x:c r="M2126" s="33" t="n">
        <x:v>2270994.4799999977</x:v>
      </x:c>
      <x:c r="N2126" s="33" t="n">
        <x:v>227.09944799999977</x:v>
      </x:c>
      <x:c r="O2126" s="22" t="str">
        <x:v>公顷</x:v>
      </x:c>
      <x:c r="P2126" s="22" t="str">
        <x:v>未提供（单期横截面）</x:v>
      </x:c>
      <x:c r="Q2126" s="23" t="n">
        <x:v>5105</x:v>
      </x:c>
    </x:row>
    <x:row r="2127">
      <x:c r="A2127" s="30" t="n">
        <x:v>350600</x:v>
      </x:c>
      <x:c r="B2127" s="22" t="str">
        <x:v>漳州市</x:v>
      </x:c>
      <x:c r="C2127" s="31" t="n">
        <x:v>350603</x:v>
      </x:c>
      <x:c r="D2127" s="22" t="str">
        <x:v>龙文区</x:v>
      </x:c>
      <x:c r="E2127" s="22" t="str">
        <x:v>农用地</x:v>
      </x:c>
      <x:c r="F2127" s="22" t="str">
        <x:v>耕地</x:v>
      </x:c>
      <x:c r="G2127" s="32" t="str">
        <x:v>101</x:v>
      </x:c>
      <x:c r="H2127" s="32" t="str">
        <x:v>101</x:v>
      </x:c>
      <x:c r="I2127" s="22" t="str">
        <x:v>水田</x:v>
      </x:c>
      <x:c r="J2127" s="22" t="str">
        <x:v>农业生态</x:v>
      </x:c>
      <x:c r="K2127" s="32" t="str">
        <x:v>201</x:v>
      </x:c>
      <x:c r="L2127" s="22" t="str">
        <x:v>城市范围</x:v>
      </x:c>
      <x:c r="M2127" s="33" t="n">
        <x:v>50961.020000000004</x:v>
      </x:c>
      <x:c r="N2127" s="33" t="n">
        <x:v>5.096102</x:v>
      </x:c>
      <x:c r="O2127" s="22" t="str">
        <x:v>公顷</x:v>
      </x:c>
      <x:c r="P2127" s="22" t="str">
        <x:v>未提供（单期横截面）</x:v>
      </x:c>
      <x:c r="Q2127" s="23" t="n">
        <x:v>5106</x:v>
      </x:c>
    </x:row>
    <x:row r="2128">
      <x:c r="A2128" s="30" t="n">
        <x:v>350600</x:v>
      </x:c>
      <x:c r="B2128" s="22" t="str">
        <x:v>漳州市</x:v>
      </x:c>
      <x:c r="C2128" s="31" t="n">
        <x:v>350603</x:v>
      </x:c>
      <x:c r="D2128" s="22" t="str">
        <x:v>龙文区</x:v>
      </x:c>
      <x:c r="E2128" s="22" t="str">
        <x:v>农用地</x:v>
      </x:c>
      <x:c r="F2128" s="22" t="str">
        <x:v>耕地</x:v>
      </x:c>
      <x:c r="G2128" s="32" t="str">
        <x:v>102</x:v>
      </x:c>
      <x:c r="H2128" s="32" t="str">
        <x:v>102</x:v>
      </x:c>
      <x:c r="I2128" s="22" t="str">
        <x:v>水浇地</x:v>
      </x:c>
      <x:c r="J2128" s="22" t="str">
        <x:v>农业生态</x:v>
      </x:c>
      <x:c r="K2128" s="32" t="str">
        <x:v>201</x:v>
      </x:c>
      <x:c r="L2128" s="22" t="str">
        <x:v>城市范围</x:v>
      </x:c>
      <x:c r="M2128" s="33" t="n">
        <x:v>156656.09</x:v>
      </x:c>
      <x:c r="N2128" s="33" t="n">
        <x:v>15.665609</x:v>
      </x:c>
      <x:c r="O2128" s="22" t="str">
        <x:v>公顷</x:v>
      </x:c>
      <x:c r="P2128" s="22" t="str">
        <x:v>未提供（单期横截面）</x:v>
      </x:c>
      <x:c r="Q2128" s="23" t="n">
        <x:v>5107</x:v>
      </x:c>
    </x:row>
    <x:row r="2129">
      <x:c r="A2129" s="30" t="n">
        <x:v>350600</x:v>
      </x:c>
      <x:c r="B2129" s="22" t="str">
        <x:v>漳州市</x:v>
      </x:c>
      <x:c r="C2129" s="31" t="n">
        <x:v>350603</x:v>
      </x:c>
      <x:c r="D2129" s="22" t="str">
        <x:v>龙文区</x:v>
      </x:c>
      <x:c r="E2129" s="22" t="str">
        <x:v>农用地</x:v>
      </x:c>
      <x:c r="F2129" s="22" t="str">
        <x:v>耕地</x:v>
      </x:c>
      <x:c r="G2129" s="32" t="str">
        <x:v>103</x:v>
      </x:c>
      <x:c r="H2129" s="32" t="str">
        <x:v>103</x:v>
      </x:c>
      <x:c r="I2129" s="22" t="str">
        <x:v>旱地</x:v>
      </x:c>
      <x:c r="J2129" s="22" t="str">
        <x:v>农业生态</x:v>
      </x:c>
      <x:c r="K2129" s="32" t="str">
        <x:v>201</x:v>
      </x:c>
      <x:c r="L2129" s="22" t="str">
        <x:v>城市范围</x:v>
      </x:c>
      <x:c r="M2129" s="33" t="n">
        <x:v>201491.0200000001</x:v>
      </x:c>
      <x:c r="N2129" s="33" t="n">
        <x:v>20.14910200000001</x:v>
      </x:c>
      <x:c r="O2129" s="22" t="str">
        <x:v>公顷</x:v>
      </x:c>
      <x:c r="P2129" s="22" t="str">
        <x:v>未提供（单期横截面）</x:v>
      </x:c>
      <x:c r="Q2129" s="23" t="n">
        <x:v>5108</x:v>
      </x:c>
    </x:row>
    <x:row r="2130">
      <x:c r="A2130" s="30" t="n">
        <x:v>350600</x:v>
      </x:c>
      <x:c r="B2130" s="22" t="str">
        <x:v>漳州市</x:v>
      </x:c>
      <x:c r="C2130" s="31" t="n">
        <x:v>350603</x:v>
      </x:c>
      <x:c r="D2130" s="22" t="str">
        <x:v>龙文区</x:v>
      </x:c>
      <x:c r="E2130" s="22" t="str">
        <x:v>农用地</x:v>
      </x:c>
      <x:c r="F2130" s="22" t="str">
        <x:v>园地</x:v>
      </x:c>
      <x:c r="G2130" s="32" t="str">
        <x:v>201</x:v>
      </x:c>
      <x:c r="H2130" s="32" t="str">
        <x:v>201</x:v>
      </x:c>
      <x:c r="I2130" s="22" t="str">
        <x:v>果园</x:v>
      </x:c>
      <x:c r="J2130" s="22" t="str">
        <x:v>农业生态</x:v>
      </x:c>
      <x:c r="K2130" s="32" t="str">
        <x:v>201</x:v>
      </x:c>
      <x:c r="L2130" s="22" t="str">
        <x:v>城市范围</x:v>
      </x:c>
      <x:c r="M2130" s="33" t="n">
        <x:v>368765.8</x:v>
      </x:c>
      <x:c r="N2130" s="33" t="n">
        <x:v>36.87658</x:v>
      </x:c>
      <x:c r="O2130" s="22" t="str">
        <x:v>公顷</x:v>
      </x:c>
      <x:c r="P2130" s="22" t="str">
        <x:v>未提供（单期横截面）</x:v>
      </x:c>
      <x:c r="Q2130" s="23" t="n">
        <x:v>5109</x:v>
      </x:c>
    </x:row>
    <x:row r="2131">
      <x:c r="A2131" s="30" t="n">
        <x:v>350600</x:v>
      </x:c>
      <x:c r="B2131" s="22" t="str">
        <x:v>漳州市</x:v>
      </x:c>
      <x:c r="C2131" s="31" t="n">
        <x:v>350603</x:v>
      </x:c>
      <x:c r="D2131" s="22" t="str">
        <x:v>龙文区</x:v>
      </x:c>
      <x:c r="E2131" s="22" t="str">
        <x:v>农用地</x:v>
      </x:c>
      <x:c r="F2131" s="22" t="str">
        <x:v>园地</x:v>
      </x:c>
      <x:c r="G2131" s="32" t="str">
        <x:v>204</x:v>
      </x:c>
      <x:c r="H2131" s="32" t="str">
        <x:v>204</x:v>
      </x:c>
      <x:c r="I2131" s="22" t="str">
        <x:v>其他园地</x:v>
      </x:c>
      <x:c r="J2131" s="22" t="str">
        <x:v>农业生态</x:v>
      </x:c>
      <x:c r="K2131" s="32" t="str">
        <x:v>201</x:v>
      </x:c>
      <x:c r="L2131" s="22" t="str">
        <x:v>城市范围</x:v>
      </x:c>
      <x:c r="M2131" s="33" t="n">
        <x:v>226212.68</x:v>
      </x:c>
      <x:c r="N2131" s="33" t="n">
        <x:v>22.621268</x:v>
      </x:c>
      <x:c r="O2131" s="22" t="str">
        <x:v>公顷</x:v>
      </x:c>
      <x:c r="P2131" s="22" t="str">
        <x:v>未提供（单期横截面）</x:v>
      </x:c>
      <x:c r="Q2131" s="23" t="n">
        <x:v>5110</x:v>
      </x:c>
    </x:row>
    <x:row r="2132">
      <x:c r="A2132" s="30" t="n">
        <x:v>350600</x:v>
      </x:c>
      <x:c r="B2132" s="22" t="str">
        <x:v>漳州市</x:v>
      </x:c>
      <x:c r="C2132" s="31" t="n">
        <x:v>350603</x:v>
      </x:c>
      <x:c r="D2132" s="22" t="str">
        <x:v>龙文区</x:v>
      </x:c>
      <x:c r="E2132" s="22" t="str">
        <x:v>农用地</x:v>
      </x:c>
      <x:c r="F2132" s="22" t="str">
        <x:v>林地</x:v>
      </x:c>
      <x:c r="G2132" s="32" t="str">
        <x:v>301</x:v>
      </x:c>
      <x:c r="H2132" s="32" t="str">
        <x:v>301</x:v>
      </x:c>
      <x:c r="I2132" s="22" t="str">
        <x:v>乔木林地</x:v>
      </x:c>
      <x:c r="J2132" s="22" t="str">
        <x:v>农业生态</x:v>
      </x:c>
      <x:c r="K2132" s="32" t="str">
        <x:v>201</x:v>
      </x:c>
      <x:c r="L2132" s="22" t="str">
        <x:v>城市范围</x:v>
      </x:c>
      <x:c r="M2132" s="33" t="n">
        <x:v>529667.5200000001</x:v>
      </x:c>
      <x:c r="N2132" s="33" t="n">
        <x:v>52.966752000000014</x:v>
      </x:c>
      <x:c r="O2132" s="22" t="str">
        <x:v>公顷</x:v>
      </x:c>
      <x:c r="P2132" s="22" t="str">
        <x:v>未提供（单期横截面）</x:v>
      </x:c>
      <x:c r="Q2132" s="23" t="n">
        <x:v>5111</x:v>
      </x:c>
    </x:row>
    <x:row r="2133">
      <x:c r="A2133" s="30" t="n">
        <x:v>350600</x:v>
      </x:c>
      <x:c r="B2133" s="22" t="str">
        <x:v>漳州市</x:v>
      </x:c>
      <x:c r="C2133" s="31" t="n">
        <x:v>350603</x:v>
      </x:c>
      <x:c r="D2133" s="22" t="str">
        <x:v>龙文区</x:v>
      </x:c>
      <x:c r="E2133" s="22" t="str">
        <x:v>农用地</x:v>
      </x:c>
      <x:c r="F2133" s="22" t="str">
        <x:v>林地</x:v>
      </x:c>
      <x:c r="G2133" s="32" t="str">
        <x:v>305</x:v>
      </x:c>
      <x:c r="H2133" s="32" t="str">
        <x:v>305</x:v>
      </x:c>
      <x:c r="I2133" s="22" t="str">
        <x:v>灌木林地</x:v>
      </x:c>
      <x:c r="J2133" s="22" t="str">
        <x:v>农业生态</x:v>
      </x:c>
      <x:c r="K2133" s="32" t="str">
        <x:v>201</x:v>
      </x:c>
      <x:c r="L2133" s="22" t="str">
        <x:v>城市范围</x:v>
      </x:c>
      <x:c r="M2133" s="33" t="n">
        <x:v>20929.54</x:v>
      </x:c>
      <x:c r="N2133" s="33" t="n">
        <x:v>2.092954</x:v>
      </x:c>
      <x:c r="O2133" s="22" t="str">
        <x:v>公顷</x:v>
      </x:c>
      <x:c r="P2133" s="22" t="str">
        <x:v>未提供（单期横截面）</x:v>
      </x:c>
      <x:c r="Q2133" s="23" t="n">
        <x:v>5112</x:v>
      </x:c>
    </x:row>
    <x:row r="2134">
      <x:c r="A2134" s="30" t="n">
        <x:v>350600</x:v>
      </x:c>
      <x:c r="B2134" s="22" t="str">
        <x:v>漳州市</x:v>
      </x:c>
      <x:c r="C2134" s="31" t="n">
        <x:v>350603</x:v>
      </x:c>
      <x:c r="D2134" s="22" t="str">
        <x:v>龙文区</x:v>
      </x:c>
      <x:c r="E2134" s="22" t="str">
        <x:v>农用地</x:v>
      </x:c>
      <x:c r="F2134" s="22" t="str">
        <x:v>林地</x:v>
      </x:c>
      <x:c r="G2134" s="32" t="str">
        <x:v>307</x:v>
      </x:c>
      <x:c r="H2134" s="32" t="str">
        <x:v>307</x:v>
      </x:c>
      <x:c r="I2134" s="22" t="str">
        <x:v>其他林地</x:v>
      </x:c>
      <x:c r="J2134" s="22" t="str">
        <x:v>农业生态</x:v>
      </x:c>
      <x:c r="K2134" s="32" t="str">
        <x:v>201</x:v>
      </x:c>
      <x:c r="L2134" s="22" t="str">
        <x:v>城市范围</x:v>
      </x:c>
      <x:c r="M2134" s="33" t="n">
        <x:v>408852.50999999995</x:v>
      </x:c>
      <x:c r="N2134" s="33" t="n">
        <x:v>40.885251</x:v>
      </x:c>
      <x:c r="O2134" s="22" t="str">
        <x:v>公顷</x:v>
      </x:c>
      <x:c r="P2134" s="22" t="str">
        <x:v>未提供（单期横截面）</x:v>
      </x:c>
      <x:c r="Q2134" s="23" t="n">
        <x:v>5113</x:v>
      </x:c>
    </x:row>
    <x:row r="2135">
      <x:c r="A2135" s="30" t="n">
        <x:v>350600</x:v>
      </x:c>
      <x:c r="B2135" s="22" t="str">
        <x:v>漳州市</x:v>
      </x:c>
      <x:c r="C2135" s="31" t="n">
        <x:v>350603</x:v>
      </x:c>
      <x:c r="D2135" s="22" t="str">
        <x:v>龙文区</x:v>
      </x:c>
      <x:c r="E2135" s="22" t="str">
        <x:v>农用地</x:v>
      </x:c>
      <x:c r="F2135" s="22" t="str">
        <x:v>其他农用地</x:v>
      </x:c>
      <x:c r="G2135" s="32" t="str">
        <x:v>1006</x:v>
      </x:c>
      <x:c r="H2135" s="32" t="str">
        <x:v>1006</x:v>
      </x:c>
      <x:c r="I2135" s="22" t="str">
        <x:v>农村道路</x:v>
      </x:c>
      <x:c r="J2135" s="22" t="str">
        <x:v>农业生态</x:v>
      </x:c>
      <x:c r="K2135" s="32" t="str">
        <x:v>201</x:v>
      </x:c>
      <x:c r="L2135" s="22" t="str">
        <x:v>城市范围</x:v>
      </x:c>
      <x:c r="M2135" s="33" t="n">
        <x:v>7650.37</x:v>
      </x:c>
      <x:c r="N2135" s="33" t="n">
        <x:v>0.765037</x:v>
      </x:c>
      <x:c r="O2135" s="22" t="str">
        <x:v>公顷</x:v>
      </x:c>
      <x:c r="P2135" s="22" t="str">
        <x:v>未提供（单期横截面）</x:v>
      </x:c>
      <x:c r="Q2135" s="23" t="n">
        <x:v>5114</x:v>
      </x:c>
    </x:row>
    <x:row r="2136">
      <x:c r="A2136" s="30" t="n">
        <x:v>350600</x:v>
      </x:c>
      <x:c r="B2136" s="22" t="str">
        <x:v>漳州市</x:v>
      </x:c>
      <x:c r="C2136" s="31" t="n">
        <x:v>350603</x:v>
      </x:c>
      <x:c r="D2136" s="22" t="str">
        <x:v>龙文区</x:v>
      </x:c>
      <x:c r="E2136" s="22" t="str">
        <x:v>农用地</x:v>
      </x:c>
      <x:c r="F2136" s="22" t="str">
        <x:v>水域及水利设施</x:v>
      </x:c>
      <x:c r="G2136" s="32" t="str">
        <x:v>1104</x:v>
      </x:c>
      <x:c r="H2136" s="32" t="str">
        <x:v>1104</x:v>
      </x:c>
      <x:c r="I2136" s="22" t="str">
        <x:v>坑塘水面</x:v>
      </x:c>
      <x:c r="J2136" s="22" t="str">
        <x:v>农业生态</x:v>
      </x:c>
      <x:c r="K2136" s="32" t="str">
        <x:v>201</x:v>
      </x:c>
      <x:c r="L2136" s="22" t="str">
        <x:v>城市范围</x:v>
      </x:c>
      <x:c r="M2136" s="33" t="n">
        <x:v>166155.42</x:v>
      </x:c>
      <x:c r="N2136" s="33" t="n">
        <x:v>16.615542</x:v>
      </x:c>
      <x:c r="O2136" s="22" t="str">
        <x:v>公顷</x:v>
      </x:c>
      <x:c r="P2136" s="22" t="str">
        <x:v>未提供（单期横截面）</x:v>
      </x:c>
      <x:c r="Q2136" s="23" t="n">
        <x:v>5115</x:v>
      </x:c>
    </x:row>
    <x:row r="2137">
      <x:c r="A2137" s="30" t="n">
        <x:v>350600</x:v>
      </x:c>
      <x:c r="B2137" s="22" t="str">
        <x:v>漳州市</x:v>
      </x:c>
      <x:c r="C2137" s="31" t="n">
        <x:v>350603</x:v>
      </x:c>
      <x:c r="D2137" s="22" t="str">
        <x:v>龙文区</x:v>
      </x:c>
      <x:c r="E2137" s="22" t="str">
        <x:v>农用地</x:v>
      </x:c>
      <x:c r="F2137" s="22" t="str">
        <x:v>水域及水利设施</x:v>
      </x:c>
      <x:c r="G2137" s="32" t="str">
        <x:v>1107</x:v>
      </x:c>
      <x:c r="H2137" s="32" t="str">
        <x:v>1107</x:v>
      </x:c>
      <x:c r="I2137" s="22" t="str">
        <x:v>沟渠</x:v>
      </x:c>
      <x:c r="J2137" s="22" t="str">
        <x:v>农业生态</x:v>
      </x:c>
      <x:c r="K2137" s="32" t="str">
        <x:v>201</x:v>
      </x:c>
      <x:c r="L2137" s="22" t="str">
        <x:v>城市范围</x:v>
      </x:c>
      <x:c r="M2137" s="33" t="n">
        <x:v>33736.2</x:v>
      </x:c>
      <x:c r="N2137" s="33" t="n">
        <x:v>3.37362</x:v>
      </x:c>
      <x:c r="O2137" s="22" t="str">
        <x:v>公顷</x:v>
      </x:c>
      <x:c r="P2137" s="22" t="str">
        <x:v>未提供（单期横截面）</x:v>
      </x:c>
      <x:c r="Q2137" s="23" t="n">
        <x:v>5116</x:v>
      </x:c>
    </x:row>
    <x:row r="2138">
      <x:c r="A2138" s="30" t="n">
        <x:v>350600</x:v>
      </x:c>
      <x:c r="B2138" s="22" t="str">
        <x:v>漳州市</x:v>
      </x:c>
      <x:c r="C2138" s="31" t="n">
        <x:v>350603</x:v>
      </x:c>
      <x:c r="D2138" s="22" t="str">
        <x:v>龙文区</x:v>
      </x:c>
      <x:c r="E2138" s="22" t="str">
        <x:v>农用地</x:v>
      </x:c>
      <x:c r="F2138" s="22" t="str">
        <x:v>其他农用地</x:v>
      </x:c>
      <x:c r="G2138" s="32" t="str">
        <x:v>1202</x:v>
      </x:c>
      <x:c r="H2138" s="32" t="str">
        <x:v>1202</x:v>
      </x:c>
      <x:c r="I2138" s="22" t="str">
        <x:v>设施农用地</x:v>
      </x:c>
      <x:c r="J2138" s="22" t="str">
        <x:v>农业生态</x:v>
      </x:c>
      <x:c r="K2138" s="32" t="str">
        <x:v>201</x:v>
      </x:c>
      <x:c r="L2138" s="22" t="str">
        <x:v>城市范围</x:v>
      </x:c>
      <x:c r="M2138" s="33" t="n">
        <x:v>71034.21</x:v>
      </x:c>
      <x:c r="N2138" s="33" t="n">
        <x:v>7.103421000000001</x:v>
      </x:c>
      <x:c r="O2138" s="22" t="str">
        <x:v>公顷</x:v>
      </x:c>
      <x:c r="P2138" s="22" t="str">
        <x:v>未提供（单期横截面）</x:v>
      </x:c>
      <x:c r="Q2138" s="23" t="n">
        <x:v>5117</x:v>
      </x:c>
    </x:row>
    <x:row r="2139">
      <x:c r="A2139" s="30" t="n">
        <x:v>350600</x:v>
      </x:c>
      <x:c r="B2139" s="22" t="str">
        <x:v>漳州市</x:v>
      </x:c>
      <x:c r="C2139" s="31" t="n">
        <x:v>350603</x:v>
      </x:c>
      <x:c r="D2139" s="22" t="str">
        <x:v>龙文区</x:v>
      </x:c>
      <x:c r="E2139" s="22" t="str">
        <x:v>农用地</x:v>
      </x:c>
      <x:c r="F2139" s="22" t="str">
        <x:v>耕地</x:v>
      </x:c>
      <x:c r="G2139" s="32" t="str">
        <x:v>103</x:v>
      </x:c>
      <x:c r="H2139" s="32" t="str">
        <x:v>103</x:v>
      </x:c>
      <x:c r="I2139" s="22" t="str">
        <x:v>旱地</x:v>
      </x:c>
      <x:c r="J2139" s="22" t="str">
        <x:v>农业生态</x:v>
      </x:c>
      <x:c r="K2139" s="32" t="str">
        <x:v>202</x:v>
      </x:c>
      <x:c r="L2139" s="22" t="str">
        <x:v>建制镇范围</x:v>
      </x:c>
      <x:c r="M2139" s="33" t="n">
        <x:v>4201.56</x:v>
      </x:c>
      <x:c r="N2139" s="33" t="n">
        <x:v>0.42015600000000003</x:v>
      </x:c>
      <x:c r="O2139" s="22" t="str">
        <x:v>公顷</x:v>
      </x:c>
      <x:c r="P2139" s="22" t="str">
        <x:v>未提供（单期横截面）</x:v>
      </x:c>
      <x:c r="Q2139" s="23" t="n">
        <x:v>5118</x:v>
      </x:c>
    </x:row>
    <x:row r="2140">
      <x:c r="A2140" s="30" t="n">
        <x:v>350600</x:v>
      </x:c>
      <x:c r="B2140" s="22" t="str">
        <x:v>漳州市</x:v>
      </x:c>
      <x:c r="C2140" s="31" t="n">
        <x:v>350603</x:v>
      </x:c>
      <x:c r="D2140" s="22" t="str">
        <x:v>龙文区</x:v>
      </x:c>
      <x:c r="E2140" s="22" t="str">
        <x:v>农用地</x:v>
      </x:c>
      <x:c r="F2140" s="22" t="str">
        <x:v>园地</x:v>
      </x:c>
      <x:c r="G2140" s="32" t="str">
        <x:v>201</x:v>
      </x:c>
      <x:c r="H2140" s="32" t="str">
        <x:v>201</x:v>
      </x:c>
      <x:c r="I2140" s="22" t="str">
        <x:v>果园</x:v>
      </x:c>
      <x:c r="J2140" s="22" t="str">
        <x:v>农业生态</x:v>
      </x:c>
      <x:c r="K2140" s="32" t="str">
        <x:v>202</x:v>
      </x:c>
      <x:c r="L2140" s="22" t="str">
        <x:v>建制镇范围</x:v>
      </x:c>
      <x:c r="M2140" s="33" t="n">
        <x:v>5999.419999999999</x:v>
      </x:c>
      <x:c r="N2140" s="33" t="n">
        <x:v>0.5999419999999999</x:v>
      </x:c>
      <x:c r="O2140" s="22" t="str">
        <x:v>公顷</x:v>
      </x:c>
      <x:c r="P2140" s="22" t="str">
        <x:v>未提供（单期横截面）</x:v>
      </x:c>
      <x:c r="Q2140" s="23" t="n">
        <x:v>5119</x:v>
      </x:c>
    </x:row>
    <x:row r="2141">
      <x:c r="A2141" s="30" t="n">
        <x:v>350600</x:v>
      </x:c>
      <x:c r="B2141" s="22" t="str">
        <x:v>漳州市</x:v>
      </x:c>
      <x:c r="C2141" s="31" t="n">
        <x:v>350603</x:v>
      </x:c>
      <x:c r="D2141" s="22" t="str">
        <x:v>龙文区</x:v>
      </x:c>
      <x:c r="E2141" s="22" t="str">
        <x:v>农用地</x:v>
      </x:c>
      <x:c r="F2141" s="22" t="str">
        <x:v>林地</x:v>
      </x:c>
      <x:c r="G2141" s="32" t="str">
        <x:v>301</x:v>
      </x:c>
      <x:c r="H2141" s="32" t="str">
        <x:v>301</x:v>
      </x:c>
      <x:c r="I2141" s="22" t="str">
        <x:v>乔木林地</x:v>
      </x:c>
      <x:c r="J2141" s="22" t="str">
        <x:v>农业生态</x:v>
      </x:c>
      <x:c r="K2141" s="32" t="str">
        <x:v>202</x:v>
      </x:c>
      <x:c r="L2141" s="22" t="str">
        <x:v>建制镇范围</x:v>
      </x:c>
      <x:c r="M2141" s="33" t="n">
        <x:v>1638.73</x:v>
      </x:c>
      <x:c r="N2141" s="33" t="n">
        <x:v>0.163873</x:v>
      </x:c>
      <x:c r="O2141" s="22" t="str">
        <x:v>公顷</x:v>
      </x:c>
      <x:c r="P2141" s="22" t="str">
        <x:v>未提供（单期横截面）</x:v>
      </x:c>
      <x:c r="Q2141" s="23" t="n">
        <x:v>5120</x:v>
      </x:c>
    </x:row>
    <x:row r="2142">
      <x:c r="A2142" s="30" t="n">
        <x:v>350600</x:v>
      </x:c>
      <x:c r="B2142" s="22" t="str">
        <x:v>漳州市</x:v>
      </x:c>
      <x:c r="C2142" s="31" t="n">
        <x:v>350603</x:v>
      </x:c>
      <x:c r="D2142" s="22" t="str">
        <x:v>龙文区</x:v>
      </x:c>
      <x:c r="E2142" s="22" t="str">
        <x:v>农用地</x:v>
      </x:c>
      <x:c r="F2142" s="22" t="str">
        <x:v>林地</x:v>
      </x:c>
      <x:c r="G2142" s="32" t="str">
        <x:v>307</x:v>
      </x:c>
      <x:c r="H2142" s="32" t="str">
        <x:v>307</x:v>
      </x:c>
      <x:c r="I2142" s="22" t="str">
        <x:v>其他林地</x:v>
      </x:c>
      <x:c r="J2142" s="22" t="str">
        <x:v>农业生态</x:v>
      </x:c>
      <x:c r="K2142" s="32" t="str">
        <x:v>202</x:v>
      </x:c>
      <x:c r="L2142" s="22" t="str">
        <x:v>建制镇范围</x:v>
      </x:c>
      <x:c r="M2142" s="33" t="n">
        <x:v>10443.4</x:v>
      </x:c>
      <x:c r="N2142" s="33" t="n">
        <x:v>1.04434</x:v>
      </x:c>
      <x:c r="O2142" s="22" t="str">
        <x:v>公顷</x:v>
      </x:c>
      <x:c r="P2142" s="22" t="str">
        <x:v>未提供（单期横截面）</x:v>
      </x:c>
      <x:c r="Q2142" s="23" t="n">
        <x:v>5121</x:v>
      </x:c>
    </x:row>
    <x:row r="2143">
      <x:c r="A2143" s="30" t="n">
        <x:v>350600</x:v>
      </x:c>
      <x:c r="B2143" s="22" t="str">
        <x:v>漳州市</x:v>
      </x:c>
      <x:c r="C2143" s="31" t="n">
        <x:v>350603</x:v>
      </x:c>
      <x:c r="D2143" s="22" t="str">
        <x:v>龙文区</x:v>
      </x:c>
      <x:c r="E2143" s="22" t="str">
        <x:v>农用地</x:v>
      </x:c>
      <x:c r="F2143" s="22" t="str">
        <x:v>水域及水利设施</x:v>
      </x:c>
      <x:c r="G2143" s="32" t="str">
        <x:v>1104</x:v>
      </x:c>
      <x:c r="H2143" s="32" t="str">
        <x:v>1104</x:v>
      </x:c>
      <x:c r="I2143" s="22" t="str">
        <x:v>坑塘水面</x:v>
      </x:c>
      <x:c r="J2143" s="22" t="str">
        <x:v>农业生态</x:v>
      </x:c>
      <x:c r="K2143" s="32" t="str">
        <x:v>202</x:v>
      </x:c>
      <x:c r="L2143" s="22" t="str">
        <x:v>建制镇范围</x:v>
      </x:c>
      <x:c r="M2143" s="33" t="n">
        <x:v>12728.580000000002</x:v>
      </x:c>
      <x:c r="N2143" s="33" t="n">
        <x:v>1.2728580000000003</x:v>
      </x:c>
      <x:c r="O2143" s="22" t="str">
        <x:v>公顷</x:v>
      </x:c>
      <x:c r="P2143" s="22" t="str">
        <x:v>未提供（单期横截面）</x:v>
      </x:c>
      <x:c r="Q2143" s="23" t="n">
        <x:v>5122</x:v>
      </x:c>
    </x:row>
    <x:row r="2144">
      <x:c r="A2144" s="30" t="n">
        <x:v>350600</x:v>
      </x:c>
      <x:c r="B2144" s="22" t="str">
        <x:v>漳州市</x:v>
      </x:c>
      <x:c r="C2144" s="31" t="n">
        <x:v>350603</x:v>
      </x:c>
      <x:c r="D2144" s="22" t="str">
        <x:v>龙文区</x:v>
      </x:c>
      <x:c r="E2144" s="22" t="str">
        <x:v>农用地</x:v>
      </x:c>
      <x:c r="F2144" s="22" t="str">
        <x:v>水域及水利设施</x:v>
      </x:c>
      <x:c r="G2144" s="32" t="str">
        <x:v>1107</x:v>
      </x:c>
      <x:c r="H2144" s="32" t="str">
        <x:v>1107</x:v>
      </x:c>
      <x:c r="I2144" s="22" t="str">
        <x:v>沟渠</x:v>
      </x:c>
      <x:c r="J2144" s="22" t="str">
        <x:v>农业生态</x:v>
      </x:c>
      <x:c r="K2144" s="32" t="str">
        <x:v>202</x:v>
      </x:c>
      <x:c r="L2144" s="22" t="str">
        <x:v>建制镇范围</x:v>
      </x:c>
      <x:c r="M2144" s="33" t="n">
        <x:v>345.65</x:v>
      </x:c>
      <x:c r="N2144" s="33" t="n">
        <x:v>0.034565</x:v>
      </x:c>
      <x:c r="O2144" s="22" t="str">
        <x:v>公顷</x:v>
      </x:c>
      <x:c r="P2144" s="22" t="str">
        <x:v>未提供（单期横截面）</x:v>
      </x:c>
      <x:c r="Q2144" s="23" t="n">
        <x:v>5123</x:v>
      </x:c>
    </x:row>
    <x:row r="2145">
      <x:c r="A2145" s="30" t="n">
        <x:v>350600</x:v>
      </x:c>
      <x:c r="B2145" s="22" t="str">
        <x:v>漳州市</x:v>
      </x:c>
      <x:c r="C2145" s="31" t="n">
        <x:v>350603</x:v>
      </x:c>
      <x:c r="D2145" s="22" t="str">
        <x:v>龙文区</x:v>
      </x:c>
      <x:c r="E2145" s="22" t="str">
        <x:v>农用地</x:v>
      </x:c>
      <x:c r="F2145" s="22" t="str">
        <x:v>耕地</x:v>
      </x:c>
      <x:c r="G2145" s="32" t="str">
        <x:v>101</x:v>
      </x:c>
      <x:c r="H2145" s="32" t="str">
        <x:v>101</x:v>
      </x:c>
      <x:c r="I2145" s="22" t="str">
        <x:v>水田</x:v>
      </x:c>
      <x:c r="J2145" s="22" t="str">
        <x:v>农业生态</x:v>
      </x:c>
      <x:c r="K2145" s="32" t="str">
        <x:v>203</x:v>
      </x:c>
      <x:c r="L2145" s="22" t="str">
        <x:v>村庄范围</x:v>
      </x:c>
      <x:c r="M2145" s="33" t="n">
        <x:v>87800.75999999998</x:v>
      </x:c>
      <x:c r="N2145" s="33" t="n">
        <x:v>8.780075999999998</x:v>
      </x:c>
      <x:c r="O2145" s="22" t="str">
        <x:v>公顷</x:v>
      </x:c>
      <x:c r="P2145" s="22" t="str">
        <x:v>未提供（单期横截面）</x:v>
      </x:c>
      <x:c r="Q2145" s="23" t="n">
        <x:v>5124</x:v>
      </x:c>
    </x:row>
    <x:row r="2146">
      <x:c r="A2146" s="30" t="n">
        <x:v>350600</x:v>
      </x:c>
      <x:c r="B2146" s="22" t="str">
        <x:v>漳州市</x:v>
      </x:c>
      <x:c r="C2146" s="31" t="n">
        <x:v>350603</x:v>
      </x:c>
      <x:c r="D2146" s="22" t="str">
        <x:v>龙文区</x:v>
      </x:c>
      <x:c r="E2146" s="22" t="str">
        <x:v>农用地</x:v>
      </x:c>
      <x:c r="F2146" s="22" t="str">
        <x:v>耕地</x:v>
      </x:c>
      <x:c r="G2146" s="32" t="str">
        <x:v>102</x:v>
      </x:c>
      <x:c r="H2146" s="32" t="str">
        <x:v>102</x:v>
      </x:c>
      <x:c r="I2146" s="22" t="str">
        <x:v>水浇地</x:v>
      </x:c>
      <x:c r="J2146" s="22" t="str">
        <x:v>农业生态</x:v>
      </x:c>
      <x:c r="K2146" s="32" t="str">
        <x:v>203</x:v>
      </x:c>
      <x:c r="L2146" s="22" t="str">
        <x:v>村庄范围</x:v>
      </x:c>
      <x:c r="M2146" s="33" t="n">
        <x:v>24748.16</x:v>
      </x:c>
      <x:c r="N2146" s="33" t="n">
        <x:v>2.474816</x:v>
      </x:c>
      <x:c r="O2146" s="22" t="str">
        <x:v>公顷</x:v>
      </x:c>
      <x:c r="P2146" s="22" t="str">
        <x:v>未提供（单期横截面）</x:v>
      </x:c>
      <x:c r="Q2146" s="23" t="n">
        <x:v>5125</x:v>
      </x:c>
    </x:row>
    <x:row r="2147">
      <x:c r="A2147" s="30" t="n">
        <x:v>350600</x:v>
      </x:c>
      <x:c r="B2147" s="22" t="str">
        <x:v>漳州市</x:v>
      </x:c>
      <x:c r="C2147" s="31" t="n">
        <x:v>350603</x:v>
      </x:c>
      <x:c r="D2147" s="22" t="str">
        <x:v>龙文区</x:v>
      </x:c>
      <x:c r="E2147" s="22" t="str">
        <x:v>农用地</x:v>
      </x:c>
      <x:c r="F2147" s="22" t="str">
        <x:v>耕地</x:v>
      </x:c>
      <x:c r="G2147" s="32" t="str">
        <x:v>103</x:v>
      </x:c>
      <x:c r="H2147" s="32" t="str">
        <x:v>103</x:v>
      </x:c>
      <x:c r="I2147" s="22" t="str">
        <x:v>旱地</x:v>
      </x:c>
      <x:c r="J2147" s="22" t="str">
        <x:v>农业生态</x:v>
      </x:c>
      <x:c r="K2147" s="32" t="str">
        <x:v>203</x:v>
      </x:c>
      <x:c r="L2147" s="22" t="str">
        <x:v>村庄范围</x:v>
      </x:c>
      <x:c r="M2147" s="33" t="n">
        <x:v>49733.43000000001</x:v>
      </x:c>
      <x:c r="N2147" s="33" t="n">
        <x:v>4.973343000000001</x:v>
      </x:c>
      <x:c r="O2147" s="22" t="str">
        <x:v>公顷</x:v>
      </x:c>
      <x:c r="P2147" s="22" t="str">
        <x:v>未提供（单期横截面）</x:v>
      </x:c>
      <x:c r="Q2147" s="23" t="n">
        <x:v>5126</x:v>
      </x:c>
    </x:row>
    <x:row r="2148">
      <x:c r="A2148" s="30" t="n">
        <x:v>350600</x:v>
      </x:c>
      <x:c r="B2148" s="22" t="str">
        <x:v>漳州市</x:v>
      </x:c>
      <x:c r="C2148" s="31" t="n">
        <x:v>350603</x:v>
      </x:c>
      <x:c r="D2148" s="22" t="str">
        <x:v>龙文区</x:v>
      </x:c>
      <x:c r="E2148" s="22" t="str">
        <x:v>农用地</x:v>
      </x:c>
      <x:c r="F2148" s="22" t="str">
        <x:v>园地</x:v>
      </x:c>
      <x:c r="G2148" s="32" t="str">
        <x:v>201</x:v>
      </x:c>
      <x:c r="H2148" s="32" t="str">
        <x:v>201</x:v>
      </x:c>
      <x:c r="I2148" s="22" t="str">
        <x:v>果园</x:v>
      </x:c>
      <x:c r="J2148" s="22" t="str">
        <x:v>农业生态</x:v>
      </x:c>
      <x:c r="K2148" s="32" t="str">
        <x:v>203</x:v>
      </x:c>
      <x:c r="L2148" s="22" t="str">
        <x:v>村庄范围</x:v>
      </x:c>
      <x:c r="M2148" s="33" t="n">
        <x:v>162138.59999999998</x:v>
      </x:c>
      <x:c r="N2148" s="33" t="n">
        <x:v>16.213859999999997</x:v>
      </x:c>
      <x:c r="O2148" s="22" t="str">
        <x:v>公顷</x:v>
      </x:c>
      <x:c r="P2148" s="22" t="str">
        <x:v>未提供（单期横截面）</x:v>
      </x:c>
      <x:c r="Q2148" s="23" t="n">
        <x:v>5127</x:v>
      </x:c>
    </x:row>
    <x:row r="2149">
      <x:c r="A2149" s="30" t="n">
        <x:v>350600</x:v>
      </x:c>
      <x:c r="B2149" s="22" t="str">
        <x:v>漳州市</x:v>
      </x:c>
      <x:c r="C2149" s="31" t="n">
        <x:v>350603</x:v>
      </x:c>
      <x:c r="D2149" s="22" t="str">
        <x:v>龙文区</x:v>
      </x:c>
      <x:c r="E2149" s="22" t="str">
        <x:v>农用地</x:v>
      </x:c>
      <x:c r="F2149" s="22" t="str">
        <x:v>园地</x:v>
      </x:c>
      <x:c r="G2149" s="32" t="str">
        <x:v>204</x:v>
      </x:c>
      <x:c r="H2149" s="32" t="str">
        <x:v>204</x:v>
      </x:c>
      <x:c r="I2149" s="22" t="str">
        <x:v>其他园地</x:v>
      </x:c>
      <x:c r="J2149" s="22" t="str">
        <x:v>农业生态</x:v>
      </x:c>
      <x:c r="K2149" s="32" t="str">
        <x:v>203</x:v>
      </x:c>
      <x:c r="L2149" s="22" t="str">
        <x:v>村庄范围</x:v>
      </x:c>
      <x:c r="M2149" s="33" t="n">
        <x:v>18792</x:v>
      </x:c>
      <x:c r="N2149" s="33" t="n">
        <x:v>1.8792</x:v>
      </x:c>
      <x:c r="O2149" s="22" t="str">
        <x:v>公顷</x:v>
      </x:c>
      <x:c r="P2149" s="22" t="str">
        <x:v>未提供（单期横截面）</x:v>
      </x:c>
      <x:c r="Q2149" s="23" t="n">
        <x:v>5128</x:v>
      </x:c>
    </x:row>
    <x:row r="2150">
      <x:c r="A2150" s="30" t="n">
        <x:v>350600</x:v>
      </x:c>
      <x:c r="B2150" s="22" t="str">
        <x:v>漳州市</x:v>
      </x:c>
      <x:c r="C2150" s="31" t="n">
        <x:v>350603</x:v>
      </x:c>
      <x:c r="D2150" s="22" t="str">
        <x:v>龙文区</x:v>
      </x:c>
      <x:c r="E2150" s="22" t="str">
        <x:v>农用地</x:v>
      </x:c>
      <x:c r="F2150" s="22" t="str">
        <x:v>林地</x:v>
      </x:c>
      <x:c r="G2150" s="32" t="str">
        <x:v>301</x:v>
      </x:c>
      <x:c r="H2150" s="32" t="str">
        <x:v>301</x:v>
      </x:c>
      <x:c r="I2150" s="22" t="str">
        <x:v>乔木林地</x:v>
      </x:c>
      <x:c r="J2150" s="22" t="str">
        <x:v>农业生态</x:v>
      </x:c>
      <x:c r="K2150" s="32" t="str">
        <x:v>203</x:v>
      </x:c>
      <x:c r="L2150" s="22" t="str">
        <x:v>村庄范围</x:v>
      </x:c>
      <x:c r="M2150" s="33" t="n">
        <x:v>46766.44</x:v>
      </x:c>
      <x:c r="N2150" s="33" t="n">
        <x:v>4.6766440000000005</x:v>
      </x:c>
      <x:c r="O2150" s="22" t="str">
        <x:v>公顷</x:v>
      </x:c>
      <x:c r="P2150" s="22" t="str">
        <x:v>未提供（单期横截面）</x:v>
      </x:c>
      <x:c r="Q2150" s="23" t="n">
        <x:v>5129</x:v>
      </x:c>
    </x:row>
    <x:row r="2151">
      <x:c r="A2151" s="30" t="n">
        <x:v>350600</x:v>
      </x:c>
      <x:c r="B2151" s="22" t="str">
        <x:v>漳州市</x:v>
      </x:c>
      <x:c r="C2151" s="31" t="n">
        <x:v>350603</x:v>
      </x:c>
      <x:c r="D2151" s="22" t="str">
        <x:v>龙文区</x:v>
      </x:c>
      <x:c r="E2151" s="22" t="str">
        <x:v>农用地</x:v>
      </x:c>
      <x:c r="F2151" s="22" t="str">
        <x:v>林地</x:v>
      </x:c>
      <x:c r="G2151" s="32" t="str">
        <x:v>302</x:v>
      </x:c>
      <x:c r="H2151" s="32" t="str">
        <x:v>302</x:v>
      </x:c>
      <x:c r="I2151" s="22" t="str">
        <x:v>竹林地</x:v>
      </x:c>
      <x:c r="J2151" s="22" t="str">
        <x:v>农业生态</x:v>
      </x:c>
      <x:c r="K2151" s="32" t="str">
        <x:v>203</x:v>
      </x:c>
      <x:c r="L2151" s="22" t="str">
        <x:v>村庄范围</x:v>
      </x:c>
      <x:c r="M2151" s="33" t="n">
        <x:v>2463.39</x:v>
      </x:c>
      <x:c r="N2151" s="33" t="n">
        <x:v>0.24633899999999997</x:v>
      </x:c>
      <x:c r="O2151" s="22" t="str">
        <x:v>公顷</x:v>
      </x:c>
      <x:c r="P2151" s="22" t="str">
        <x:v>未提供（单期横截面）</x:v>
      </x:c>
      <x:c r="Q2151" s="23" t="n">
        <x:v>5130</x:v>
      </x:c>
    </x:row>
    <x:row r="2152">
      <x:c r="A2152" s="30" t="n">
        <x:v>350600</x:v>
      </x:c>
      <x:c r="B2152" s="22" t="str">
        <x:v>漳州市</x:v>
      </x:c>
      <x:c r="C2152" s="31" t="n">
        <x:v>350603</x:v>
      </x:c>
      <x:c r="D2152" s="22" t="str">
        <x:v>龙文区</x:v>
      </x:c>
      <x:c r="E2152" s="22" t="str">
        <x:v>农用地</x:v>
      </x:c>
      <x:c r="F2152" s="22" t="str">
        <x:v>林地</x:v>
      </x:c>
      <x:c r="G2152" s="32" t="str">
        <x:v>305</x:v>
      </x:c>
      <x:c r="H2152" s="32" t="str">
        <x:v>305</x:v>
      </x:c>
      <x:c r="I2152" s="22" t="str">
        <x:v>灌木林地</x:v>
      </x:c>
      <x:c r="J2152" s="22" t="str">
        <x:v>农业生态</x:v>
      </x:c>
      <x:c r="K2152" s="32" t="str">
        <x:v>203</x:v>
      </x:c>
      <x:c r="L2152" s="22" t="str">
        <x:v>村庄范围</x:v>
      </x:c>
      <x:c r="M2152" s="33" t="n">
        <x:v>2478.56</x:v>
      </x:c>
      <x:c r="N2152" s="33" t="n">
        <x:v>0.247856</x:v>
      </x:c>
      <x:c r="O2152" s="22" t="str">
        <x:v>公顷</x:v>
      </x:c>
      <x:c r="P2152" s="22" t="str">
        <x:v>未提供（单期横截面）</x:v>
      </x:c>
      <x:c r="Q2152" s="23" t="n">
        <x:v>5131</x:v>
      </x:c>
    </x:row>
    <x:row r="2153">
      <x:c r="A2153" s="30" t="n">
        <x:v>350600</x:v>
      </x:c>
      <x:c r="B2153" s="22" t="str">
        <x:v>漳州市</x:v>
      </x:c>
      <x:c r="C2153" s="31" t="n">
        <x:v>350603</x:v>
      </x:c>
      <x:c r="D2153" s="22" t="str">
        <x:v>龙文区</x:v>
      </x:c>
      <x:c r="E2153" s="22" t="str">
        <x:v>农用地</x:v>
      </x:c>
      <x:c r="F2153" s="22" t="str">
        <x:v>林地</x:v>
      </x:c>
      <x:c r="G2153" s="32" t="str">
        <x:v>307</x:v>
      </x:c>
      <x:c r="H2153" s="32" t="str">
        <x:v>307</x:v>
      </x:c>
      <x:c r="I2153" s="22" t="str">
        <x:v>其他林地</x:v>
      </x:c>
      <x:c r="J2153" s="22" t="str">
        <x:v>农业生态</x:v>
      </x:c>
      <x:c r="K2153" s="32" t="str">
        <x:v>203</x:v>
      </x:c>
      <x:c r="L2153" s="22" t="str">
        <x:v>村庄范围</x:v>
      </x:c>
      <x:c r="M2153" s="33" t="n">
        <x:v>41380.23000000001</x:v>
      </x:c>
      <x:c r="N2153" s="33" t="n">
        <x:v>4.138023000000001</x:v>
      </x:c>
      <x:c r="O2153" s="22" t="str">
        <x:v>公顷</x:v>
      </x:c>
      <x:c r="P2153" s="22" t="str">
        <x:v>未提供（单期横截面）</x:v>
      </x:c>
      <x:c r="Q2153" s="23" t="n">
        <x:v>5132</x:v>
      </x:c>
    </x:row>
    <x:row r="2154">
      <x:c r="A2154" s="30" t="n">
        <x:v>350600</x:v>
      </x:c>
      <x:c r="B2154" s="22" t="str">
        <x:v>漳州市</x:v>
      </x:c>
      <x:c r="C2154" s="31" t="n">
        <x:v>350603</x:v>
      </x:c>
      <x:c r="D2154" s="22" t="str">
        <x:v>龙文区</x:v>
      </x:c>
      <x:c r="E2154" s="22" t="str">
        <x:v>农用地</x:v>
      </x:c>
      <x:c r="F2154" s="22" t="str">
        <x:v>其他农用地</x:v>
      </x:c>
      <x:c r="G2154" s="32" t="str">
        <x:v>1006</x:v>
      </x:c>
      <x:c r="H2154" s="32" t="str">
        <x:v>1006</x:v>
      </x:c>
      <x:c r="I2154" s="22" t="str">
        <x:v>农村道路</x:v>
      </x:c>
      <x:c r="J2154" s="22" t="str">
        <x:v>农业生态</x:v>
      </x:c>
      <x:c r="K2154" s="32" t="str">
        <x:v>203</x:v>
      </x:c>
      <x:c r="L2154" s="22" t="str">
        <x:v>村庄范围</x:v>
      </x:c>
      <x:c r="M2154" s="33" t="n">
        <x:v>4791.090000000001</x:v>
      </x:c>
      <x:c r="N2154" s="33" t="n">
        <x:v>0.4791090000000001</x:v>
      </x:c>
      <x:c r="O2154" s="22" t="str">
        <x:v>公顷</x:v>
      </x:c>
      <x:c r="P2154" s="22" t="str">
        <x:v>未提供（单期横截面）</x:v>
      </x:c>
      <x:c r="Q2154" s="23" t="n">
        <x:v>5133</x:v>
      </x:c>
    </x:row>
    <x:row r="2155">
      <x:c r="A2155" s="30" t="n">
        <x:v>350600</x:v>
      </x:c>
      <x:c r="B2155" s="22" t="str">
        <x:v>漳州市</x:v>
      </x:c>
      <x:c r="C2155" s="31" t="n">
        <x:v>350603</x:v>
      </x:c>
      <x:c r="D2155" s="22" t="str">
        <x:v>龙文区</x:v>
      </x:c>
      <x:c r="E2155" s="22" t="str">
        <x:v>农用地</x:v>
      </x:c>
      <x:c r="F2155" s="22" t="str">
        <x:v>水域及水利设施</x:v>
      </x:c>
      <x:c r="G2155" s="32" t="str">
        <x:v>1104</x:v>
      </x:c>
      <x:c r="H2155" s="32" t="str">
        <x:v>1104</x:v>
      </x:c>
      <x:c r="I2155" s="22" t="str">
        <x:v>坑塘水面</x:v>
      </x:c>
      <x:c r="J2155" s="22" t="str">
        <x:v>农业生态</x:v>
      </x:c>
      <x:c r="K2155" s="32" t="str">
        <x:v>203</x:v>
      </x:c>
      <x:c r="L2155" s="22" t="str">
        <x:v>村庄范围</x:v>
      </x:c>
      <x:c r="M2155" s="33" t="n">
        <x:v>137072.74999999997</x:v>
      </x:c>
      <x:c r="N2155" s="33" t="n">
        <x:v>13.707274999999997</x:v>
      </x:c>
      <x:c r="O2155" s="22" t="str">
        <x:v>公顷</x:v>
      </x:c>
      <x:c r="P2155" s="22" t="str">
        <x:v>未提供（单期横截面）</x:v>
      </x:c>
      <x:c r="Q2155" s="23" t="n">
        <x:v>5134</x:v>
      </x:c>
    </x:row>
    <x:row r="2156">
      <x:c r="A2156" s="30" t="n">
        <x:v>350600</x:v>
      </x:c>
      <x:c r="B2156" s="22" t="str">
        <x:v>漳州市</x:v>
      </x:c>
      <x:c r="C2156" s="31" t="n">
        <x:v>350603</x:v>
      </x:c>
      <x:c r="D2156" s="22" t="str">
        <x:v>龙文区</x:v>
      </x:c>
      <x:c r="E2156" s="22" t="str">
        <x:v>农用地</x:v>
      </x:c>
      <x:c r="F2156" s="22" t="str">
        <x:v>水域及水利设施</x:v>
      </x:c>
      <x:c r="G2156" s="32" t="str">
        <x:v>1104A</x:v>
      </x:c>
      <x:c r="H2156" s="32" t="str">
        <x:v>1104</x:v>
      </x:c>
      <x:c r="I2156" s="22" t="str">
        <x:v>养殖坑塘</x:v>
      </x:c>
      <x:c r="J2156" s="22" t="str">
        <x:v>农业生态</x:v>
      </x:c>
      <x:c r="K2156" s="32" t="str">
        <x:v>203</x:v>
      </x:c>
      <x:c r="L2156" s="22" t="str">
        <x:v>村庄范围</x:v>
      </x:c>
      <x:c r="M2156" s="33" t="n">
        <x:v>1680.8600000000001</x:v>
      </x:c>
      <x:c r="N2156" s="33" t="n">
        <x:v>0.168086</x:v>
      </x:c>
      <x:c r="O2156" s="22" t="str">
        <x:v>公顷</x:v>
      </x:c>
      <x:c r="P2156" s="22" t="str">
        <x:v>未提供（单期横截面）</x:v>
      </x:c>
      <x:c r="Q2156" s="23" t="n">
        <x:v>5135</x:v>
      </x:c>
    </x:row>
    <x:row r="2157">
      <x:c r="A2157" s="30" t="n">
        <x:v>350600</x:v>
      </x:c>
      <x:c r="B2157" s="22" t="str">
        <x:v>漳州市</x:v>
      </x:c>
      <x:c r="C2157" s="31" t="n">
        <x:v>350603</x:v>
      </x:c>
      <x:c r="D2157" s="22" t="str">
        <x:v>龙文区</x:v>
      </x:c>
      <x:c r="E2157" s="22" t="str">
        <x:v>农用地</x:v>
      </x:c>
      <x:c r="F2157" s="22" t="str">
        <x:v>水域及水利设施</x:v>
      </x:c>
      <x:c r="G2157" s="32" t="str">
        <x:v>1107</x:v>
      </x:c>
      <x:c r="H2157" s="32" t="str">
        <x:v>1107</x:v>
      </x:c>
      <x:c r="I2157" s="22" t="str">
        <x:v>沟渠</x:v>
      </x:c>
      <x:c r="J2157" s="22" t="str">
        <x:v>农业生态</x:v>
      </x:c>
      <x:c r="K2157" s="32" t="str">
        <x:v>203</x:v>
      </x:c>
      <x:c r="L2157" s="22" t="str">
        <x:v>村庄范围</x:v>
      </x:c>
      <x:c r="M2157" s="33" t="n">
        <x:v>6465.62</x:v>
      </x:c>
      <x:c r="N2157" s="33" t="n">
        <x:v>0.646562</x:v>
      </x:c>
      <x:c r="O2157" s="22" t="str">
        <x:v>公顷</x:v>
      </x:c>
      <x:c r="P2157" s="22" t="str">
        <x:v>未提供（单期横截面）</x:v>
      </x:c>
      <x:c r="Q2157" s="23" t="n">
        <x:v>5136</x:v>
      </x:c>
    </x:row>
    <x:row r="2158">
      <x:c r="A2158" s="30" t="n">
        <x:v>350600</x:v>
      </x:c>
      <x:c r="B2158" s="22" t="str">
        <x:v>漳州市</x:v>
      </x:c>
      <x:c r="C2158" s="31" t="n">
        <x:v>350603</x:v>
      </x:c>
      <x:c r="D2158" s="22" t="str">
        <x:v>龙文区</x:v>
      </x:c>
      <x:c r="E2158" s="22" t="str">
        <x:v>农用地</x:v>
      </x:c>
      <x:c r="F2158" s="22" t="str">
        <x:v>其他农用地</x:v>
      </x:c>
      <x:c r="G2158" s="32" t="str">
        <x:v>1202</x:v>
      </x:c>
      <x:c r="H2158" s="32" t="str">
        <x:v>1202</x:v>
      </x:c>
      <x:c r="I2158" s="22" t="str">
        <x:v>设施农用地</x:v>
      </x:c>
      <x:c r="J2158" s="22" t="str">
        <x:v>农业生态</x:v>
      </x:c>
      <x:c r="K2158" s="32" t="str">
        <x:v>203</x:v>
      </x:c>
      <x:c r="L2158" s="22" t="str">
        <x:v>村庄范围</x:v>
      </x:c>
      <x:c r="M2158" s="33" t="n">
        <x:v>50202.82999999998</x:v>
      </x:c>
      <x:c r="N2158" s="33" t="n">
        <x:v>5.020282999999998</x:v>
      </x:c>
      <x:c r="O2158" s="22" t="str">
        <x:v>公顷</x:v>
      </x:c>
      <x:c r="P2158" s="22" t="str">
        <x:v>未提供（单期横截面）</x:v>
      </x:c>
      <x:c r="Q2158" s="23" t="n">
        <x:v>5137</x:v>
      </x:c>
    </x:row>
    <x:row r="2159">
      <x:c r="A2159" s="30" t="n">
        <x:v>350600</x:v>
      </x:c>
      <x:c r="B2159" s="22" t="str">
        <x:v>漳州市</x:v>
      </x:c>
      <x:c r="C2159" s="31" t="n">
        <x:v>350603</x:v>
      </x:c>
      <x:c r="D2159" s="22" t="str">
        <x:v>龙文区</x:v>
      </x:c>
      <x:c r="E2159" s="22" t="str">
        <x:v>农用地</x:v>
      </x:c>
      <x:c r="F2159" s="22" t="str">
        <x:v>林地</x:v>
      </x:c>
      <x:c r="G2159" s="32" t="str">
        <x:v>301</x:v>
      </x:c>
      <x:c r="H2159" s="32" t="str">
        <x:v>301</x:v>
      </x:c>
      <x:c r="I2159" s="22" t="str">
        <x:v>乔木林地</x:v>
      </x:c>
      <x:c r="J2159" s="22" t="str">
        <x:v>农业生态</x:v>
      </x:c>
      <x:c r="K2159" s="32" t="str">
        <x:v>204</x:v>
      </x:c>
      <x:c r="L2159" s="22" t="str">
        <x:v>盐田及采矿用地</x:v>
      </x:c>
      <x:c r="M2159" s="33" t="n">
        <x:v>1730.27</x:v>
      </x:c>
      <x:c r="N2159" s="33" t="n">
        <x:v>0.173027</x:v>
      </x:c>
      <x:c r="O2159" s="22" t="str">
        <x:v>公顷</x:v>
      </x:c>
      <x:c r="P2159" s="22" t="str">
        <x:v>未提供（单期横截面）</x:v>
      </x:c>
      <x:c r="Q2159" s="23" t="n">
        <x:v>5138</x:v>
      </x:c>
    </x:row>
    <x:row r="2160">
      <x:c r="A2160" s="30" t="n">
        <x:v>350600</x:v>
      </x:c>
      <x:c r="B2160" s="22" t="str">
        <x:v>漳州市</x:v>
      </x:c>
      <x:c r="C2160" s="31" t="n">
        <x:v>350603</x:v>
      </x:c>
      <x:c r="D2160" s="22" t="str">
        <x:v>龙文区</x:v>
      </x:c>
      <x:c r="E2160" s="22" t="str">
        <x:v>未利用地</x:v>
      </x:c>
      <x:c r="F2160" s="22" t="str">
        <x:v>草地</x:v>
      </x:c>
      <x:c r="G2160" s="32" t="str">
        <x:v>404</x:v>
      </x:c>
      <x:c r="H2160" s="32" t="str">
        <x:v>404</x:v>
      </x:c>
      <x:c r="I2160" s="22" t="str">
        <x:v>其他草地</x:v>
      </x:c>
      <x:c r="J2160" s="22" t="str">
        <x:v>农业生态</x:v>
      </x:c>
      <x:c r="K2160" s="32" t="str"/>
      <x:c r="L2160" s="22" t="str">
        <x:v>不适用/未标注</x:v>
      </x:c>
      <x:c r="M2160" s="33" t="n">
        <x:v>2103402.740000001</x:v>
      </x:c>
      <x:c r="N2160" s="33" t="n">
        <x:v>210.3402740000001</x:v>
      </x:c>
      <x:c r="O2160" s="22" t="str">
        <x:v>公顷</x:v>
      </x:c>
      <x:c r="P2160" s="22" t="str">
        <x:v>未提供（单期横截面）</x:v>
      </x:c>
      <x:c r="Q2160" s="23" t="n">
        <x:v>5139</x:v>
      </x:c>
    </x:row>
    <x:row r="2161">
      <x:c r="A2161" s="30" t="n">
        <x:v>350600</x:v>
      </x:c>
      <x:c r="B2161" s="22" t="str">
        <x:v>漳州市</x:v>
      </x:c>
      <x:c r="C2161" s="31" t="n">
        <x:v>350603</x:v>
      </x:c>
      <x:c r="D2161" s="22" t="str">
        <x:v>龙文区</x:v>
      </x:c>
      <x:c r="E2161" s="22" t="str">
        <x:v>未利用地</x:v>
      </x:c>
      <x:c r="F2161" s="22" t="str">
        <x:v>水域及水利设施</x:v>
      </x:c>
      <x:c r="G2161" s="32" t="str">
        <x:v>1101</x:v>
      </x:c>
      <x:c r="H2161" s="32" t="str">
        <x:v>1101</x:v>
      </x:c>
      <x:c r="I2161" s="22" t="str">
        <x:v>河流水面</x:v>
      </x:c>
      <x:c r="J2161" s="22" t="str">
        <x:v>农业生态</x:v>
      </x:c>
      <x:c r="K2161" s="32" t="str"/>
      <x:c r="L2161" s="22" t="str">
        <x:v>不适用/未标注</x:v>
      </x:c>
      <x:c r="M2161" s="33" t="n">
        <x:v>7703014.2600000035</x:v>
      </x:c>
      <x:c r="N2161" s="33" t="n">
        <x:v>770.3014260000003</x:v>
      </x:c>
      <x:c r="O2161" s="22" t="str">
        <x:v>公顷</x:v>
      </x:c>
      <x:c r="P2161" s="22" t="str">
        <x:v>未提供（单期横截面）</x:v>
      </x:c>
      <x:c r="Q2161" s="23" t="n">
        <x:v>5140</x:v>
      </x:c>
    </x:row>
    <x:row r="2162">
      <x:c r="A2162" s="30" t="n">
        <x:v>350600</x:v>
      </x:c>
      <x:c r="B2162" s="22" t="str">
        <x:v>漳州市</x:v>
      </x:c>
      <x:c r="C2162" s="31" t="n">
        <x:v>350603</x:v>
      </x:c>
      <x:c r="D2162" s="22" t="str">
        <x:v>龙文区</x:v>
      </x:c>
      <x:c r="E2162" s="22" t="str">
        <x:v>未利用地</x:v>
      </x:c>
      <x:c r="F2162" s="22" t="str">
        <x:v>水域及水利设施</x:v>
      </x:c>
      <x:c r="G2162" s="32" t="str">
        <x:v>1106</x:v>
      </x:c>
      <x:c r="H2162" s="32" t="str">
        <x:v>1106</x:v>
      </x:c>
      <x:c r="I2162" s="22" t="str">
        <x:v>内陆滩涂</x:v>
      </x:c>
      <x:c r="J2162" s="22" t="str">
        <x:v>农业生态</x:v>
      </x:c>
      <x:c r="K2162" s="32" t="str"/>
      <x:c r="L2162" s="22" t="str">
        <x:v>不适用/未标注</x:v>
      </x:c>
      <x:c r="M2162" s="33" t="n">
        <x:v>53725.89</x:v>
      </x:c>
      <x:c r="N2162" s="33" t="n">
        <x:v>5.372589</x:v>
      </x:c>
      <x:c r="O2162" s="22" t="str">
        <x:v>公顷</x:v>
      </x:c>
      <x:c r="P2162" s="22" t="str">
        <x:v>未提供（单期横截面）</x:v>
      </x:c>
      <x:c r="Q2162" s="23" t="n">
        <x:v>5141</x:v>
      </x:c>
    </x:row>
    <x:row r="2163">
      <x:c r="A2163" s="30" t="n">
        <x:v>350600</x:v>
      </x:c>
      <x:c r="B2163" s="22" t="str">
        <x:v>漳州市</x:v>
      </x:c>
      <x:c r="C2163" s="31" t="n">
        <x:v>350603</x:v>
      </x:c>
      <x:c r="D2163" s="22" t="str">
        <x:v>龙文区</x:v>
      </x:c>
      <x:c r="E2163" s="22" t="str">
        <x:v>未利用地</x:v>
      </x:c>
      <x:c r="F2163" s="22" t="str">
        <x:v>未利用地</x:v>
      </x:c>
      <x:c r="G2163" s="32" t="str">
        <x:v>1206</x:v>
      </x:c>
      <x:c r="H2163" s="32" t="str">
        <x:v>1206</x:v>
      </x:c>
      <x:c r="I2163" s="22" t="str">
        <x:v>裸土地</x:v>
      </x:c>
      <x:c r="J2163" s="22" t="str">
        <x:v>未利用地</x:v>
      </x:c>
      <x:c r="K2163" s="32" t="str"/>
      <x:c r="L2163" s="22" t="str">
        <x:v>不适用/未标注</x:v>
      </x:c>
      <x:c r="M2163" s="33" t="n">
        <x:v>861.44</x:v>
      </x:c>
      <x:c r="N2163" s="33" t="n">
        <x:v>0.08614400000000001</x:v>
      </x:c>
      <x:c r="O2163" s="22" t="str">
        <x:v>公顷</x:v>
      </x:c>
      <x:c r="P2163" s="22" t="str">
        <x:v>未提供（单期横截面）</x:v>
      </x:c>
      <x:c r="Q2163" s="23" t="n">
        <x:v>5142</x:v>
      </x:c>
    </x:row>
    <x:row r="2164">
      <x:c r="A2164" s="30" t="n">
        <x:v>350600</x:v>
      </x:c>
      <x:c r="B2164" s="22" t="str">
        <x:v>漳州市</x:v>
      </x:c>
      <x:c r="C2164" s="31" t="n">
        <x:v>350603</x:v>
      </x:c>
      <x:c r="D2164" s="22" t="str">
        <x:v>龙文区</x:v>
      </x:c>
      <x:c r="E2164" s="22" t="str">
        <x:v>未利用地</x:v>
      </x:c>
      <x:c r="F2164" s="22" t="str">
        <x:v>未利用地</x:v>
      </x:c>
      <x:c r="G2164" s="32" t="str">
        <x:v>1207</x:v>
      </x:c>
      <x:c r="H2164" s="32" t="str">
        <x:v>1207</x:v>
      </x:c>
      <x:c r="I2164" s="22" t="str">
        <x:v>裸岩石砾地</x:v>
      </x:c>
      <x:c r="J2164" s="22" t="str">
        <x:v>未利用地</x:v>
      </x:c>
      <x:c r="K2164" s="32" t="str"/>
      <x:c r="L2164" s="22" t="str">
        <x:v>不适用/未标注</x:v>
      </x:c>
      <x:c r="M2164" s="33" t="n">
        <x:v>247212.2</x:v>
      </x:c>
      <x:c r="N2164" s="33" t="n">
        <x:v>24.721220000000002</x:v>
      </x:c>
      <x:c r="O2164" s="22" t="str">
        <x:v>公顷</x:v>
      </x:c>
      <x:c r="P2164" s="22" t="str">
        <x:v>未提供（单期横截面）</x:v>
      </x:c>
      <x:c r="Q2164" s="23" t="n">
        <x:v>5143</x:v>
      </x:c>
    </x:row>
    <x:row r="2165">
      <x:c r="A2165" s="30" t="n">
        <x:v>350600</x:v>
      </x:c>
      <x:c r="B2165" s="22" t="str">
        <x:v>漳州市</x:v>
      </x:c>
      <x:c r="C2165" s="31" t="n">
        <x:v>350603</x:v>
      </x:c>
      <x:c r="D2165" s="22" t="str">
        <x:v>龙文区</x:v>
      </x:c>
      <x:c r="E2165" s="22" t="str">
        <x:v>未利用地</x:v>
      </x:c>
      <x:c r="F2165" s="22" t="str">
        <x:v>草地</x:v>
      </x:c>
      <x:c r="G2165" s="32" t="str">
        <x:v>404</x:v>
      </x:c>
      <x:c r="H2165" s="32" t="str">
        <x:v>404</x:v>
      </x:c>
      <x:c r="I2165" s="22" t="str">
        <x:v>其他草地</x:v>
      </x:c>
      <x:c r="J2165" s="22" t="str">
        <x:v>农业生态</x:v>
      </x:c>
      <x:c r="K2165" s="32" t="str">
        <x:v>201</x:v>
      </x:c>
      <x:c r="L2165" s="22" t="str">
        <x:v>城市范围</x:v>
      </x:c>
      <x:c r="M2165" s="33" t="n">
        <x:v>937900.7200000001</x:v>
      </x:c>
      <x:c r="N2165" s="33" t="n">
        <x:v>93.79007200000001</x:v>
      </x:c>
      <x:c r="O2165" s="22" t="str">
        <x:v>公顷</x:v>
      </x:c>
      <x:c r="P2165" s="22" t="str">
        <x:v>未提供（单期横截面）</x:v>
      </x:c>
      <x:c r="Q2165" s="23" t="n">
        <x:v>5144</x:v>
      </x:c>
    </x:row>
    <x:row r="2166">
      <x:c r="A2166" s="30" t="n">
        <x:v>350600</x:v>
      </x:c>
      <x:c r="B2166" s="22" t="str">
        <x:v>漳州市</x:v>
      </x:c>
      <x:c r="C2166" s="31" t="n">
        <x:v>350603</x:v>
      </x:c>
      <x:c r="D2166" s="22" t="str">
        <x:v>龙文区</x:v>
      </x:c>
      <x:c r="E2166" s="22" t="str">
        <x:v>未利用地</x:v>
      </x:c>
      <x:c r="F2166" s="22" t="str">
        <x:v>水域及水利设施</x:v>
      </x:c>
      <x:c r="G2166" s="32" t="str">
        <x:v>1101</x:v>
      </x:c>
      <x:c r="H2166" s="32" t="str">
        <x:v>1101</x:v>
      </x:c>
      <x:c r="I2166" s="22" t="str">
        <x:v>河流水面</x:v>
      </x:c>
      <x:c r="J2166" s="22" t="str">
        <x:v>农业生态</x:v>
      </x:c>
      <x:c r="K2166" s="32" t="str">
        <x:v>201</x:v>
      </x:c>
      <x:c r="L2166" s="22" t="str">
        <x:v>城市范围</x:v>
      </x:c>
      <x:c r="M2166" s="33" t="n">
        <x:v>500752.13999999996</x:v>
      </x:c>
      <x:c r="N2166" s="33" t="n">
        <x:v>50.075213999999995</x:v>
      </x:c>
      <x:c r="O2166" s="22" t="str">
        <x:v>公顷</x:v>
      </x:c>
      <x:c r="P2166" s="22" t="str">
        <x:v>未提供（单期横截面）</x:v>
      </x:c>
      <x:c r="Q2166" s="23" t="n">
        <x:v>5145</x:v>
      </x:c>
    </x:row>
    <x:row r="2167">
      <x:c r="A2167" s="30" t="n">
        <x:v>350600</x:v>
      </x:c>
      <x:c r="B2167" s="22" t="str">
        <x:v>漳州市</x:v>
      </x:c>
      <x:c r="C2167" s="31" t="n">
        <x:v>350603</x:v>
      </x:c>
      <x:c r="D2167" s="22" t="str">
        <x:v>龙文区</x:v>
      </x:c>
      <x:c r="E2167" s="22" t="str">
        <x:v>未利用地</x:v>
      </x:c>
      <x:c r="F2167" s="22" t="str">
        <x:v>草地</x:v>
      </x:c>
      <x:c r="G2167" s="32" t="str">
        <x:v>404</x:v>
      </x:c>
      <x:c r="H2167" s="32" t="str">
        <x:v>404</x:v>
      </x:c>
      <x:c r="I2167" s="22" t="str">
        <x:v>其他草地</x:v>
      </x:c>
      <x:c r="J2167" s="22" t="str">
        <x:v>农业生态</x:v>
      </x:c>
      <x:c r="K2167" s="32" t="str">
        <x:v>202</x:v>
      </x:c>
      <x:c r="L2167" s="22" t="str">
        <x:v>建制镇范围</x:v>
      </x:c>
      <x:c r="M2167" s="33" t="n">
        <x:v>2278.66</x:v>
      </x:c>
      <x:c r="N2167" s="33" t="n">
        <x:v>0.22786599999999999</x:v>
      </x:c>
      <x:c r="O2167" s="22" t="str">
        <x:v>公顷</x:v>
      </x:c>
      <x:c r="P2167" s="22" t="str">
        <x:v>未提供（单期横截面）</x:v>
      </x:c>
      <x:c r="Q2167" s="23" t="n">
        <x:v>5146</x:v>
      </x:c>
    </x:row>
    <x:row r="2168">
      <x:c r="A2168" s="30" t="n">
        <x:v>350600</x:v>
      </x:c>
      <x:c r="B2168" s="22" t="str">
        <x:v>漳州市</x:v>
      </x:c>
      <x:c r="C2168" s="31" t="n">
        <x:v>350603</x:v>
      </x:c>
      <x:c r="D2168" s="22" t="str">
        <x:v>龙文区</x:v>
      </x:c>
      <x:c r="E2168" s="22" t="str">
        <x:v>未利用地</x:v>
      </x:c>
      <x:c r="F2168" s="22" t="str">
        <x:v>草地</x:v>
      </x:c>
      <x:c r="G2168" s="32" t="str">
        <x:v>404</x:v>
      </x:c>
      <x:c r="H2168" s="32" t="str">
        <x:v>404</x:v>
      </x:c>
      <x:c r="I2168" s="22" t="str">
        <x:v>其他草地</x:v>
      </x:c>
      <x:c r="J2168" s="22" t="str">
        <x:v>农业生态</x:v>
      </x:c>
      <x:c r="K2168" s="32" t="str">
        <x:v>203</x:v>
      </x:c>
      <x:c r="L2168" s="22" t="str">
        <x:v>村庄范围</x:v>
      </x:c>
      <x:c r="M2168" s="33" t="n">
        <x:v>142576.28</x:v>
      </x:c>
      <x:c r="N2168" s="33" t="n">
        <x:v>14.257628</x:v>
      </x:c>
      <x:c r="O2168" s="22" t="str">
        <x:v>公顷</x:v>
      </x:c>
      <x:c r="P2168" s="22" t="str">
        <x:v>未提供（单期横截面）</x:v>
      </x:c>
      <x:c r="Q2168" s="23" t="n">
        <x:v>5147</x:v>
      </x:c>
    </x:row>
    <x:row r="2169">
      <x:c r="A2169" s="30" t="n">
        <x:v>350600</x:v>
      </x:c>
      <x:c r="B2169" s="22" t="str">
        <x:v>漳州市</x:v>
      </x:c>
      <x:c r="C2169" s="31" t="n">
        <x:v>350603</x:v>
      </x:c>
      <x:c r="D2169" s="22" t="str">
        <x:v>龙文区</x:v>
      </x:c>
      <x:c r="E2169" s="22" t="str">
        <x:v>未利用地</x:v>
      </x:c>
      <x:c r="F2169" s="22" t="str">
        <x:v>水域及水利设施</x:v>
      </x:c>
      <x:c r="G2169" s="32" t="str">
        <x:v>1101</x:v>
      </x:c>
      <x:c r="H2169" s="32" t="str">
        <x:v>1101</x:v>
      </x:c>
      <x:c r="I2169" s="22" t="str">
        <x:v>河流水面</x:v>
      </x:c>
      <x:c r="J2169" s="22" t="str">
        <x:v>农业生态</x:v>
      </x:c>
      <x:c r="K2169" s="32" t="str">
        <x:v>203</x:v>
      </x:c>
      <x:c r="L2169" s="22" t="str">
        <x:v>村庄范围</x:v>
      </x:c>
      <x:c r="M2169" s="33" t="n">
        <x:v>12697.919999999998</x:v>
      </x:c>
      <x:c r="N2169" s="33" t="n">
        <x:v>1.2697919999999998</x:v>
      </x:c>
      <x:c r="O2169" s="22" t="str">
        <x:v>公顷</x:v>
      </x:c>
      <x:c r="P2169" s="22" t="str">
        <x:v>未提供（单期横截面）</x:v>
      </x:c>
      <x:c r="Q2169" s="23" t="n">
        <x:v>5148</x:v>
      </x:c>
    </x:row>
    <x:row r="2170">
      <x:c r="A2170" s="30" t="n">
        <x:v>350600</x:v>
      </x:c>
      <x:c r="B2170" s="22" t="str">
        <x:v>漳州市</x:v>
      </x:c>
      <x:c r="C2170" s="31" t="n">
        <x:v>350622</x:v>
      </x:c>
      <x:c r="D2170" s="22" t="str">
        <x:v>云霄县</x:v>
      </x:c>
      <x:c r="E2170" s="22" t="str">
        <x:v>建设用地</x:v>
      </x:c>
      <x:c r="F2170" s="22" t="str">
        <x:v>交通运输用地</x:v>
      </x:c>
      <x:c r="G2170" s="32" t="str">
        <x:v>1001</x:v>
      </x:c>
      <x:c r="H2170" s="32" t="str">
        <x:v>1001</x:v>
      </x:c>
      <x:c r="I2170" s="22" t="str">
        <x:v>铁路用地</x:v>
      </x:c>
      <x:c r="J2170" s="22" t="str">
        <x:v>交通门户</x:v>
      </x:c>
      <x:c r="K2170" s="32" t="str"/>
      <x:c r="L2170" s="22" t="str">
        <x:v>不适用/未标注</x:v>
      </x:c>
      <x:c r="M2170" s="33" t="n">
        <x:v>644102.81</x:v>
      </x:c>
      <x:c r="N2170" s="33" t="n">
        <x:v>64.41028100000001</x:v>
      </x:c>
      <x:c r="O2170" s="22" t="str">
        <x:v>公顷</x:v>
      </x:c>
      <x:c r="P2170" s="22" t="str">
        <x:v>未提供（单期横截面）</x:v>
      </x:c>
      <x:c r="Q2170" s="23" t="n">
        <x:v>5149</x:v>
      </x:c>
    </x:row>
    <x:row r="2171">
      <x:c r="A2171" s="30" t="n">
        <x:v>350600</x:v>
      </x:c>
      <x:c r="B2171" s="22" t="str">
        <x:v>漳州市</x:v>
      </x:c>
      <x:c r="C2171" s="31" t="n">
        <x:v>350622</x:v>
      </x:c>
      <x:c r="D2171" s="22" t="str">
        <x:v>云霄县</x:v>
      </x:c>
      <x:c r="E2171" s="22" t="str">
        <x:v>建设用地</x:v>
      </x:c>
      <x:c r="F2171" s="22" t="str">
        <x:v>交通运输用地</x:v>
      </x:c>
      <x:c r="G2171" s="32" t="str">
        <x:v>1003</x:v>
      </x:c>
      <x:c r="H2171" s="32" t="str">
        <x:v>1003</x:v>
      </x:c>
      <x:c r="I2171" s="22" t="str">
        <x:v>公路用地</x:v>
      </x:c>
      <x:c r="J2171" s="22" t="str">
        <x:v>交通门户</x:v>
      </x:c>
      <x:c r="K2171" s="32" t="str"/>
      <x:c r="L2171" s="22" t="str">
        <x:v>不适用/未标注</x:v>
      </x:c>
      <x:c r="M2171" s="33" t="n">
        <x:v>11072380.99</x:v>
      </x:c>
      <x:c r="N2171" s="33" t="n">
        <x:v>1107.238099</x:v>
      </x:c>
      <x:c r="O2171" s="22" t="str">
        <x:v>公顷</x:v>
      </x:c>
      <x:c r="P2171" s="22" t="str">
        <x:v>未提供（单期横截面）</x:v>
      </x:c>
      <x:c r="Q2171" s="23" t="n">
        <x:v>5150</x:v>
      </x:c>
    </x:row>
    <x:row r="2172">
      <x:c r="A2172" s="30" t="n">
        <x:v>350600</x:v>
      </x:c>
      <x:c r="B2172" s="22" t="str">
        <x:v>漳州市</x:v>
      </x:c>
      <x:c r="C2172" s="31" t="n">
        <x:v>350622</x:v>
      </x:c>
      <x:c r="D2172" s="22" t="str">
        <x:v>云霄县</x:v>
      </x:c>
      <x:c r="E2172" s="22" t="str">
        <x:v>建设用地</x:v>
      </x:c>
      <x:c r="F2172" s="22" t="str">
        <x:v>交通运输用地</x:v>
      </x:c>
      <x:c r="G2172" s="32" t="str">
        <x:v>1007</x:v>
      </x:c>
      <x:c r="H2172" s="32" t="str">
        <x:v>1007</x:v>
      </x:c>
      <x:c r="I2172" s="22" t="str">
        <x:v>机场用地</x:v>
      </x:c>
      <x:c r="J2172" s="22" t="str">
        <x:v>交通门户</x:v>
      </x:c>
      <x:c r="K2172" s="32" t="str"/>
      <x:c r="L2172" s="22" t="str">
        <x:v>不适用/未标注</x:v>
      </x:c>
      <x:c r="M2172" s="33" t="n">
        <x:v>387.17</x:v>
      </x:c>
      <x:c r="N2172" s="33" t="n">
        <x:v>0.038717</x:v>
      </x:c>
      <x:c r="O2172" s="22" t="str">
        <x:v>公顷</x:v>
      </x:c>
      <x:c r="P2172" s="22" t="str">
        <x:v>未提供（单期横截面）</x:v>
      </x:c>
      <x:c r="Q2172" s="23" t="n">
        <x:v>5151</x:v>
      </x:c>
    </x:row>
    <x:row r="2173">
      <x:c r="A2173" s="30" t="n">
        <x:v>350600</x:v>
      </x:c>
      <x:c r="B2173" s="22" t="str">
        <x:v>漳州市</x:v>
      </x:c>
      <x:c r="C2173" s="31" t="n">
        <x:v>350622</x:v>
      </x:c>
      <x:c r="D2173" s="22" t="str">
        <x:v>云霄县</x:v>
      </x:c>
      <x:c r="E2173" s="22" t="str">
        <x:v>建设用地</x:v>
      </x:c>
      <x:c r="F2173" s="22" t="str">
        <x:v>交通运输用地</x:v>
      </x:c>
      <x:c r="G2173" s="32" t="str">
        <x:v>1008</x:v>
      </x:c>
      <x:c r="H2173" s="32" t="str">
        <x:v>1008</x:v>
      </x:c>
      <x:c r="I2173" s="22" t="str">
        <x:v>港口码头用地</x:v>
      </x:c>
      <x:c r="J2173" s="22" t="str">
        <x:v>交通门户</x:v>
      </x:c>
      <x:c r="K2173" s="32" t="str"/>
      <x:c r="L2173" s="22" t="str">
        <x:v>不适用/未标注</x:v>
      </x:c>
      <x:c r="M2173" s="33" t="n">
        <x:v>141139.66999999998</x:v>
      </x:c>
      <x:c r="N2173" s="33" t="n">
        <x:v>14.113966999999999</x:v>
      </x:c>
      <x:c r="O2173" s="22" t="str">
        <x:v>公顷</x:v>
      </x:c>
      <x:c r="P2173" s="22" t="str">
        <x:v>未提供（单期横截面）</x:v>
      </x:c>
      <x:c r="Q2173" s="23" t="n">
        <x:v>5152</x:v>
      </x:c>
    </x:row>
    <x:row r="2174">
      <x:c r="A2174" s="30" t="n">
        <x:v>350600</x:v>
      </x:c>
      <x:c r="B2174" s="22" t="str">
        <x:v>漳州市</x:v>
      </x:c>
      <x:c r="C2174" s="31" t="n">
        <x:v>350622</x:v>
      </x:c>
      <x:c r="D2174" s="22" t="str">
        <x:v>云霄县</x:v>
      </x:c>
      <x:c r="E2174" s="22" t="str">
        <x:v>建设用地</x:v>
      </x:c>
      <x:c r="F2174" s="22" t="str">
        <x:v>交通运输用地</x:v>
      </x:c>
      <x:c r="G2174" s="32" t="str">
        <x:v>1009</x:v>
      </x:c>
      <x:c r="H2174" s="32" t="str">
        <x:v>1009</x:v>
      </x:c>
      <x:c r="I2174" s="22" t="str">
        <x:v>管道运输用地</x:v>
      </x:c>
      <x:c r="J2174" s="22" t="str">
        <x:v>交通门户</x:v>
      </x:c>
      <x:c r="K2174" s="32" t="str"/>
      <x:c r="L2174" s="22" t="str">
        <x:v>不适用/未标注</x:v>
      </x:c>
      <x:c r="M2174" s="33" t="n">
        <x:v>953.08</x:v>
      </x:c>
      <x:c r="N2174" s="33" t="n">
        <x:v>0.095308</x:v>
      </x:c>
      <x:c r="O2174" s="22" t="str">
        <x:v>公顷</x:v>
      </x:c>
      <x:c r="P2174" s="22" t="str">
        <x:v>未提供（单期横截面）</x:v>
      </x:c>
      <x:c r="Q2174" s="23" t="n">
        <x:v>5153</x:v>
      </x:c>
    </x:row>
    <x:row r="2175">
      <x:c r="A2175" s="30" t="n">
        <x:v>350600</x:v>
      </x:c>
      <x:c r="B2175" s="22" t="str">
        <x:v>漳州市</x:v>
      </x:c>
      <x:c r="C2175" s="31" t="n">
        <x:v>350622</x:v>
      </x:c>
      <x:c r="D2175" s="22" t="str">
        <x:v>云霄县</x:v>
      </x:c>
      <x:c r="E2175" s="22" t="str">
        <x:v>建设用地</x:v>
      </x:c>
      <x:c r="F2175" s="22" t="str">
        <x:v>水域及水利设施</x:v>
      </x:c>
      <x:c r="G2175" s="32" t="str">
        <x:v>1109</x:v>
      </x:c>
      <x:c r="H2175" s="32" t="str">
        <x:v>1109</x:v>
      </x:c>
      <x:c r="I2175" s="22" t="str">
        <x:v>水工建筑用地</x:v>
      </x:c>
      <x:c r="J2175" s="22" t="str">
        <x:v>其他建设</x:v>
      </x:c>
      <x:c r="K2175" s="32" t="str"/>
      <x:c r="L2175" s="22" t="str">
        <x:v>不适用/未标注</x:v>
      </x:c>
      <x:c r="M2175" s="33" t="n">
        <x:v>979051.0399999996</x:v>
      </x:c>
      <x:c r="N2175" s="33" t="n">
        <x:v>97.90510399999995</x:v>
      </x:c>
      <x:c r="O2175" s="22" t="str">
        <x:v>公顷</x:v>
      </x:c>
      <x:c r="P2175" s="22" t="str">
        <x:v>未提供（单期横截面）</x:v>
      </x:c>
      <x:c r="Q2175" s="23" t="n">
        <x:v>5154</x:v>
      </x:c>
    </x:row>
    <x:row r="2176">
      <x:c r="A2176" s="30" t="n">
        <x:v>350600</x:v>
      </x:c>
      <x:c r="B2176" s="22" t="str">
        <x:v>漳州市</x:v>
      </x:c>
      <x:c r="C2176" s="31" t="n">
        <x:v>350622</x:v>
      </x:c>
      <x:c r="D2176" s="22" t="str">
        <x:v>云霄县</x:v>
      </x:c>
      <x:c r="E2176" s="22" t="str">
        <x:v>建设用地</x:v>
      </x:c>
      <x:c r="F2176" s="22" t="str">
        <x:v>工矿仓储用地</x:v>
      </x:c>
      <x:c r="G2176" s="32" t="str">
        <x:v>508</x:v>
      </x:c>
      <x:c r="H2176" s="32" t="str">
        <x:v>508</x:v>
      </x:c>
      <x:c r="I2176" s="22" t="str">
        <x:v>物流仓储用地</x:v>
      </x:c>
      <x:c r="J2176" s="22" t="str">
        <x:v>产业功能</x:v>
      </x:c>
      <x:c r="K2176" s="32" t="str">
        <x:v>202</x:v>
      </x:c>
      <x:c r="L2176" s="22" t="str">
        <x:v>建制镇范围</x:v>
      </x:c>
      <x:c r="M2176" s="33" t="n">
        <x:v>106854.43000000002</x:v>
      </x:c>
      <x:c r="N2176" s="33" t="n">
        <x:v>10.685443000000003</x:v>
      </x:c>
      <x:c r="O2176" s="22" t="str">
        <x:v>公顷</x:v>
      </x:c>
      <x:c r="P2176" s="22" t="str">
        <x:v>未提供（单期横截面）</x:v>
      </x:c>
      <x:c r="Q2176" s="23" t="n">
        <x:v>5155</x:v>
      </x:c>
    </x:row>
    <x:row r="2177">
      <x:c r="A2177" s="30" t="n">
        <x:v>350600</x:v>
      </x:c>
      <x:c r="B2177" s="22" t="str">
        <x:v>漳州市</x:v>
      </x:c>
      <x:c r="C2177" s="31" t="n">
        <x:v>350622</x:v>
      </x:c>
      <x:c r="D2177" s="22" t="str">
        <x:v>云霄县</x:v>
      </x:c>
      <x:c r="E2177" s="22" t="str">
        <x:v>建设用地</x:v>
      </x:c>
      <x:c r="F2177" s="22" t="str">
        <x:v>商业服务业用地</x:v>
      </x:c>
      <x:c r="G2177" s="32" t="str">
        <x:v>05H1</x:v>
      </x:c>
      <x:c r="H2177" s="32" t="str">
        <x:v>05H1</x:v>
      </x:c>
      <x:c r="I2177" s="22" t="str">
        <x:v>商业服务业设施用地</x:v>
      </x:c>
      <x:c r="J2177" s="22" t="str">
        <x:v>商业服务</x:v>
      </x:c>
      <x:c r="K2177" s="32" t="str">
        <x:v>202</x:v>
      </x:c>
      <x:c r="L2177" s="22" t="str">
        <x:v>建制镇范围</x:v>
      </x:c>
      <x:c r="M2177" s="33" t="n">
        <x:v>870543.9199999997</x:v>
      </x:c>
      <x:c r="N2177" s="33" t="n">
        <x:v>87.05439199999996</x:v>
      </x:c>
      <x:c r="O2177" s="22" t="str">
        <x:v>公顷</x:v>
      </x:c>
      <x:c r="P2177" s="22" t="str">
        <x:v>未提供（单期横截面）</x:v>
      </x:c>
      <x:c r="Q2177" s="23" t="n">
        <x:v>5156</x:v>
      </x:c>
    </x:row>
    <x:row r="2178">
      <x:c r="A2178" s="30" t="n">
        <x:v>350600</x:v>
      </x:c>
      <x:c r="B2178" s="22" t="str">
        <x:v>漳州市</x:v>
      </x:c>
      <x:c r="C2178" s="31" t="n">
        <x:v>350622</x:v>
      </x:c>
      <x:c r="D2178" s="22" t="str">
        <x:v>云霄县</x:v>
      </x:c>
      <x:c r="E2178" s="22" t="str">
        <x:v>建设用地</x:v>
      </x:c>
      <x:c r="F2178" s="22" t="str">
        <x:v>工矿仓储用地</x:v>
      </x:c>
      <x:c r="G2178" s="32" t="str">
        <x:v>601</x:v>
      </x:c>
      <x:c r="H2178" s="32" t="str">
        <x:v>601</x:v>
      </x:c>
      <x:c r="I2178" s="22" t="str">
        <x:v>工业用地</x:v>
      </x:c>
      <x:c r="J2178" s="22" t="str">
        <x:v>产业功能</x:v>
      </x:c>
      <x:c r="K2178" s="32" t="str">
        <x:v>202</x:v>
      </x:c>
      <x:c r="L2178" s="22" t="str">
        <x:v>建制镇范围</x:v>
      </x:c>
      <x:c r="M2178" s="33" t="n">
        <x:v>10319847.580000004</x:v>
      </x:c>
      <x:c r="N2178" s="33" t="n">
        <x:v>1031.9847580000003</x:v>
      </x:c>
      <x:c r="O2178" s="22" t="str">
        <x:v>公顷</x:v>
      </x:c>
      <x:c r="P2178" s="22" t="str">
        <x:v>未提供（单期横截面）</x:v>
      </x:c>
      <x:c r="Q2178" s="23" t="n">
        <x:v>5157</x:v>
      </x:c>
    </x:row>
    <x:row r="2179">
      <x:c r="A2179" s="30" t="n">
        <x:v>350600</x:v>
      </x:c>
      <x:c r="B2179" s="22" t="str">
        <x:v>漳州市</x:v>
      </x:c>
      <x:c r="C2179" s="31" t="n">
        <x:v>350622</x:v>
      </x:c>
      <x:c r="D2179" s="22" t="str">
        <x:v>云霄县</x:v>
      </x:c>
      <x:c r="E2179" s="22" t="str">
        <x:v>建设用地</x:v>
      </x:c>
      <x:c r="F2179" s="22" t="str">
        <x:v>居住用地</x:v>
      </x:c>
      <x:c r="G2179" s="32" t="str">
        <x:v>701</x:v>
      </x:c>
      <x:c r="H2179" s="32" t="str">
        <x:v>701</x:v>
      </x:c>
      <x:c r="I2179" s="22" t="str">
        <x:v>城镇住宅用地</x:v>
      </x:c>
      <x:c r="J2179" s="22" t="str">
        <x:v>居住功能</x:v>
      </x:c>
      <x:c r="K2179" s="32" t="str">
        <x:v>202</x:v>
      </x:c>
      <x:c r="L2179" s="22" t="str">
        <x:v>建制镇范围</x:v>
      </x:c>
      <x:c r="M2179" s="33" t="n">
        <x:v>9796467.58000001</x:v>
      </x:c>
      <x:c r="N2179" s="33" t="n">
        <x:v>979.6467580000009</x:v>
      </x:c>
      <x:c r="O2179" s="22" t="str">
        <x:v>公顷</x:v>
      </x:c>
      <x:c r="P2179" s="22" t="str">
        <x:v>未提供（单期横截面）</x:v>
      </x:c>
      <x:c r="Q2179" s="23" t="n">
        <x:v>5158</x:v>
      </x:c>
    </x:row>
    <x:row r="2180">
      <x:c r="A2180" s="30" t="n">
        <x:v>350600</x:v>
      </x:c>
      <x:c r="B2180" s="22" t="str">
        <x:v>漳州市</x:v>
      </x:c>
      <x:c r="C2180" s="31" t="n">
        <x:v>350622</x:v>
      </x:c>
      <x:c r="D2180" s="22" t="str">
        <x:v>云霄县</x:v>
      </x:c>
      <x:c r="E2180" s="22" t="str">
        <x:v>建设用地</x:v>
      </x:c>
      <x:c r="F2180" s="22" t="str">
        <x:v>居住用地</x:v>
      </x:c>
      <x:c r="G2180" s="32" t="str">
        <x:v>702</x:v>
      </x:c>
      <x:c r="H2180" s="32" t="str">
        <x:v>702</x:v>
      </x:c>
      <x:c r="I2180" s="22" t="str">
        <x:v>农村宅基地</x:v>
      </x:c>
      <x:c r="J2180" s="22" t="str">
        <x:v>居住功能</x:v>
      </x:c>
      <x:c r="K2180" s="32" t="str">
        <x:v>202</x:v>
      </x:c>
      <x:c r="L2180" s="22" t="str">
        <x:v>建制镇范围</x:v>
      </x:c>
      <x:c r="M2180" s="33" t="n">
        <x:v>647909.8300000001</x:v>
      </x:c>
      <x:c r="N2180" s="33" t="n">
        <x:v>64.79098300000001</x:v>
      </x:c>
      <x:c r="O2180" s="22" t="str">
        <x:v>公顷</x:v>
      </x:c>
      <x:c r="P2180" s="22" t="str">
        <x:v>未提供（单期横截面）</x:v>
      </x:c>
      <x:c r="Q2180" s="23" t="n">
        <x:v>5159</x:v>
      </x:c>
    </x:row>
    <x:row r="2181">
      <x:c r="A2181" s="30" t="n">
        <x:v>350600</x:v>
      </x:c>
      <x:c r="B2181" s="22" t="str">
        <x:v>漳州市</x:v>
      </x:c>
      <x:c r="C2181" s="31" t="n">
        <x:v>350622</x:v>
      </x:c>
      <x:c r="D2181" s="22" t="str">
        <x:v>云霄县</x:v>
      </x:c>
      <x:c r="E2181" s="22" t="str">
        <x:v>建设用地</x:v>
      </x:c>
      <x:c r="F2181" s="22" t="str">
        <x:v>公用设施用地</x:v>
      </x:c>
      <x:c r="G2181" s="32" t="str">
        <x:v>809</x:v>
      </x:c>
      <x:c r="H2181" s="32" t="str">
        <x:v>809</x:v>
      </x:c>
      <x:c r="I2181" s="22" t="str">
        <x:v>公用设施用地</x:v>
      </x:c>
      <x:c r="J2181" s="22" t="str">
        <x:v>其他建设</x:v>
      </x:c>
      <x:c r="K2181" s="32" t="str">
        <x:v>202</x:v>
      </x:c>
      <x:c r="L2181" s="22" t="str">
        <x:v>建制镇范围</x:v>
      </x:c>
      <x:c r="M2181" s="33" t="n">
        <x:v>259532.35000000003</x:v>
      </x:c>
      <x:c r="N2181" s="33" t="n">
        <x:v>25.953235000000003</x:v>
      </x:c>
      <x:c r="O2181" s="22" t="str">
        <x:v>公顷</x:v>
      </x:c>
      <x:c r="P2181" s="22" t="str">
        <x:v>未提供（单期横截面）</x:v>
      </x:c>
      <x:c r="Q2181" s="23" t="n">
        <x:v>5160</x:v>
      </x:c>
    </x:row>
    <x:row r="2182">
      <x:c r="A2182" s="30" t="n">
        <x:v>350600</x:v>
      </x:c>
      <x:c r="B2182" s="22" t="str">
        <x:v>漳州市</x:v>
      </x:c>
      <x:c r="C2182" s="31" t="n">
        <x:v>350622</x:v>
      </x:c>
      <x:c r="D2182" s="22" t="str">
        <x:v>云霄县</x:v>
      </x:c>
      <x:c r="E2182" s="22" t="str">
        <x:v>建设用地</x:v>
      </x:c>
      <x:c r="F2182" s="22" t="str">
        <x:v>绿地与广场用地</x:v>
      </x:c>
      <x:c r="G2182" s="32" t="str">
        <x:v>810</x:v>
      </x:c>
      <x:c r="H2182" s="32" t="str">
        <x:v>810</x:v>
      </x:c>
      <x:c r="I2182" s="22" t="str">
        <x:v>公园与绿地</x:v>
      </x:c>
      <x:c r="J2182" s="22" t="str">
        <x:v>公共空间</x:v>
      </x:c>
      <x:c r="K2182" s="32" t="str">
        <x:v>202</x:v>
      </x:c>
      <x:c r="L2182" s="22" t="str">
        <x:v>建制镇范围</x:v>
      </x:c>
      <x:c r="M2182" s="33" t="n">
        <x:v>540805.65</x:v>
      </x:c>
      <x:c r="N2182" s="33" t="n">
        <x:v>54.080565</x:v>
      </x:c>
      <x:c r="O2182" s="22" t="str">
        <x:v>公顷</x:v>
      </x:c>
      <x:c r="P2182" s="22" t="str">
        <x:v>未提供（单期横截面）</x:v>
      </x:c>
      <x:c r="Q2182" s="23" t="n">
        <x:v>5161</x:v>
      </x:c>
    </x:row>
    <x:row r="2183">
      <x:c r="A2183" s="30" t="n">
        <x:v>350600</x:v>
      </x:c>
      <x:c r="B2183" s="22" t="str">
        <x:v>漳州市</x:v>
      </x:c>
      <x:c r="C2183" s="31" t="n">
        <x:v>350622</x:v>
      </x:c>
      <x:c r="D2183" s="22" t="str">
        <x:v>云霄县</x:v>
      </x:c>
      <x:c r="E2183" s="22" t="str">
        <x:v>建设用地</x:v>
      </x:c>
      <x:c r="F2183" s="22" t="str">
        <x:v>绿地与广场用地</x:v>
      </x:c>
      <x:c r="G2183" s="32" t="str">
        <x:v>0810A</x:v>
      </x:c>
      <x:c r="H2183" s="32" t="str">
        <x:v>0810</x:v>
      </x:c>
      <x:c r="I2183" s="22" t="str">
        <x:v>广场用地</x:v>
      </x:c>
      <x:c r="J2183" s="22" t="str">
        <x:v>公共空间</x:v>
      </x:c>
      <x:c r="K2183" s="32" t="str">
        <x:v>202</x:v>
      </x:c>
      <x:c r="L2183" s="22" t="str">
        <x:v>建制镇范围</x:v>
      </x:c>
      <x:c r="M2183" s="33" t="n">
        <x:v>47781.359999999986</x:v>
      </x:c>
      <x:c r="N2183" s="33" t="n">
        <x:v>4.778135999999998</x:v>
      </x:c>
      <x:c r="O2183" s="22" t="str">
        <x:v>公顷</x:v>
      </x:c>
      <x:c r="P2183" s="22" t="str">
        <x:v>未提供（单期横截面）</x:v>
      </x:c>
      <x:c r="Q2183" s="23" t="n">
        <x:v>5162</x:v>
      </x:c>
    </x:row>
    <x:row r="2184">
      <x:c r="A2184" s="30" t="n">
        <x:v>350600</x:v>
      </x:c>
      <x:c r="B2184" s="22" t="str">
        <x:v>漳州市</x:v>
      </x:c>
      <x:c r="C2184" s="31" t="n">
        <x:v>350622</x:v>
      </x:c>
      <x:c r="D2184" s="22" t="str">
        <x:v>云霄县</x:v>
      </x:c>
      <x:c r="E2184" s="22" t="str">
        <x:v>建设用地</x:v>
      </x:c>
      <x:c r="F2184" s="22" t="str">
        <x:v>公共管理与公共服务用地</x:v>
      </x:c>
      <x:c r="G2184" s="32" t="str">
        <x:v>08H1</x:v>
      </x:c>
      <x:c r="H2184" s="32" t="str">
        <x:v>08H1</x:v>
      </x:c>
      <x:c r="I2184" s="22" t="str">
        <x:v>机关团体新闻出版用地</x:v>
      </x:c>
      <x:c r="J2184" s="22" t="str">
        <x:v>公共服务</x:v>
      </x:c>
      <x:c r="K2184" s="32" t="str">
        <x:v>202</x:v>
      </x:c>
      <x:c r="L2184" s="22" t="str">
        <x:v>建制镇范围</x:v>
      </x:c>
      <x:c r="M2184" s="33" t="n">
        <x:v>630246.34</x:v>
      </x:c>
      <x:c r="N2184" s="33" t="n">
        <x:v>63.024634</x:v>
      </x:c>
      <x:c r="O2184" s="22" t="str">
        <x:v>公顷</x:v>
      </x:c>
      <x:c r="P2184" s="22" t="str">
        <x:v>未提供（单期横截面）</x:v>
      </x:c>
      <x:c r="Q2184" s="23" t="n">
        <x:v>5163</x:v>
      </x:c>
    </x:row>
    <x:row r="2185">
      <x:c r="A2185" s="30" t="n">
        <x:v>350600</x:v>
      </x:c>
      <x:c r="B2185" s="22" t="str">
        <x:v>漳州市</x:v>
      </x:c>
      <x:c r="C2185" s="31" t="n">
        <x:v>350622</x:v>
      </x:c>
      <x:c r="D2185" s="22" t="str">
        <x:v>云霄县</x:v>
      </x:c>
      <x:c r="E2185" s="22" t="str">
        <x:v>建设用地</x:v>
      </x:c>
      <x:c r="F2185" s="22" t="str">
        <x:v>公共管理与公共服务用地</x:v>
      </x:c>
      <x:c r="G2185" s="32" t="str">
        <x:v>08H2</x:v>
      </x:c>
      <x:c r="H2185" s="32" t="str">
        <x:v>08H2</x:v>
      </x:c>
      <x:c r="I2185" s="22" t="str">
        <x:v>科教文卫用地</x:v>
      </x:c>
      <x:c r="J2185" s="22" t="str">
        <x:v>公共服务</x:v>
      </x:c>
      <x:c r="K2185" s="32" t="str">
        <x:v>202</x:v>
      </x:c>
      <x:c r="L2185" s="22" t="str">
        <x:v>建制镇范围</x:v>
      </x:c>
      <x:c r="M2185" s="33" t="n">
        <x:v>1306875.3800000001</x:v>
      </x:c>
      <x:c r="N2185" s="33" t="n">
        <x:v>130.68753800000002</x:v>
      </x:c>
      <x:c r="O2185" s="22" t="str">
        <x:v>公顷</x:v>
      </x:c>
      <x:c r="P2185" s="22" t="str">
        <x:v>未提供（单期横截面）</x:v>
      </x:c>
      <x:c r="Q2185" s="23" t="n">
        <x:v>5164</x:v>
      </x:c>
    </x:row>
    <x:row r="2186">
      <x:c r="A2186" s="30" t="n">
        <x:v>350600</x:v>
      </x:c>
      <x:c r="B2186" s="22" t="str">
        <x:v>漳州市</x:v>
      </x:c>
      <x:c r="C2186" s="31" t="n">
        <x:v>350622</x:v>
      </x:c>
      <x:c r="D2186" s="22" t="str">
        <x:v>云霄县</x:v>
      </x:c>
      <x:c r="E2186" s="22" t="str">
        <x:v>建设用地</x:v>
      </x:c>
      <x:c r="F2186" s="22" t="str">
        <x:v>公共管理与公共服务用地</x:v>
      </x:c>
      <x:c r="G2186" s="32" t="str">
        <x:v>08H2A</x:v>
      </x:c>
      <x:c r="H2186" s="32" t="str">
        <x:v>08H2</x:v>
      </x:c>
      <x:c r="I2186" s="22" t="str">
        <x:v>高教用地</x:v>
      </x:c>
      <x:c r="J2186" s="22" t="str">
        <x:v>公共服务</x:v>
      </x:c>
      <x:c r="K2186" s="32" t="str">
        <x:v>202</x:v>
      </x:c>
      <x:c r="L2186" s="22" t="str">
        <x:v>建制镇范围</x:v>
      </x:c>
      <x:c r="M2186" s="33" t="n">
        <x:v>122459.83</x:v>
      </x:c>
      <x:c r="N2186" s="33" t="n">
        <x:v>12.245983</x:v>
      </x:c>
      <x:c r="O2186" s="22" t="str">
        <x:v>公顷</x:v>
      </x:c>
      <x:c r="P2186" s="22" t="str">
        <x:v>未提供（单期横截面）</x:v>
      </x:c>
      <x:c r="Q2186" s="23" t="n">
        <x:v>5165</x:v>
      </x:c>
    </x:row>
    <x:row r="2187">
      <x:c r="A2187" s="30" t="n">
        <x:v>350600</x:v>
      </x:c>
      <x:c r="B2187" s="22" t="str">
        <x:v>漳州市</x:v>
      </x:c>
      <x:c r="C2187" s="31" t="n">
        <x:v>350622</x:v>
      </x:c>
      <x:c r="D2187" s="22" t="str">
        <x:v>云霄县</x:v>
      </x:c>
      <x:c r="E2187" s="22" t="str">
        <x:v>建设用地</x:v>
      </x:c>
      <x:c r="F2187" s="22" t="str">
        <x:v>特殊用地</x:v>
      </x:c>
      <x:c r="G2187" s="32" t="str">
        <x:v>9</x:v>
      </x:c>
      <x:c r="H2187" s="32" t="str">
        <x:v>9</x:v>
      </x:c>
      <x:c r="I2187" s="22" t="str">
        <x:v>特殊用地</x:v>
      </x:c>
      <x:c r="J2187" s="22" t="str">
        <x:v>其他建设</x:v>
      </x:c>
      <x:c r="K2187" s="32" t="str">
        <x:v>202</x:v>
      </x:c>
      <x:c r="L2187" s="22" t="str">
        <x:v>建制镇范围</x:v>
      </x:c>
      <x:c r="M2187" s="33" t="n">
        <x:v>66692.76</x:v>
      </x:c>
      <x:c r="N2187" s="33" t="n">
        <x:v>6.669275999999999</x:v>
      </x:c>
      <x:c r="O2187" s="22" t="str">
        <x:v>公顷</x:v>
      </x:c>
      <x:c r="P2187" s="22" t="str">
        <x:v>未提供（单期横截面）</x:v>
      </x:c>
      <x:c r="Q2187" s="23" t="n">
        <x:v>5166</x:v>
      </x:c>
    </x:row>
    <x:row r="2188">
      <x:c r="A2188" s="30" t="n">
        <x:v>350600</x:v>
      </x:c>
      <x:c r="B2188" s="22" t="str">
        <x:v>漳州市</x:v>
      </x:c>
      <x:c r="C2188" s="31" t="n">
        <x:v>350622</x:v>
      </x:c>
      <x:c r="D2188" s="22" t="str">
        <x:v>云霄县</x:v>
      </x:c>
      <x:c r="E2188" s="22" t="str">
        <x:v>建设用地</x:v>
      </x:c>
      <x:c r="F2188" s="22" t="str">
        <x:v>交通运输用地</x:v>
      </x:c>
      <x:c r="G2188" s="32" t="str">
        <x:v>1004</x:v>
      </x:c>
      <x:c r="H2188" s="32" t="str">
        <x:v>1004</x:v>
      </x:c>
      <x:c r="I2188" s="22" t="str">
        <x:v>城镇村道路用地</x:v>
      </x:c>
      <x:c r="J2188" s="22" t="str">
        <x:v>交通门户</x:v>
      </x:c>
      <x:c r="K2188" s="32" t="str">
        <x:v>202</x:v>
      </x:c>
      <x:c r="L2188" s="22" t="str">
        <x:v>建制镇范围</x:v>
      </x:c>
      <x:c r="M2188" s="33" t="n">
        <x:v>2307786.9</x:v>
      </x:c>
      <x:c r="N2188" s="33" t="n">
        <x:v>230.77868999999998</x:v>
      </x:c>
      <x:c r="O2188" s="22" t="str">
        <x:v>公顷</x:v>
      </x:c>
      <x:c r="P2188" s="22" t="str">
        <x:v>未提供（单期横截面）</x:v>
      </x:c>
      <x:c r="Q2188" s="23" t="n">
        <x:v>5167</x:v>
      </x:c>
    </x:row>
    <x:row r="2189">
      <x:c r="A2189" s="30" t="n">
        <x:v>350600</x:v>
      </x:c>
      <x:c r="B2189" s="22" t="str">
        <x:v>漳州市</x:v>
      </x:c>
      <x:c r="C2189" s="31" t="n">
        <x:v>350622</x:v>
      </x:c>
      <x:c r="D2189" s="22" t="str">
        <x:v>云霄县</x:v>
      </x:c>
      <x:c r="E2189" s="22" t="str">
        <x:v>建设用地</x:v>
      </x:c>
      <x:c r="F2189" s="22" t="str">
        <x:v>交通运输用地</x:v>
      </x:c>
      <x:c r="G2189" s="32" t="str">
        <x:v>1005</x:v>
      </x:c>
      <x:c r="H2189" s="32" t="str">
        <x:v>1005</x:v>
      </x:c>
      <x:c r="I2189" s="22" t="str">
        <x:v>交通服务场站用地</x:v>
      </x:c>
      <x:c r="J2189" s="22" t="str">
        <x:v>交通门户</x:v>
      </x:c>
      <x:c r="K2189" s="32" t="str">
        <x:v>202</x:v>
      </x:c>
      <x:c r="L2189" s="22" t="str">
        <x:v>建制镇范围</x:v>
      </x:c>
      <x:c r="M2189" s="33" t="n">
        <x:v>265139.44</x:v>
      </x:c>
      <x:c r="N2189" s="33" t="n">
        <x:v>26.513944</x:v>
      </x:c>
      <x:c r="O2189" s="22" t="str">
        <x:v>公顷</x:v>
      </x:c>
      <x:c r="P2189" s="22" t="str">
        <x:v>未提供（单期横截面）</x:v>
      </x:c>
      <x:c r="Q2189" s="23" t="n">
        <x:v>5168</x:v>
      </x:c>
    </x:row>
    <x:row r="2190">
      <x:c r="A2190" s="30" t="n">
        <x:v>350600</x:v>
      </x:c>
      <x:c r="B2190" s="22" t="str">
        <x:v>漳州市</x:v>
      </x:c>
      <x:c r="C2190" s="31" t="n">
        <x:v>350622</x:v>
      </x:c>
      <x:c r="D2190" s="22" t="str">
        <x:v>云霄县</x:v>
      </x:c>
      <x:c r="E2190" s="22" t="str">
        <x:v>建设用地</x:v>
      </x:c>
      <x:c r="F2190" s="22" t="str">
        <x:v>其他建设用地</x:v>
      </x:c>
      <x:c r="G2190" s="32" t="str">
        <x:v>1201</x:v>
      </x:c>
      <x:c r="H2190" s="32" t="str">
        <x:v>1201</x:v>
      </x:c>
      <x:c r="I2190" s="22" t="str">
        <x:v>空闲地</x:v>
      </x:c>
      <x:c r="J2190" s="22" t="str">
        <x:v>其他建设</x:v>
      </x:c>
      <x:c r="K2190" s="32" t="str">
        <x:v>202</x:v>
      </x:c>
      <x:c r="L2190" s="22" t="str">
        <x:v>建制镇范围</x:v>
      </x:c>
      <x:c r="M2190" s="33" t="n">
        <x:v>38949.509999999995</x:v>
      </x:c>
      <x:c r="N2190" s="33" t="n">
        <x:v>3.8949509999999994</x:v>
      </x:c>
      <x:c r="O2190" s="22" t="str">
        <x:v>公顷</x:v>
      </x:c>
      <x:c r="P2190" s="22" t="str">
        <x:v>未提供（单期横截面）</x:v>
      </x:c>
      <x:c r="Q2190" s="23" t="n">
        <x:v>5169</x:v>
      </x:c>
    </x:row>
    <x:row r="2191">
      <x:c r="A2191" s="30" t="n">
        <x:v>350600</x:v>
      </x:c>
      <x:c r="B2191" s="22" t="str">
        <x:v>漳州市</x:v>
      </x:c>
      <x:c r="C2191" s="31" t="n">
        <x:v>350622</x:v>
      </x:c>
      <x:c r="D2191" s="22" t="str">
        <x:v>云霄县</x:v>
      </x:c>
      <x:c r="E2191" s="22" t="str">
        <x:v>建设用地</x:v>
      </x:c>
      <x:c r="F2191" s="22" t="str">
        <x:v>工矿仓储用地</x:v>
      </x:c>
      <x:c r="G2191" s="32" t="str">
        <x:v>601</x:v>
      </x:c>
      <x:c r="H2191" s="32" t="str">
        <x:v>601</x:v>
      </x:c>
      <x:c r="I2191" s="22" t="str">
        <x:v>工业用地</x:v>
      </x:c>
      <x:c r="J2191" s="22" t="str">
        <x:v>产业功能</x:v>
      </x:c>
      <x:c r="K2191" s="32" t="str">
        <x:v>202A</x:v>
      </x:c>
      <x:c r="L2191" s="22" t="str">
        <x:v>建制镇独立工业用地</x:v>
      </x:c>
      <x:c r="M2191" s="33" t="n">
        <x:v>610733.58</x:v>
      </x:c>
      <x:c r="N2191" s="33" t="n">
        <x:v>61.073358</x:v>
      </x:c>
      <x:c r="O2191" s="22" t="str">
        <x:v>公顷</x:v>
      </x:c>
      <x:c r="P2191" s="22" t="str">
        <x:v>未提供（单期横截面）</x:v>
      </x:c>
      <x:c r="Q2191" s="23" t="n">
        <x:v>5170</x:v>
      </x:c>
    </x:row>
    <x:row r="2192">
      <x:c r="A2192" s="30" t="n">
        <x:v>350600</x:v>
      </x:c>
      <x:c r="B2192" s="22" t="str">
        <x:v>漳州市</x:v>
      </x:c>
      <x:c r="C2192" s="31" t="n">
        <x:v>350622</x:v>
      </x:c>
      <x:c r="D2192" s="22" t="str">
        <x:v>云霄县</x:v>
      </x:c>
      <x:c r="E2192" s="22" t="str">
        <x:v>建设用地</x:v>
      </x:c>
      <x:c r="F2192" s="22" t="str">
        <x:v>工矿仓储用地</x:v>
      </x:c>
      <x:c r="G2192" s="32" t="str">
        <x:v>508</x:v>
      </x:c>
      <x:c r="H2192" s="32" t="str">
        <x:v>508</x:v>
      </x:c>
      <x:c r="I2192" s="22" t="str">
        <x:v>物流仓储用地</x:v>
      </x:c>
      <x:c r="J2192" s="22" t="str">
        <x:v>产业功能</x:v>
      </x:c>
      <x:c r="K2192" s="32" t="str">
        <x:v>203</x:v>
      </x:c>
      <x:c r="L2192" s="22" t="str">
        <x:v>村庄范围</x:v>
      </x:c>
      <x:c r="M2192" s="33" t="n">
        <x:v>114297.20000000003</x:v>
      </x:c>
      <x:c r="N2192" s="33" t="n">
        <x:v>11.429720000000003</x:v>
      </x:c>
      <x:c r="O2192" s="22" t="str">
        <x:v>公顷</x:v>
      </x:c>
      <x:c r="P2192" s="22" t="str">
        <x:v>未提供（单期横截面）</x:v>
      </x:c>
      <x:c r="Q2192" s="23" t="n">
        <x:v>5171</x:v>
      </x:c>
    </x:row>
    <x:row r="2193">
      <x:c r="A2193" s="30" t="n">
        <x:v>350600</x:v>
      </x:c>
      <x:c r="B2193" s="22" t="str">
        <x:v>漳州市</x:v>
      </x:c>
      <x:c r="C2193" s="31" t="n">
        <x:v>350622</x:v>
      </x:c>
      <x:c r="D2193" s="22" t="str">
        <x:v>云霄县</x:v>
      </x:c>
      <x:c r="E2193" s="22" t="str">
        <x:v>建设用地</x:v>
      </x:c>
      <x:c r="F2193" s="22" t="str">
        <x:v>商业服务业用地</x:v>
      </x:c>
      <x:c r="G2193" s="32" t="str">
        <x:v>05H1</x:v>
      </x:c>
      <x:c r="H2193" s="32" t="str">
        <x:v>05H1</x:v>
      </x:c>
      <x:c r="I2193" s="22" t="str">
        <x:v>商业服务业设施用地</x:v>
      </x:c>
      <x:c r="J2193" s="22" t="str">
        <x:v>商业服务</x:v>
      </x:c>
      <x:c r="K2193" s="32" t="str">
        <x:v>203</x:v>
      </x:c>
      <x:c r="L2193" s="22" t="str">
        <x:v>村庄范围</x:v>
      </x:c>
      <x:c r="M2193" s="33" t="n">
        <x:v>468863.9100000003</x:v>
      </x:c>
      <x:c r="N2193" s="33" t="n">
        <x:v>46.88639100000003</x:v>
      </x:c>
      <x:c r="O2193" s="22" t="str">
        <x:v>公顷</x:v>
      </x:c>
      <x:c r="P2193" s="22" t="str">
        <x:v>未提供（单期横截面）</x:v>
      </x:c>
      <x:c r="Q2193" s="23" t="n">
        <x:v>5172</x:v>
      </x:c>
    </x:row>
    <x:row r="2194">
      <x:c r="A2194" s="30" t="n">
        <x:v>350600</x:v>
      </x:c>
      <x:c r="B2194" s="22" t="str">
        <x:v>漳州市</x:v>
      </x:c>
      <x:c r="C2194" s="31" t="n">
        <x:v>350622</x:v>
      </x:c>
      <x:c r="D2194" s="22" t="str">
        <x:v>云霄县</x:v>
      </x:c>
      <x:c r="E2194" s="22" t="str">
        <x:v>建设用地</x:v>
      </x:c>
      <x:c r="F2194" s="22" t="str">
        <x:v>工矿仓储用地</x:v>
      </x:c>
      <x:c r="G2194" s="32" t="str">
        <x:v>601</x:v>
      </x:c>
      <x:c r="H2194" s="32" t="str">
        <x:v>601</x:v>
      </x:c>
      <x:c r="I2194" s="22" t="str">
        <x:v>工业用地</x:v>
      </x:c>
      <x:c r="J2194" s="22" t="str">
        <x:v>产业功能</x:v>
      </x:c>
      <x:c r="K2194" s="32" t="str">
        <x:v>203</x:v>
      </x:c>
      <x:c r="L2194" s="22" t="str">
        <x:v>村庄范围</x:v>
      </x:c>
      <x:c r="M2194" s="33" t="n">
        <x:v>1138778.5399999998</x:v>
      </x:c>
      <x:c r="N2194" s="33" t="n">
        <x:v>113.87785399999999</x:v>
      </x:c>
      <x:c r="O2194" s="22" t="str">
        <x:v>公顷</x:v>
      </x:c>
      <x:c r="P2194" s="22" t="str">
        <x:v>未提供（单期横截面）</x:v>
      </x:c>
      <x:c r="Q2194" s="23" t="n">
        <x:v>5173</x:v>
      </x:c>
    </x:row>
    <x:row r="2195">
      <x:c r="A2195" s="30" t="n">
        <x:v>350600</x:v>
      </x:c>
      <x:c r="B2195" s="22" t="str">
        <x:v>漳州市</x:v>
      </x:c>
      <x:c r="C2195" s="31" t="n">
        <x:v>350622</x:v>
      </x:c>
      <x:c r="D2195" s="22" t="str">
        <x:v>云霄县</x:v>
      </x:c>
      <x:c r="E2195" s="22" t="str">
        <x:v>建设用地</x:v>
      </x:c>
      <x:c r="F2195" s="22" t="str">
        <x:v>工矿仓储用地</x:v>
      </x:c>
      <x:c r="G2195" s="32" t="str">
        <x:v>602</x:v>
      </x:c>
      <x:c r="H2195" s="32" t="str">
        <x:v>602</x:v>
      </x:c>
      <x:c r="I2195" s="22" t="str">
        <x:v>采矿用地</x:v>
      </x:c>
      <x:c r="J2195" s="22" t="str">
        <x:v>产业功能</x:v>
      </x:c>
      <x:c r="K2195" s="32" t="str">
        <x:v>203</x:v>
      </x:c>
      <x:c r="L2195" s="22" t="str">
        <x:v>村庄范围</x:v>
      </x:c>
      <x:c r="M2195" s="33" t="n">
        <x:v>2820.8</x:v>
      </x:c>
      <x:c r="N2195" s="33" t="n">
        <x:v>0.28208</x:v>
      </x:c>
      <x:c r="O2195" s="22" t="str">
        <x:v>公顷</x:v>
      </x:c>
      <x:c r="P2195" s="22" t="str">
        <x:v>未提供（单期横截面）</x:v>
      </x:c>
      <x:c r="Q2195" s="23" t="n">
        <x:v>5174</x:v>
      </x:c>
    </x:row>
    <x:row r="2196">
      <x:c r="A2196" s="30" t="n">
        <x:v>350600</x:v>
      </x:c>
      <x:c r="B2196" s="22" t="str">
        <x:v>漳州市</x:v>
      </x:c>
      <x:c r="C2196" s="31" t="n">
        <x:v>350622</x:v>
      </x:c>
      <x:c r="D2196" s="22" t="str">
        <x:v>云霄县</x:v>
      </x:c>
      <x:c r="E2196" s="22" t="str">
        <x:v>建设用地</x:v>
      </x:c>
      <x:c r="F2196" s="22" t="str">
        <x:v>居住用地</x:v>
      </x:c>
      <x:c r="G2196" s="32" t="str">
        <x:v>701</x:v>
      </x:c>
      <x:c r="H2196" s="32" t="str">
        <x:v>701</x:v>
      </x:c>
      <x:c r="I2196" s="22" t="str">
        <x:v>城镇住宅用地</x:v>
      </x:c>
      <x:c r="J2196" s="22" t="str">
        <x:v>居住功能</x:v>
      </x:c>
      <x:c r="K2196" s="32" t="str">
        <x:v>203</x:v>
      </x:c>
      <x:c r="L2196" s="22" t="str">
        <x:v>村庄范围</x:v>
      </x:c>
      <x:c r="M2196" s="33" t="n">
        <x:v>257946.26</x:v>
      </x:c>
      <x:c r="N2196" s="33" t="n">
        <x:v>25.794626</x:v>
      </x:c>
      <x:c r="O2196" s="22" t="str">
        <x:v>公顷</x:v>
      </x:c>
      <x:c r="P2196" s="22" t="str">
        <x:v>未提供（单期横截面）</x:v>
      </x:c>
      <x:c r="Q2196" s="23" t="n">
        <x:v>5175</x:v>
      </x:c>
    </x:row>
    <x:row r="2197">
      <x:c r="A2197" s="30" t="n">
        <x:v>350600</x:v>
      </x:c>
      <x:c r="B2197" s="22" t="str">
        <x:v>漳州市</x:v>
      </x:c>
      <x:c r="C2197" s="31" t="n">
        <x:v>350622</x:v>
      </x:c>
      <x:c r="D2197" s="22" t="str">
        <x:v>云霄县</x:v>
      </x:c>
      <x:c r="E2197" s="22" t="str">
        <x:v>建设用地</x:v>
      </x:c>
      <x:c r="F2197" s="22" t="str">
        <x:v>居住用地</x:v>
      </x:c>
      <x:c r="G2197" s="32" t="str">
        <x:v>702</x:v>
      </x:c>
      <x:c r="H2197" s="32" t="str">
        <x:v>702</x:v>
      </x:c>
      <x:c r="I2197" s="22" t="str">
        <x:v>农村宅基地</x:v>
      </x:c>
      <x:c r="J2197" s="22" t="str">
        <x:v>居住功能</x:v>
      </x:c>
      <x:c r="K2197" s="32" t="str">
        <x:v>203</x:v>
      </x:c>
      <x:c r="L2197" s="22" t="str">
        <x:v>村庄范围</x:v>
      </x:c>
      <x:c r="M2197" s="33" t="n">
        <x:v>19817006.180000015</x:v>
      </x:c>
      <x:c r="N2197" s="33" t="n">
        <x:v>1981.7006180000014</x:v>
      </x:c>
      <x:c r="O2197" s="22" t="str">
        <x:v>公顷</x:v>
      </x:c>
      <x:c r="P2197" s="22" t="str">
        <x:v>未提供（单期横截面）</x:v>
      </x:c>
      <x:c r="Q2197" s="23" t="n">
        <x:v>5176</x:v>
      </x:c>
    </x:row>
    <x:row r="2198">
      <x:c r="A2198" s="30" t="n">
        <x:v>350600</x:v>
      </x:c>
      <x:c r="B2198" s="22" t="str">
        <x:v>漳州市</x:v>
      </x:c>
      <x:c r="C2198" s="31" t="n">
        <x:v>350622</x:v>
      </x:c>
      <x:c r="D2198" s="22" t="str">
        <x:v>云霄县</x:v>
      </x:c>
      <x:c r="E2198" s="22" t="str">
        <x:v>建设用地</x:v>
      </x:c>
      <x:c r="F2198" s="22" t="str">
        <x:v>公用设施用地</x:v>
      </x:c>
      <x:c r="G2198" s="32" t="str">
        <x:v>809</x:v>
      </x:c>
      <x:c r="H2198" s="32" t="str">
        <x:v>809</x:v>
      </x:c>
      <x:c r="I2198" s="22" t="str">
        <x:v>公用设施用地</x:v>
      </x:c>
      <x:c r="J2198" s="22" t="str">
        <x:v>其他建设</x:v>
      </x:c>
      <x:c r="K2198" s="32" t="str">
        <x:v>203</x:v>
      </x:c>
      <x:c r="L2198" s="22" t="str">
        <x:v>村庄范围</x:v>
      </x:c>
      <x:c r="M2198" s="33" t="n">
        <x:v>293422.72</x:v>
      </x:c>
      <x:c r="N2198" s="33" t="n">
        <x:v>29.342271999999998</x:v>
      </x:c>
      <x:c r="O2198" s="22" t="str">
        <x:v>公顷</x:v>
      </x:c>
      <x:c r="P2198" s="22" t="str">
        <x:v>未提供（单期横截面）</x:v>
      </x:c>
      <x:c r="Q2198" s="23" t="n">
        <x:v>5177</x:v>
      </x:c>
    </x:row>
    <x:row r="2199">
      <x:c r="A2199" s="30" t="n">
        <x:v>350600</x:v>
      </x:c>
      <x:c r="B2199" s="22" t="str">
        <x:v>漳州市</x:v>
      </x:c>
      <x:c r="C2199" s="31" t="n">
        <x:v>350622</x:v>
      </x:c>
      <x:c r="D2199" s="22" t="str">
        <x:v>云霄县</x:v>
      </x:c>
      <x:c r="E2199" s="22" t="str">
        <x:v>建设用地</x:v>
      </x:c>
      <x:c r="F2199" s="22" t="str">
        <x:v>绿地与广场用地</x:v>
      </x:c>
      <x:c r="G2199" s="32" t="str">
        <x:v>810</x:v>
      </x:c>
      <x:c r="H2199" s="32" t="str">
        <x:v>810</x:v>
      </x:c>
      <x:c r="I2199" s="22" t="str">
        <x:v>公园与绿地</x:v>
      </x:c>
      <x:c r="J2199" s="22" t="str">
        <x:v>公共空间</x:v>
      </x:c>
      <x:c r="K2199" s="32" t="str">
        <x:v>203</x:v>
      </x:c>
      <x:c r="L2199" s="22" t="str">
        <x:v>村庄范围</x:v>
      </x:c>
      <x:c r="M2199" s="33" t="n">
        <x:v>16003.839999999997</x:v>
      </x:c>
      <x:c r="N2199" s="33" t="n">
        <x:v>1.6003839999999996</x:v>
      </x:c>
      <x:c r="O2199" s="22" t="str">
        <x:v>公顷</x:v>
      </x:c>
      <x:c r="P2199" s="22" t="str">
        <x:v>未提供（单期横截面）</x:v>
      </x:c>
      <x:c r="Q2199" s="23" t="n">
        <x:v>5178</x:v>
      </x:c>
    </x:row>
    <x:row r="2200">
      <x:c r="A2200" s="30" t="n">
        <x:v>350600</x:v>
      </x:c>
      <x:c r="B2200" s="22" t="str">
        <x:v>漳州市</x:v>
      </x:c>
      <x:c r="C2200" s="31" t="n">
        <x:v>350622</x:v>
      </x:c>
      <x:c r="D2200" s="22" t="str">
        <x:v>云霄县</x:v>
      </x:c>
      <x:c r="E2200" s="22" t="str">
        <x:v>建设用地</x:v>
      </x:c>
      <x:c r="F2200" s="22" t="str">
        <x:v>绿地与广场用地</x:v>
      </x:c>
      <x:c r="G2200" s="32" t="str">
        <x:v>0810A</x:v>
      </x:c>
      <x:c r="H2200" s="32" t="str">
        <x:v>0810</x:v>
      </x:c>
      <x:c r="I2200" s="22" t="str">
        <x:v>广场用地</x:v>
      </x:c>
      <x:c r="J2200" s="22" t="str">
        <x:v>公共空间</x:v>
      </x:c>
      <x:c r="K2200" s="32" t="str">
        <x:v>203</x:v>
      </x:c>
      <x:c r="L2200" s="22" t="str">
        <x:v>村庄范围</x:v>
      </x:c>
      <x:c r="M2200" s="33" t="n">
        <x:v>30144.08</x:v>
      </x:c>
      <x:c r="N2200" s="33" t="n">
        <x:v>3.014408</x:v>
      </x:c>
      <x:c r="O2200" s="22" t="str">
        <x:v>公顷</x:v>
      </x:c>
      <x:c r="P2200" s="22" t="str">
        <x:v>未提供（单期横截面）</x:v>
      </x:c>
      <x:c r="Q2200" s="23" t="n">
        <x:v>5179</x:v>
      </x:c>
    </x:row>
    <x:row r="2201">
      <x:c r="A2201" s="30" t="n">
        <x:v>350600</x:v>
      </x:c>
      <x:c r="B2201" s="22" t="str">
        <x:v>漳州市</x:v>
      </x:c>
      <x:c r="C2201" s="31" t="n">
        <x:v>350622</x:v>
      </x:c>
      <x:c r="D2201" s="22" t="str">
        <x:v>云霄县</x:v>
      </x:c>
      <x:c r="E2201" s="22" t="str">
        <x:v>建设用地</x:v>
      </x:c>
      <x:c r="F2201" s="22" t="str">
        <x:v>公共管理与公共服务用地</x:v>
      </x:c>
      <x:c r="G2201" s="32" t="str">
        <x:v>08H1</x:v>
      </x:c>
      <x:c r="H2201" s="32" t="str">
        <x:v>08H1</x:v>
      </x:c>
      <x:c r="I2201" s="22" t="str">
        <x:v>机关团体新闻出版用地</x:v>
      </x:c>
      <x:c r="J2201" s="22" t="str">
        <x:v>公共服务</x:v>
      </x:c>
      <x:c r="K2201" s="32" t="str">
        <x:v>203</x:v>
      </x:c>
      <x:c r="L2201" s="22" t="str">
        <x:v>村庄范围</x:v>
      </x:c>
      <x:c r="M2201" s="33" t="n">
        <x:v>290447.9000000001</x:v>
      </x:c>
      <x:c r="N2201" s="33" t="n">
        <x:v>29.04479000000001</x:v>
      </x:c>
      <x:c r="O2201" s="22" t="str">
        <x:v>公顷</x:v>
      </x:c>
      <x:c r="P2201" s="22" t="str">
        <x:v>未提供（单期横截面）</x:v>
      </x:c>
      <x:c r="Q2201" s="23" t="n">
        <x:v>5180</x:v>
      </x:c>
    </x:row>
    <x:row r="2202">
      <x:c r="A2202" s="30" t="n">
        <x:v>350600</x:v>
      </x:c>
      <x:c r="B2202" s="22" t="str">
        <x:v>漳州市</x:v>
      </x:c>
      <x:c r="C2202" s="31" t="n">
        <x:v>350622</x:v>
      </x:c>
      <x:c r="D2202" s="22" t="str">
        <x:v>云霄县</x:v>
      </x:c>
      <x:c r="E2202" s="22" t="str">
        <x:v>建设用地</x:v>
      </x:c>
      <x:c r="F2202" s="22" t="str">
        <x:v>公共管理与公共服务用地</x:v>
      </x:c>
      <x:c r="G2202" s="32" t="str">
        <x:v>08H2</x:v>
      </x:c>
      <x:c r="H2202" s="32" t="str">
        <x:v>08H2</x:v>
      </x:c>
      <x:c r="I2202" s="22" t="str">
        <x:v>科教文卫用地</x:v>
      </x:c>
      <x:c r="J2202" s="22" t="str">
        <x:v>公共服务</x:v>
      </x:c>
      <x:c r="K2202" s="32" t="str">
        <x:v>203</x:v>
      </x:c>
      <x:c r="L2202" s="22" t="str">
        <x:v>村庄范围</x:v>
      </x:c>
      <x:c r="M2202" s="33" t="n">
        <x:v>835214.2300000004</x:v>
      </x:c>
      <x:c r="N2202" s="33" t="n">
        <x:v>83.52142300000004</x:v>
      </x:c>
      <x:c r="O2202" s="22" t="str">
        <x:v>公顷</x:v>
      </x:c>
      <x:c r="P2202" s="22" t="str">
        <x:v>未提供（单期横截面）</x:v>
      </x:c>
      <x:c r="Q2202" s="23" t="n">
        <x:v>5181</x:v>
      </x:c>
    </x:row>
    <x:row r="2203">
      <x:c r="A2203" s="30" t="n">
        <x:v>350600</x:v>
      </x:c>
      <x:c r="B2203" s="22" t="str">
        <x:v>漳州市</x:v>
      </x:c>
      <x:c r="C2203" s="31" t="n">
        <x:v>350622</x:v>
      </x:c>
      <x:c r="D2203" s="22" t="str">
        <x:v>云霄县</x:v>
      </x:c>
      <x:c r="E2203" s="22" t="str">
        <x:v>建设用地</x:v>
      </x:c>
      <x:c r="F2203" s="22" t="str">
        <x:v>特殊用地</x:v>
      </x:c>
      <x:c r="G2203" s="32" t="str">
        <x:v>9</x:v>
      </x:c>
      <x:c r="H2203" s="32" t="str">
        <x:v>9</x:v>
      </x:c>
      <x:c r="I2203" s="22" t="str">
        <x:v>特殊用地</x:v>
      </x:c>
      <x:c r="J2203" s="22" t="str">
        <x:v>其他建设</x:v>
      </x:c>
      <x:c r="K2203" s="32" t="str">
        <x:v>203</x:v>
      </x:c>
      <x:c r="L2203" s="22" t="str">
        <x:v>村庄范围</x:v>
      </x:c>
      <x:c r="M2203" s="33" t="n">
        <x:v>84991.24</x:v>
      </x:c>
      <x:c r="N2203" s="33" t="n">
        <x:v>8.499124</x:v>
      </x:c>
      <x:c r="O2203" s="22" t="str">
        <x:v>公顷</x:v>
      </x:c>
      <x:c r="P2203" s="22" t="str">
        <x:v>未提供（单期横截面）</x:v>
      </x:c>
      <x:c r="Q2203" s="23" t="n">
        <x:v>5182</x:v>
      </x:c>
    </x:row>
    <x:row r="2204">
      <x:c r="A2204" s="30" t="n">
        <x:v>350600</x:v>
      </x:c>
      <x:c r="B2204" s="22" t="str">
        <x:v>漳州市</x:v>
      </x:c>
      <x:c r="C2204" s="31" t="n">
        <x:v>350622</x:v>
      </x:c>
      <x:c r="D2204" s="22" t="str">
        <x:v>云霄县</x:v>
      </x:c>
      <x:c r="E2204" s="22" t="str">
        <x:v>建设用地</x:v>
      </x:c>
      <x:c r="F2204" s="22" t="str">
        <x:v>交通运输用地</x:v>
      </x:c>
      <x:c r="G2204" s="32" t="str">
        <x:v>1004</x:v>
      </x:c>
      <x:c r="H2204" s="32" t="str">
        <x:v>1004</x:v>
      </x:c>
      <x:c r="I2204" s="22" t="str">
        <x:v>城镇村道路用地</x:v>
      </x:c>
      <x:c r="J2204" s="22" t="str">
        <x:v>交通门户</x:v>
      </x:c>
      <x:c r="K2204" s="32" t="str">
        <x:v>203</x:v>
      </x:c>
      <x:c r="L2204" s="22" t="str">
        <x:v>村庄范围</x:v>
      </x:c>
      <x:c r="M2204" s="33" t="n">
        <x:v>883766.8799999995</x:v>
      </x:c>
      <x:c r="N2204" s="33" t="n">
        <x:v>88.37668799999996</x:v>
      </x:c>
      <x:c r="O2204" s="22" t="str">
        <x:v>公顷</x:v>
      </x:c>
      <x:c r="P2204" s="22" t="str">
        <x:v>未提供（单期横截面）</x:v>
      </x:c>
      <x:c r="Q2204" s="23" t="n">
        <x:v>5183</x:v>
      </x:c>
    </x:row>
    <x:row r="2205">
      <x:c r="A2205" s="30" t="n">
        <x:v>350600</x:v>
      </x:c>
      <x:c r="B2205" s="22" t="str">
        <x:v>漳州市</x:v>
      </x:c>
      <x:c r="C2205" s="31" t="n">
        <x:v>350622</x:v>
      </x:c>
      <x:c r="D2205" s="22" t="str">
        <x:v>云霄县</x:v>
      </x:c>
      <x:c r="E2205" s="22" t="str">
        <x:v>建设用地</x:v>
      </x:c>
      <x:c r="F2205" s="22" t="str">
        <x:v>交通运输用地</x:v>
      </x:c>
      <x:c r="G2205" s="32" t="str">
        <x:v>1005</x:v>
      </x:c>
      <x:c r="H2205" s="32" t="str">
        <x:v>1005</x:v>
      </x:c>
      <x:c r="I2205" s="22" t="str">
        <x:v>交通服务场站用地</x:v>
      </x:c>
      <x:c r="J2205" s="22" t="str">
        <x:v>交通门户</x:v>
      </x:c>
      <x:c r="K2205" s="32" t="str">
        <x:v>203</x:v>
      </x:c>
      <x:c r="L2205" s="22" t="str">
        <x:v>村庄范围</x:v>
      </x:c>
      <x:c r="M2205" s="33" t="n">
        <x:v>207193.16999999987</x:v>
      </x:c>
      <x:c r="N2205" s="33" t="n">
        <x:v>20.719316999999986</x:v>
      </x:c>
      <x:c r="O2205" s="22" t="str">
        <x:v>公顷</x:v>
      </x:c>
      <x:c r="P2205" s="22" t="str">
        <x:v>未提供（单期横截面）</x:v>
      </x:c>
      <x:c r="Q2205" s="23" t="n">
        <x:v>5184</x:v>
      </x:c>
    </x:row>
    <x:row r="2206">
      <x:c r="A2206" s="30" t="n">
        <x:v>350600</x:v>
      </x:c>
      <x:c r="B2206" s="22" t="str">
        <x:v>漳州市</x:v>
      </x:c>
      <x:c r="C2206" s="31" t="n">
        <x:v>350622</x:v>
      </x:c>
      <x:c r="D2206" s="22" t="str">
        <x:v>云霄县</x:v>
      </x:c>
      <x:c r="E2206" s="22" t="str">
        <x:v>建设用地</x:v>
      </x:c>
      <x:c r="F2206" s="22" t="str">
        <x:v>交通运输用地</x:v>
      </x:c>
      <x:c r="G2206" s="32" t="str">
        <x:v>1009</x:v>
      </x:c>
      <x:c r="H2206" s="32" t="str">
        <x:v>1009</x:v>
      </x:c>
      <x:c r="I2206" s="22" t="str">
        <x:v>管道运输用地</x:v>
      </x:c>
      <x:c r="J2206" s="22" t="str">
        <x:v>交通门户</x:v>
      </x:c>
      <x:c r="K2206" s="32" t="str">
        <x:v>203</x:v>
      </x:c>
      <x:c r="L2206" s="22" t="str">
        <x:v>村庄范围</x:v>
      </x:c>
      <x:c r="M2206" s="33" t="n">
        <x:v>1096.61</x:v>
      </x:c>
      <x:c r="N2206" s="33" t="n">
        <x:v>0.109661</x:v>
      </x:c>
      <x:c r="O2206" s="22" t="str">
        <x:v>公顷</x:v>
      </x:c>
      <x:c r="P2206" s="22" t="str">
        <x:v>未提供（单期横截面）</x:v>
      </x:c>
      <x:c r="Q2206" s="23" t="n">
        <x:v>5185</x:v>
      </x:c>
    </x:row>
    <x:row r="2207">
      <x:c r="A2207" s="30" t="n">
        <x:v>350600</x:v>
      </x:c>
      <x:c r="B2207" s="22" t="str">
        <x:v>漳州市</x:v>
      </x:c>
      <x:c r="C2207" s="31" t="n">
        <x:v>350622</x:v>
      </x:c>
      <x:c r="D2207" s="22" t="str">
        <x:v>云霄县</x:v>
      </x:c>
      <x:c r="E2207" s="22" t="str">
        <x:v>建设用地</x:v>
      </x:c>
      <x:c r="F2207" s="22" t="str">
        <x:v>水域及水利设施</x:v>
      </x:c>
      <x:c r="G2207" s="32" t="str">
        <x:v>1109</x:v>
      </x:c>
      <x:c r="H2207" s="32" t="str">
        <x:v>1109</x:v>
      </x:c>
      <x:c r="I2207" s="22" t="str">
        <x:v>水工建筑用地</x:v>
      </x:c>
      <x:c r="J2207" s="22" t="str">
        <x:v>其他建设</x:v>
      </x:c>
      <x:c r="K2207" s="32" t="str">
        <x:v>203</x:v>
      </x:c>
      <x:c r="L2207" s="22" t="str">
        <x:v>村庄范围</x:v>
      </x:c>
      <x:c r="M2207" s="33" t="n">
        <x:v>219.24</x:v>
      </x:c>
      <x:c r="N2207" s="33" t="n">
        <x:v>0.021924000000000003</x:v>
      </x:c>
      <x:c r="O2207" s="22" t="str">
        <x:v>公顷</x:v>
      </x:c>
      <x:c r="P2207" s="22" t="str">
        <x:v>未提供（单期横截面）</x:v>
      </x:c>
      <x:c r="Q2207" s="23" t="n">
        <x:v>5186</x:v>
      </x:c>
    </x:row>
    <x:row r="2208">
      <x:c r="A2208" s="30" t="n">
        <x:v>350600</x:v>
      </x:c>
      <x:c r="B2208" s="22" t="str">
        <x:v>漳州市</x:v>
      </x:c>
      <x:c r="C2208" s="31" t="n">
        <x:v>350622</x:v>
      </x:c>
      <x:c r="D2208" s="22" t="str">
        <x:v>云霄县</x:v>
      </x:c>
      <x:c r="E2208" s="22" t="str">
        <x:v>建设用地</x:v>
      </x:c>
      <x:c r="F2208" s="22" t="str">
        <x:v>其他建设用地</x:v>
      </x:c>
      <x:c r="G2208" s="32" t="str">
        <x:v>1201</x:v>
      </x:c>
      <x:c r="H2208" s="32" t="str">
        <x:v>1201</x:v>
      </x:c>
      <x:c r="I2208" s="22" t="str">
        <x:v>空闲地</x:v>
      </x:c>
      <x:c r="J2208" s="22" t="str">
        <x:v>其他建设</x:v>
      </x:c>
      <x:c r="K2208" s="32" t="str">
        <x:v>203</x:v>
      </x:c>
      <x:c r="L2208" s="22" t="str">
        <x:v>村庄范围</x:v>
      </x:c>
      <x:c r="M2208" s="33" t="n">
        <x:v>3400.88</x:v>
      </x:c>
      <x:c r="N2208" s="33" t="n">
        <x:v>0.340088</x:v>
      </x:c>
      <x:c r="O2208" s="22" t="str">
        <x:v>公顷</x:v>
      </x:c>
      <x:c r="P2208" s="22" t="str">
        <x:v>未提供（单期横截面）</x:v>
      </x:c>
      <x:c r="Q2208" s="23" t="n">
        <x:v>5187</x:v>
      </x:c>
    </x:row>
    <x:row r="2209">
      <x:c r="A2209" s="30" t="n">
        <x:v>350600</x:v>
      </x:c>
      <x:c r="B2209" s="22" t="str">
        <x:v>漳州市</x:v>
      </x:c>
      <x:c r="C2209" s="31" t="n">
        <x:v>350622</x:v>
      </x:c>
      <x:c r="D2209" s="22" t="str">
        <x:v>云霄县</x:v>
      </x:c>
      <x:c r="E2209" s="22" t="str">
        <x:v>建设用地</x:v>
      </x:c>
      <x:c r="F2209" s="22" t="str">
        <x:v>工矿仓储用地</x:v>
      </x:c>
      <x:c r="G2209" s="32" t="str">
        <x:v>601</x:v>
      </x:c>
      <x:c r="H2209" s="32" t="str">
        <x:v>601</x:v>
      </x:c>
      <x:c r="I2209" s="22" t="str">
        <x:v>工业用地</x:v>
      </x:c>
      <x:c r="J2209" s="22" t="str">
        <x:v>产业功能</x:v>
      </x:c>
      <x:c r="K2209" s="32" t="str">
        <x:v>203A</x:v>
      </x:c>
      <x:c r="L2209" s="22" t="str">
        <x:v>村庄独立工业用地</x:v>
      </x:c>
      <x:c r="M2209" s="33" t="n">
        <x:v>618902.9999999998</x:v>
      </x:c>
      <x:c r="N2209" s="33" t="n">
        <x:v>61.890299999999975</x:v>
      </x:c>
      <x:c r="O2209" s="22" t="str">
        <x:v>公顷</x:v>
      </x:c>
      <x:c r="P2209" s="22" t="str">
        <x:v>未提供（单期横截面）</x:v>
      </x:c>
      <x:c r="Q2209" s="23" t="n">
        <x:v>5188</x:v>
      </x:c>
    </x:row>
    <x:row r="2210">
      <x:c r="A2210" s="30" t="n">
        <x:v>350600</x:v>
      </x:c>
      <x:c r="B2210" s="22" t="str">
        <x:v>漳州市</x:v>
      </x:c>
      <x:c r="C2210" s="31" t="n">
        <x:v>350622</x:v>
      </x:c>
      <x:c r="D2210" s="22" t="str">
        <x:v>云霄县</x:v>
      </x:c>
      <x:c r="E2210" s="22" t="str">
        <x:v>建设用地</x:v>
      </x:c>
      <x:c r="F2210" s="22" t="str">
        <x:v>工矿仓储用地</x:v>
      </x:c>
      <x:c r="G2210" s="32" t="str">
        <x:v>602</x:v>
      </x:c>
      <x:c r="H2210" s="32" t="str">
        <x:v>602</x:v>
      </x:c>
      <x:c r="I2210" s="22" t="str">
        <x:v>采矿用地</x:v>
      </x:c>
      <x:c r="J2210" s="22" t="str">
        <x:v>产业功能</x:v>
      </x:c>
      <x:c r="K2210" s="32" t="str">
        <x:v>204</x:v>
      </x:c>
      <x:c r="L2210" s="22" t="str">
        <x:v>盐田及采矿用地</x:v>
      </x:c>
      <x:c r="M2210" s="33" t="n">
        <x:v>2296186.0500000007</x:v>
      </x:c>
      <x:c r="N2210" s="33" t="n">
        <x:v>229.6186050000001</x:v>
      </x:c>
      <x:c r="O2210" s="22" t="str">
        <x:v>公顷</x:v>
      </x:c>
      <x:c r="P2210" s="22" t="str">
        <x:v>未提供（单期横截面）</x:v>
      </x:c>
      <x:c r="Q2210" s="23" t="n">
        <x:v>5189</x:v>
      </x:c>
    </x:row>
    <x:row r="2211">
      <x:c r="A2211" s="30" t="n">
        <x:v>350600</x:v>
      </x:c>
      <x:c r="B2211" s="22" t="str">
        <x:v>漳州市</x:v>
      </x:c>
      <x:c r="C2211" s="31" t="n">
        <x:v>350622</x:v>
      </x:c>
      <x:c r="D2211" s="22" t="str">
        <x:v>云霄县</x:v>
      </x:c>
      <x:c r="E2211" s="22" t="str">
        <x:v>建设用地</x:v>
      </x:c>
      <x:c r="F2211" s="22" t="str">
        <x:v>特殊用地</x:v>
      </x:c>
      <x:c r="G2211" s="32" t="str">
        <x:v>9</x:v>
      </x:c>
      <x:c r="H2211" s="32" t="str">
        <x:v>9</x:v>
      </x:c>
      <x:c r="I2211" s="22" t="str">
        <x:v>特殊用地</x:v>
      </x:c>
      <x:c r="J2211" s="22" t="str">
        <x:v>其他建设</x:v>
      </x:c>
      <x:c r="K2211" s="32" t="str">
        <x:v>205</x:v>
      </x:c>
      <x:c r="L2211" s="22" t="str">
        <x:v>特殊用地</x:v>
      </x:c>
      <x:c r="M2211" s="33" t="n">
        <x:v>674369.219999999</x:v>
      </x:c>
      <x:c r="N2211" s="33" t="n">
        <x:v>67.43692199999991</x:v>
      </x:c>
      <x:c r="O2211" s="22" t="str">
        <x:v>公顷</x:v>
      </x:c>
      <x:c r="P2211" s="22" t="str">
        <x:v>未提供（单期横截面）</x:v>
      </x:c>
      <x:c r="Q2211" s="23" t="n">
        <x:v>5190</x:v>
      </x:c>
    </x:row>
    <x:row r="2212">
      <x:c r="A2212" s="30" t="n">
        <x:v>350600</x:v>
      </x:c>
      <x:c r="B2212" s="22" t="str">
        <x:v>漳州市</x:v>
      </x:c>
      <x:c r="C2212" s="31" t="n">
        <x:v>350622</x:v>
      </x:c>
      <x:c r="D2212" s="22" t="str">
        <x:v>云霄县</x:v>
      </x:c>
      <x:c r="E2212" s="22" t="str">
        <x:v>建设用地</x:v>
      </x:c>
      <x:c r="F2212" s="22" t="str">
        <x:v>交通运输用地</x:v>
      </x:c>
      <x:c r="G2212" s="32" t="str">
        <x:v>1004</x:v>
      </x:c>
      <x:c r="H2212" s="32" t="str">
        <x:v>1004</x:v>
      </x:c>
      <x:c r="I2212" s="22" t="str">
        <x:v>城镇村道路用地</x:v>
      </x:c>
      <x:c r="J2212" s="22" t="str">
        <x:v>交通门户</x:v>
      </x:c>
      <x:c r="K2212" s="32" t="str">
        <x:v>205</x:v>
      </x:c>
      <x:c r="L2212" s="22" t="str">
        <x:v>特殊用地</x:v>
      </x:c>
      <x:c r="M2212" s="33" t="n">
        <x:v>734.28</x:v>
      </x:c>
      <x:c r="N2212" s="33" t="n">
        <x:v>0.073428</x:v>
      </x:c>
      <x:c r="O2212" s="22" t="str">
        <x:v>公顷</x:v>
      </x:c>
      <x:c r="P2212" s="22" t="str">
        <x:v>未提供（单期横截面）</x:v>
      </x:c>
      <x:c r="Q2212" s="23" t="n">
        <x:v>5191</x:v>
      </x:c>
    </x:row>
    <x:row r="2213">
      <x:c r="A2213" s="30" t="n">
        <x:v>350600</x:v>
      </x:c>
      <x:c r="B2213" s="22" t="str">
        <x:v>漳州市</x:v>
      </x:c>
      <x:c r="C2213" s="31" t="n">
        <x:v>350622</x:v>
      </x:c>
      <x:c r="D2213" s="22" t="str">
        <x:v>云霄县</x:v>
      </x:c>
      <x:c r="E2213" s="22" t="str">
        <x:v>农用地</x:v>
      </x:c>
      <x:c r="F2213" s="22" t="str">
        <x:v>耕地</x:v>
      </x:c>
      <x:c r="G2213" s="32" t="str">
        <x:v>101</x:v>
      </x:c>
      <x:c r="H2213" s="32" t="str">
        <x:v>101</x:v>
      </x:c>
      <x:c r="I2213" s="22" t="str">
        <x:v>水田</x:v>
      </x:c>
      <x:c r="J2213" s="22" t="str">
        <x:v>农业生态</x:v>
      </x:c>
      <x:c r="K2213" s="32" t="str"/>
      <x:c r="L2213" s="22" t="str">
        <x:v>不适用/未标注</x:v>
      </x:c>
      <x:c r="M2213" s="33" t="n">
        <x:v>39771615.120000035</x:v>
      </x:c>
      <x:c r="N2213" s="33" t="n">
        <x:v>3977.1615120000033</x:v>
      </x:c>
      <x:c r="O2213" s="22" t="str">
        <x:v>公顷</x:v>
      </x:c>
      <x:c r="P2213" s="22" t="str">
        <x:v>未提供（单期横截面）</x:v>
      </x:c>
      <x:c r="Q2213" s="23" t="n">
        <x:v>5192</x:v>
      </x:c>
    </x:row>
    <x:row r="2214">
      <x:c r="A2214" s="30" t="n">
        <x:v>350600</x:v>
      </x:c>
      <x:c r="B2214" s="22" t="str">
        <x:v>漳州市</x:v>
      </x:c>
      <x:c r="C2214" s="31" t="n">
        <x:v>350622</x:v>
      </x:c>
      <x:c r="D2214" s="22" t="str">
        <x:v>云霄县</x:v>
      </x:c>
      <x:c r="E2214" s="22" t="str">
        <x:v>农用地</x:v>
      </x:c>
      <x:c r="F2214" s="22" t="str">
        <x:v>耕地</x:v>
      </x:c>
      <x:c r="G2214" s="32" t="str">
        <x:v>102</x:v>
      </x:c>
      <x:c r="H2214" s="32" t="str">
        <x:v>102</x:v>
      </x:c>
      <x:c r="I2214" s="22" t="str">
        <x:v>水浇地</x:v>
      </x:c>
      <x:c r="J2214" s="22" t="str">
        <x:v>农业生态</x:v>
      </x:c>
      <x:c r="K2214" s="32" t="str"/>
      <x:c r="L2214" s="22" t="str">
        <x:v>不适用/未标注</x:v>
      </x:c>
      <x:c r="M2214" s="33" t="n">
        <x:v>1820950.2600000007</x:v>
      </x:c>
      <x:c r="N2214" s="33" t="n">
        <x:v>182.09502600000008</x:v>
      </x:c>
      <x:c r="O2214" s="22" t="str">
        <x:v>公顷</x:v>
      </x:c>
      <x:c r="P2214" s="22" t="str">
        <x:v>未提供（单期横截面）</x:v>
      </x:c>
      <x:c r="Q2214" s="23" t="n">
        <x:v>5193</x:v>
      </x:c>
    </x:row>
    <x:row r="2215">
      <x:c r="A2215" s="30" t="n">
        <x:v>350600</x:v>
      </x:c>
      <x:c r="B2215" s="22" t="str">
        <x:v>漳州市</x:v>
      </x:c>
      <x:c r="C2215" s="31" t="n">
        <x:v>350622</x:v>
      </x:c>
      <x:c r="D2215" s="22" t="str">
        <x:v>云霄县</x:v>
      </x:c>
      <x:c r="E2215" s="22" t="str">
        <x:v>农用地</x:v>
      </x:c>
      <x:c r="F2215" s="22" t="str">
        <x:v>耕地</x:v>
      </x:c>
      <x:c r="G2215" s="32" t="str">
        <x:v>103</x:v>
      </x:c>
      <x:c r="H2215" s="32" t="str">
        <x:v>103</x:v>
      </x:c>
      <x:c r="I2215" s="22" t="str">
        <x:v>旱地</x:v>
      </x:c>
      <x:c r="J2215" s="22" t="str">
        <x:v>农业生态</x:v>
      </x:c>
      <x:c r="K2215" s="32" t="str"/>
      <x:c r="L2215" s="22" t="str">
        <x:v>不适用/未标注</x:v>
      </x:c>
      <x:c r="M2215" s="33" t="n">
        <x:v>8136723.989999977</x:v>
      </x:c>
      <x:c r="N2215" s="33" t="n">
        <x:v>813.6723989999977</x:v>
      </x:c>
      <x:c r="O2215" s="22" t="str">
        <x:v>公顷</x:v>
      </x:c>
      <x:c r="P2215" s="22" t="str">
        <x:v>未提供（单期横截面）</x:v>
      </x:c>
      <x:c r="Q2215" s="23" t="n">
        <x:v>5194</x:v>
      </x:c>
    </x:row>
    <x:row r="2216">
      <x:c r="A2216" s="30" t="n">
        <x:v>350600</x:v>
      </x:c>
      <x:c r="B2216" s="22" t="str">
        <x:v>漳州市</x:v>
      </x:c>
      <x:c r="C2216" s="31" t="n">
        <x:v>350622</x:v>
      </x:c>
      <x:c r="D2216" s="22" t="str">
        <x:v>云霄县</x:v>
      </x:c>
      <x:c r="E2216" s="22" t="str">
        <x:v>农用地</x:v>
      </x:c>
      <x:c r="F2216" s="22" t="str">
        <x:v>园地</x:v>
      </x:c>
      <x:c r="G2216" s="32" t="str">
        <x:v>201</x:v>
      </x:c>
      <x:c r="H2216" s="32" t="str">
        <x:v>201</x:v>
      </x:c>
      <x:c r="I2216" s="22" t="str">
        <x:v>果园</x:v>
      </x:c>
      <x:c r="J2216" s="22" t="str">
        <x:v>农业生态</x:v>
      </x:c>
      <x:c r="K2216" s="32" t="str"/>
      <x:c r="L2216" s="22" t="str">
        <x:v>不适用/未标注</x:v>
      </x:c>
      <x:c r="M2216" s="33" t="n">
        <x:v>260074929.25999916</x:v>
      </x:c>
      <x:c r="N2216" s="33" t="n">
        <x:v>26007.492925999915</x:v>
      </x:c>
      <x:c r="O2216" s="22" t="str">
        <x:v>公顷</x:v>
      </x:c>
      <x:c r="P2216" s="22" t="str">
        <x:v>未提供（单期横截面）</x:v>
      </x:c>
      <x:c r="Q2216" s="23" t="n">
        <x:v>5195</x:v>
      </x:c>
    </x:row>
    <x:row r="2217">
      <x:c r="A2217" s="30" t="n">
        <x:v>350600</x:v>
      </x:c>
      <x:c r="B2217" s="22" t="str">
        <x:v>漳州市</x:v>
      </x:c>
      <x:c r="C2217" s="31" t="n">
        <x:v>350622</x:v>
      </x:c>
      <x:c r="D2217" s="22" t="str">
        <x:v>云霄县</x:v>
      </x:c>
      <x:c r="E2217" s="22" t="str">
        <x:v>农用地</x:v>
      </x:c>
      <x:c r="F2217" s="22" t="str">
        <x:v>园地</x:v>
      </x:c>
      <x:c r="G2217" s="32" t="str">
        <x:v>0201K</x:v>
      </x:c>
      <x:c r="H2217" s="32" t="str">
        <x:v>201</x:v>
      </x:c>
      <x:c r="I2217" s="22" t="str">
        <x:v>可调整果园</x:v>
      </x:c>
      <x:c r="J2217" s="22" t="str">
        <x:v>农业生态</x:v>
      </x:c>
      <x:c r="K2217" s="32" t="str"/>
      <x:c r="L2217" s="22" t="str">
        <x:v>不适用/未标注</x:v>
      </x:c>
      <x:c r="M2217" s="33" t="n">
        <x:v>958024.4700000003</x:v>
      </x:c>
      <x:c r="N2217" s="33" t="n">
        <x:v>95.80244700000003</x:v>
      </x:c>
      <x:c r="O2217" s="22" t="str">
        <x:v>公顷</x:v>
      </x:c>
      <x:c r="P2217" s="22" t="str">
        <x:v>未提供（单期横截面）</x:v>
      </x:c>
      <x:c r="Q2217" s="23" t="n">
        <x:v>5196</x:v>
      </x:c>
    </x:row>
    <x:row r="2218">
      <x:c r="A2218" s="30" t="n">
        <x:v>350600</x:v>
      </x:c>
      <x:c r="B2218" s="22" t="str">
        <x:v>漳州市</x:v>
      </x:c>
      <x:c r="C2218" s="31" t="n">
        <x:v>350622</x:v>
      </x:c>
      <x:c r="D2218" s="22" t="str">
        <x:v>云霄县</x:v>
      </x:c>
      <x:c r="E2218" s="22" t="str">
        <x:v>农用地</x:v>
      </x:c>
      <x:c r="F2218" s="22" t="str">
        <x:v>园地</x:v>
      </x:c>
      <x:c r="G2218" s="32" t="str">
        <x:v>202</x:v>
      </x:c>
      <x:c r="H2218" s="32" t="str">
        <x:v>202</x:v>
      </x:c>
      <x:c r="I2218" s="22" t="str">
        <x:v>茶园</x:v>
      </x:c>
      <x:c r="J2218" s="22" t="str">
        <x:v>农业生态</x:v>
      </x:c>
      <x:c r="K2218" s="32" t="str"/>
      <x:c r="L2218" s="22" t="str">
        <x:v>不适用/未标注</x:v>
      </x:c>
      <x:c r="M2218" s="33" t="n">
        <x:v>3124861.15</x:v>
      </x:c>
      <x:c r="N2218" s="33" t="n">
        <x:v>312.486115</x:v>
      </x:c>
      <x:c r="O2218" s="22" t="str">
        <x:v>公顷</x:v>
      </x:c>
      <x:c r="P2218" s="22" t="str">
        <x:v>未提供（单期横截面）</x:v>
      </x:c>
      <x:c r="Q2218" s="23" t="n">
        <x:v>5197</x:v>
      </x:c>
    </x:row>
    <x:row r="2219">
      <x:c r="A2219" s="30" t="n">
        <x:v>350600</x:v>
      </x:c>
      <x:c r="B2219" s="22" t="str">
        <x:v>漳州市</x:v>
      </x:c>
      <x:c r="C2219" s="31" t="n">
        <x:v>350622</x:v>
      </x:c>
      <x:c r="D2219" s="22" t="str">
        <x:v>云霄县</x:v>
      </x:c>
      <x:c r="E2219" s="22" t="str">
        <x:v>农用地</x:v>
      </x:c>
      <x:c r="F2219" s="22" t="str">
        <x:v>园地</x:v>
      </x:c>
      <x:c r="G2219" s="32" t="str">
        <x:v>0202K</x:v>
      </x:c>
      <x:c r="H2219" s="32" t="str">
        <x:v>0202</x:v>
      </x:c>
      <x:c r="I2219" s="22" t="str">
        <x:v>可调整茶园</x:v>
      </x:c>
      <x:c r="J2219" s="22" t="str">
        <x:v>农业生态</x:v>
      </x:c>
      <x:c r="K2219" s="32" t="str"/>
      <x:c r="L2219" s="22" t="str">
        <x:v>不适用/未标注</x:v>
      </x:c>
      <x:c r="M2219" s="33" t="n">
        <x:v>14118.51</x:v>
      </x:c>
      <x:c r="N2219" s="33" t="n">
        <x:v>1.411851</x:v>
      </x:c>
      <x:c r="O2219" s="22" t="str">
        <x:v>公顷</x:v>
      </x:c>
      <x:c r="P2219" s="22" t="str">
        <x:v>未提供（单期横截面）</x:v>
      </x:c>
      <x:c r="Q2219" s="23" t="n">
        <x:v>5198</x:v>
      </x:c>
    </x:row>
    <x:row r="2220">
      <x:c r="A2220" s="30" t="n">
        <x:v>350600</x:v>
      </x:c>
      <x:c r="B2220" s="22" t="str">
        <x:v>漳州市</x:v>
      </x:c>
      <x:c r="C2220" s="31" t="n">
        <x:v>350622</x:v>
      </x:c>
      <x:c r="D2220" s="22" t="str">
        <x:v>云霄县</x:v>
      </x:c>
      <x:c r="E2220" s="22" t="str">
        <x:v>农用地</x:v>
      </x:c>
      <x:c r="F2220" s="22" t="str">
        <x:v>园地</x:v>
      </x:c>
      <x:c r="G2220" s="32" t="str">
        <x:v>204</x:v>
      </x:c>
      <x:c r="H2220" s="32" t="str">
        <x:v>204</x:v>
      </x:c>
      <x:c r="I2220" s="22" t="str">
        <x:v>其他园地</x:v>
      </x:c>
      <x:c r="J2220" s="22" t="str">
        <x:v>农业生态</x:v>
      </x:c>
      <x:c r="K2220" s="32" t="str"/>
      <x:c r="L2220" s="22" t="str">
        <x:v>不适用/未标注</x:v>
      </x:c>
      <x:c r="M2220" s="33" t="n">
        <x:v>736024.5</x:v>
      </x:c>
      <x:c r="N2220" s="33" t="n">
        <x:v>73.60245</x:v>
      </x:c>
      <x:c r="O2220" s="22" t="str">
        <x:v>公顷</x:v>
      </x:c>
      <x:c r="P2220" s="22" t="str">
        <x:v>未提供（单期横截面）</x:v>
      </x:c>
      <x:c r="Q2220" s="23" t="n">
        <x:v>5199</x:v>
      </x:c>
    </x:row>
    <x:row r="2221">
      <x:c r="A2221" s="30" t="n">
        <x:v>350600</x:v>
      </x:c>
      <x:c r="B2221" s="22" t="str">
        <x:v>漳州市</x:v>
      </x:c>
      <x:c r="C2221" s="31" t="n">
        <x:v>350622</x:v>
      </x:c>
      <x:c r="D2221" s="22" t="str">
        <x:v>云霄县</x:v>
      </x:c>
      <x:c r="E2221" s="22" t="str">
        <x:v>农用地</x:v>
      </x:c>
      <x:c r="F2221" s="22" t="str">
        <x:v>林地</x:v>
      </x:c>
      <x:c r="G2221" s="32" t="str">
        <x:v>301</x:v>
      </x:c>
      <x:c r="H2221" s="32" t="str">
        <x:v>301</x:v>
      </x:c>
      <x:c r="I2221" s="22" t="str">
        <x:v>乔木林地</x:v>
      </x:c>
      <x:c r="J2221" s="22" t="str">
        <x:v>农业生态</x:v>
      </x:c>
      <x:c r="K2221" s="32" t="str"/>
      <x:c r="L2221" s="22" t="str">
        <x:v>不适用/未标注</x:v>
      </x:c>
      <x:c r="M2221" s="33" t="n">
        <x:v>503480362.2200003</x:v>
      </x:c>
      <x:c r="N2221" s="33" t="n">
        <x:v>50348.03622200003</x:v>
      </x:c>
      <x:c r="O2221" s="22" t="str">
        <x:v>公顷</x:v>
      </x:c>
      <x:c r="P2221" s="22" t="str">
        <x:v>未提供（单期横截面）</x:v>
      </x:c>
      <x:c r="Q2221" s="23" t="n">
        <x:v>5200</x:v>
      </x:c>
    </x:row>
    <x:row r="2222">
      <x:c r="A2222" s="30" t="n">
        <x:v>350600</x:v>
      </x:c>
      <x:c r="B2222" s="22" t="str">
        <x:v>漳州市</x:v>
      </x:c>
      <x:c r="C2222" s="31" t="n">
        <x:v>350622</x:v>
      </x:c>
      <x:c r="D2222" s="22" t="str">
        <x:v>云霄县</x:v>
      </x:c>
      <x:c r="E2222" s="22" t="str">
        <x:v>农用地</x:v>
      </x:c>
      <x:c r="F2222" s="22" t="str">
        <x:v>林地</x:v>
      </x:c>
      <x:c r="G2222" s="32" t="str">
        <x:v>0301K</x:v>
      </x:c>
      <x:c r="H2222" s="32" t="str">
        <x:v>0301</x:v>
      </x:c>
      <x:c r="I2222" s="22" t="str">
        <x:v>可调整乔木林地</x:v>
      </x:c>
      <x:c r="J2222" s="22" t="str">
        <x:v>农业生态</x:v>
      </x:c>
      <x:c r="K2222" s="32" t="str"/>
      <x:c r="L2222" s="22" t="str">
        <x:v>不适用/未标注</x:v>
      </x:c>
      <x:c r="M2222" s="33" t="n">
        <x:v>13011.43</x:v>
      </x:c>
      <x:c r="N2222" s="33" t="n">
        <x:v>1.301143</x:v>
      </x:c>
      <x:c r="O2222" s="22" t="str">
        <x:v>公顷</x:v>
      </x:c>
      <x:c r="P2222" s="22" t="str">
        <x:v>未提供（单期横截面）</x:v>
      </x:c>
      <x:c r="Q2222" s="23" t="n">
        <x:v>5201</x:v>
      </x:c>
    </x:row>
    <x:row r="2223">
      <x:c r="A2223" s="30" t="n">
        <x:v>350600</x:v>
      </x:c>
      <x:c r="B2223" s="22" t="str">
        <x:v>漳州市</x:v>
      </x:c>
      <x:c r="C2223" s="31" t="n">
        <x:v>350622</x:v>
      </x:c>
      <x:c r="D2223" s="22" t="str">
        <x:v>云霄县</x:v>
      </x:c>
      <x:c r="E2223" s="22" t="str">
        <x:v>农用地</x:v>
      </x:c>
      <x:c r="F2223" s="22" t="str">
        <x:v>林地</x:v>
      </x:c>
      <x:c r="G2223" s="32" t="str">
        <x:v>302</x:v>
      </x:c>
      <x:c r="H2223" s="32" t="str">
        <x:v>302</x:v>
      </x:c>
      <x:c r="I2223" s="22" t="str">
        <x:v>竹林地</x:v>
      </x:c>
      <x:c r="J2223" s="22" t="str">
        <x:v>农业生态</x:v>
      </x:c>
      <x:c r="K2223" s="32" t="str"/>
      <x:c r="L2223" s="22" t="str">
        <x:v>不适用/未标注</x:v>
      </x:c>
      <x:c r="M2223" s="33" t="n">
        <x:v>2752148.4600000028</x:v>
      </x:c>
      <x:c r="N2223" s="33" t="n">
        <x:v>275.21484600000025</x:v>
      </x:c>
      <x:c r="O2223" s="22" t="str">
        <x:v>公顷</x:v>
      </x:c>
      <x:c r="P2223" s="22" t="str">
        <x:v>未提供（单期横截面）</x:v>
      </x:c>
      <x:c r="Q2223" s="23" t="n">
        <x:v>5202</x:v>
      </x:c>
    </x:row>
    <x:row r="2224">
      <x:c r="A2224" s="30" t="n">
        <x:v>350600</x:v>
      </x:c>
      <x:c r="B2224" s="22" t="str">
        <x:v>漳州市</x:v>
      </x:c>
      <x:c r="C2224" s="31" t="n">
        <x:v>350622</x:v>
      </x:c>
      <x:c r="D2224" s="22" t="str">
        <x:v>云霄县</x:v>
      </x:c>
      <x:c r="E2224" s="22" t="str">
        <x:v>农用地</x:v>
      </x:c>
      <x:c r="F2224" s="22" t="str">
        <x:v>林地</x:v>
      </x:c>
      <x:c r="G2224" s="32" t="str">
        <x:v>0302K</x:v>
      </x:c>
      <x:c r="H2224" s="32" t="str">
        <x:v>0302</x:v>
      </x:c>
      <x:c r="I2224" s="22" t="str">
        <x:v>可调整竹林地</x:v>
      </x:c>
      <x:c r="J2224" s="22" t="str">
        <x:v>农业生态</x:v>
      </x:c>
      <x:c r="K2224" s="32" t="str"/>
      <x:c r="L2224" s="22" t="str">
        <x:v>不适用/未标注</x:v>
      </x:c>
      <x:c r="M2224" s="33" t="n">
        <x:v>1977.78</x:v>
      </x:c>
      <x:c r="N2224" s="33" t="n">
        <x:v>0.197778</x:v>
      </x:c>
      <x:c r="O2224" s="22" t="str">
        <x:v>公顷</x:v>
      </x:c>
      <x:c r="P2224" s="22" t="str">
        <x:v>未提供（单期横截面）</x:v>
      </x:c>
      <x:c r="Q2224" s="23" t="n">
        <x:v>5203</x:v>
      </x:c>
    </x:row>
    <x:row r="2225">
      <x:c r="A2225" s="30" t="n">
        <x:v>350600</x:v>
      </x:c>
      <x:c r="B2225" s="22" t="str">
        <x:v>漳州市</x:v>
      </x:c>
      <x:c r="C2225" s="31" t="n">
        <x:v>350622</x:v>
      </x:c>
      <x:c r="D2225" s="22" t="str">
        <x:v>云霄县</x:v>
      </x:c>
      <x:c r="E2225" s="22" t="str">
        <x:v>农用地</x:v>
      </x:c>
      <x:c r="F2225" s="22" t="str">
        <x:v>林地</x:v>
      </x:c>
      <x:c r="G2225" s="32" t="str">
        <x:v>303</x:v>
      </x:c>
      <x:c r="H2225" s="32" t="str">
        <x:v>303</x:v>
      </x:c>
      <x:c r="I2225" s="22" t="str">
        <x:v>红树林地</x:v>
      </x:c>
      <x:c r="J2225" s="22" t="str">
        <x:v>农业生态</x:v>
      </x:c>
      <x:c r="K2225" s="32" t="str"/>
      <x:c r="L2225" s="22" t="str">
        <x:v>不适用/未标注</x:v>
      </x:c>
      <x:c r="M2225" s="33" t="n">
        <x:v>726048.1699999999</x:v>
      </x:c>
      <x:c r="N2225" s="33" t="n">
        <x:v>72.604817</x:v>
      </x:c>
      <x:c r="O2225" s="22" t="str">
        <x:v>公顷</x:v>
      </x:c>
      <x:c r="P2225" s="22" t="str">
        <x:v>未提供（单期横截面）</x:v>
      </x:c>
      <x:c r="Q2225" s="23" t="n">
        <x:v>5204</x:v>
      </x:c>
    </x:row>
    <x:row r="2226">
      <x:c r="A2226" s="30" t="n">
        <x:v>350600</x:v>
      </x:c>
      <x:c r="B2226" s="22" t="str">
        <x:v>漳州市</x:v>
      </x:c>
      <x:c r="C2226" s="31" t="n">
        <x:v>350622</x:v>
      </x:c>
      <x:c r="D2226" s="22" t="str">
        <x:v>云霄县</x:v>
      </x:c>
      <x:c r="E2226" s="22" t="str">
        <x:v>农用地</x:v>
      </x:c>
      <x:c r="F2226" s="22" t="str">
        <x:v>林地</x:v>
      </x:c>
      <x:c r="G2226" s="32" t="str">
        <x:v>305</x:v>
      </x:c>
      <x:c r="H2226" s="32" t="str">
        <x:v>305</x:v>
      </x:c>
      <x:c r="I2226" s="22" t="str">
        <x:v>灌木林地</x:v>
      </x:c>
      <x:c r="J2226" s="22" t="str">
        <x:v>农业生态</x:v>
      </x:c>
      <x:c r="K2226" s="32" t="str"/>
      <x:c r="L2226" s="22" t="str">
        <x:v>不适用/未标注</x:v>
      </x:c>
      <x:c r="M2226" s="33" t="n">
        <x:v>1056443.9899999995</x:v>
      </x:c>
      <x:c r="N2226" s="33" t="n">
        <x:v>105.64439899999995</x:v>
      </x:c>
      <x:c r="O2226" s="22" t="str">
        <x:v>公顷</x:v>
      </x:c>
      <x:c r="P2226" s="22" t="str">
        <x:v>未提供（单期横截面）</x:v>
      </x:c>
      <x:c r="Q2226" s="23" t="n">
        <x:v>5205</x:v>
      </x:c>
    </x:row>
    <x:row r="2227">
      <x:c r="A2227" s="30" t="n">
        <x:v>350600</x:v>
      </x:c>
      <x:c r="B2227" s="22" t="str">
        <x:v>漳州市</x:v>
      </x:c>
      <x:c r="C2227" s="31" t="n">
        <x:v>350622</x:v>
      </x:c>
      <x:c r="D2227" s="22" t="str">
        <x:v>云霄县</x:v>
      </x:c>
      <x:c r="E2227" s="22" t="str">
        <x:v>农用地</x:v>
      </x:c>
      <x:c r="F2227" s="22" t="str">
        <x:v>林地</x:v>
      </x:c>
      <x:c r="G2227" s="32" t="str">
        <x:v>307</x:v>
      </x:c>
      <x:c r="H2227" s="32" t="str">
        <x:v>307</x:v>
      </x:c>
      <x:c r="I2227" s="22" t="str">
        <x:v>其他林地</x:v>
      </x:c>
      <x:c r="J2227" s="22" t="str">
        <x:v>农业生态</x:v>
      </x:c>
      <x:c r="K2227" s="32" t="str"/>
      <x:c r="L2227" s="22" t="str">
        <x:v>不适用/未标注</x:v>
      </x:c>
      <x:c r="M2227" s="33" t="n">
        <x:v>50869236.48000012</x:v>
      </x:c>
      <x:c r="N2227" s="33" t="n">
        <x:v>5086.923648000013</x:v>
      </x:c>
      <x:c r="O2227" s="22" t="str">
        <x:v>公顷</x:v>
      </x:c>
      <x:c r="P2227" s="22" t="str">
        <x:v>未提供（单期横截面）</x:v>
      </x:c>
      <x:c r="Q2227" s="23" t="n">
        <x:v>5206</x:v>
      </x:c>
    </x:row>
    <x:row r="2228">
      <x:c r="A2228" s="30" t="n">
        <x:v>350600</x:v>
      </x:c>
      <x:c r="B2228" s="22" t="str">
        <x:v>漳州市</x:v>
      </x:c>
      <x:c r="C2228" s="31" t="n">
        <x:v>350622</x:v>
      </x:c>
      <x:c r="D2228" s="22" t="str">
        <x:v>云霄县</x:v>
      </x:c>
      <x:c r="E2228" s="22" t="str">
        <x:v>农用地</x:v>
      </x:c>
      <x:c r="F2228" s="22" t="str">
        <x:v>林地</x:v>
      </x:c>
      <x:c r="G2228" s="32" t="str">
        <x:v>0307K</x:v>
      </x:c>
      <x:c r="H2228" s="32" t="str">
        <x:v>0307</x:v>
      </x:c>
      <x:c r="I2228" s="22" t="str">
        <x:v>可调整其他林地</x:v>
      </x:c>
      <x:c r="J2228" s="22" t="str">
        <x:v>农业生态</x:v>
      </x:c>
      <x:c r="K2228" s="32" t="str"/>
      <x:c r="L2228" s="22" t="str">
        <x:v>不适用/未标注</x:v>
      </x:c>
      <x:c r="M2228" s="33" t="n">
        <x:v>9573.19</x:v>
      </x:c>
      <x:c r="N2228" s="33" t="n">
        <x:v>0.957319</x:v>
      </x:c>
      <x:c r="O2228" s="22" t="str">
        <x:v>公顷</x:v>
      </x:c>
      <x:c r="P2228" s="22" t="str">
        <x:v>未提供（单期横截面）</x:v>
      </x:c>
      <x:c r="Q2228" s="23" t="n">
        <x:v>5207</x:v>
      </x:c>
    </x:row>
    <x:row r="2229">
      <x:c r="A2229" s="30" t="n">
        <x:v>350600</x:v>
      </x:c>
      <x:c r="B2229" s="22" t="str">
        <x:v>漳州市</x:v>
      </x:c>
      <x:c r="C2229" s="31" t="n">
        <x:v>350622</x:v>
      </x:c>
      <x:c r="D2229" s="22" t="str">
        <x:v>云霄县</x:v>
      </x:c>
      <x:c r="E2229" s="22" t="str">
        <x:v>农用地</x:v>
      </x:c>
      <x:c r="F2229" s="22" t="str">
        <x:v>草地</x:v>
      </x:c>
      <x:c r="G2229" s="32" t="str">
        <x:v>403</x:v>
      </x:c>
      <x:c r="H2229" s="32" t="str">
        <x:v>403</x:v>
      </x:c>
      <x:c r="I2229" s="22" t="str">
        <x:v>人工牧草地</x:v>
      </x:c>
      <x:c r="J2229" s="22" t="str">
        <x:v>农业生态</x:v>
      </x:c>
      <x:c r="K2229" s="32" t="str"/>
      <x:c r="L2229" s="22" t="str">
        <x:v>不适用/未标注</x:v>
      </x:c>
      <x:c r="M2229" s="33" t="n">
        <x:v>25389.39</x:v>
      </x:c>
      <x:c r="N2229" s="33" t="n">
        <x:v>2.538939</x:v>
      </x:c>
      <x:c r="O2229" s="22" t="str">
        <x:v>公顷</x:v>
      </x:c>
      <x:c r="P2229" s="22" t="str">
        <x:v>未提供（单期横截面）</x:v>
      </x:c>
      <x:c r="Q2229" s="23" t="n">
        <x:v>5208</x:v>
      </x:c>
    </x:row>
    <x:row r="2230">
      <x:c r="A2230" s="30" t="n">
        <x:v>350600</x:v>
      </x:c>
      <x:c r="B2230" s="22" t="str">
        <x:v>漳州市</x:v>
      </x:c>
      <x:c r="C2230" s="31" t="n">
        <x:v>350622</x:v>
      </x:c>
      <x:c r="D2230" s="22" t="str">
        <x:v>云霄县</x:v>
      </x:c>
      <x:c r="E2230" s="22" t="str">
        <x:v>农用地</x:v>
      </x:c>
      <x:c r="F2230" s="22" t="str">
        <x:v>其他农用地</x:v>
      </x:c>
      <x:c r="G2230" s="32" t="str">
        <x:v>1006</x:v>
      </x:c>
      <x:c r="H2230" s="32" t="str">
        <x:v>1006</x:v>
      </x:c>
      <x:c r="I2230" s="22" t="str">
        <x:v>农村道路</x:v>
      </x:c>
      <x:c r="J2230" s="22" t="str">
        <x:v>农业生态</x:v>
      </x:c>
      <x:c r="K2230" s="32" t="str"/>
      <x:c r="L2230" s="22" t="str">
        <x:v>不适用/未标注</x:v>
      </x:c>
      <x:c r="M2230" s="33" t="n">
        <x:v>8294599.9199999925</x:v>
      </x:c>
      <x:c r="N2230" s="33" t="n">
        <x:v>829.4599919999993</x:v>
      </x:c>
      <x:c r="O2230" s="22" t="str">
        <x:v>公顷</x:v>
      </x:c>
      <x:c r="P2230" s="22" t="str">
        <x:v>未提供（单期横截面）</x:v>
      </x:c>
      <x:c r="Q2230" s="23" t="n">
        <x:v>5209</x:v>
      </x:c>
    </x:row>
    <x:row r="2231">
      <x:c r="A2231" s="30" t="n">
        <x:v>350600</x:v>
      </x:c>
      <x:c r="B2231" s="22" t="str">
        <x:v>漳州市</x:v>
      </x:c>
      <x:c r="C2231" s="31" t="n">
        <x:v>350622</x:v>
      </x:c>
      <x:c r="D2231" s="22" t="str">
        <x:v>云霄县</x:v>
      </x:c>
      <x:c r="E2231" s="22" t="str">
        <x:v>农用地</x:v>
      </x:c>
      <x:c r="F2231" s="22" t="str">
        <x:v>水域及水利设施</x:v>
      </x:c>
      <x:c r="G2231" s="32" t="str">
        <x:v>1103</x:v>
      </x:c>
      <x:c r="H2231" s="32" t="str">
        <x:v>1103</x:v>
      </x:c>
      <x:c r="I2231" s="22" t="str">
        <x:v>水库水面</x:v>
      </x:c>
      <x:c r="J2231" s="22" t="str">
        <x:v>农业生态</x:v>
      </x:c>
      <x:c r="K2231" s="32" t="str"/>
      <x:c r="L2231" s="22" t="str">
        <x:v>不适用/未标注</x:v>
      </x:c>
      <x:c r="M2231" s="33" t="n">
        <x:v>14795241.08</x:v>
      </x:c>
      <x:c r="N2231" s="33" t="n">
        <x:v>1479.524108</x:v>
      </x:c>
      <x:c r="O2231" s="22" t="str">
        <x:v>公顷</x:v>
      </x:c>
      <x:c r="P2231" s="22" t="str">
        <x:v>未提供（单期横截面）</x:v>
      </x:c>
      <x:c r="Q2231" s="23" t="n">
        <x:v>5210</x:v>
      </x:c>
    </x:row>
    <x:row r="2232">
      <x:c r="A2232" s="30" t="n">
        <x:v>350600</x:v>
      </x:c>
      <x:c r="B2232" s="22" t="str">
        <x:v>漳州市</x:v>
      </x:c>
      <x:c r="C2232" s="31" t="n">
        <x:v>350622</x:v>
      </x:c>
      <x:c r="D2232" s="22" t="str">
        <x:v>云霄县</x:v>
      </x:c>
      <x:c r="E2232" s="22" t="str">
        <x:v>农用地</x:v>
      </x:c>
      <x:c r="F2232" s="22" t="str">
        <x:v>水域及水利设施</x:v>
      </x:c>
      <x:c r="G2232" s="32" t="str">
        <x:v>1104</x:v>
      </x:c>
      <x:c r="H2232" s="32" t="str">
        <x:v>1104</x:v>
      </x:c>
      <x:c r="I2232" s="22" t="str">
        <x:v>坑塘水面</x:v>
      </x:c>
      <x:c r="J2232" s="22" t="str">
        <x:v>农业生态</x:v>
      </x:c>
      <x:c r="K2232" s="32" t="str"/>
      <x:c r="L2232" s="22" t="str">
        <x:v>不适用/未标注</x:v>
      </x:c>
      <x:c r="M2232" s="33" t="n">
        <x:v>5229007.7400000105</x:v>
      </x:c>
      <x:c r="N2232" s="33" t="n">
        <x:v>522.9007740000011</x:v>
      </x:c>
      <x:c r="O2232" s="22" t="str">
        <x:v>公顷</x:v>
      </x:c>
      <x:c r="P2232" s="22" t="str">
        <x:v>未提供（单期横截面）</x:v>
      </x:c>
      <x:c r="Q2232" s="23" t="n">
        <x:v>5211</x:v>
      </x:c>
    </x:row>
    <x:row r="2233">
      <x:c r="A2233" s="30" t="n">
        <x:v>350600</x:v>
      </x:c>
      <x:c r="B2233" s="22" t="str">
        <x:v>漳州市</x:v>
      </x:c>
      <x:c r="C2233" s="31" t="n">
        <x:v>350622</x:v>
      </x:c>
      <x:c r="D2233" s="22" t="str">
        <x:v>云霄县</x:v>
      </x:c>
      <x:c r="E2233" s="22" t="str">
        <x:v>农用地</x:v>
      </x:c>
      <x:c r="F2233" s="22" t="str">
        <x:v>水域及水利设施</x:v>
      </x:c>
      <x:c r="G2233" s="32" t="str">
        <x:v>1104A</x:v>
      </x:c>
      <x:c r="H2233" s="32" t="str">
        <x:v>1104</x:v>
      </x:c>
      <x:c r="I2233" s="22" t="str">
        <x:v>养殖坑塘</x:v>
      </x:c>
      <x:c r="J2233" s="22" t="str">
        <x:v>农业生态</x:v>
      </x:c>
      <x:c r="K2233" s="32" t="str"/>
      <x:c r="L2233" s="22" t="str">
        <x:v>不适用/未标注</x:v>
      </x:c>
      <x:c r="M2233" s="33" t="n">
        <x:v>17780736.859999985</x:v>
      </x:c>
      <x:c r="N2233" s="33" t="n">
        <x:v>1778.0736859999984</x:v>
      </x:c>
      <x:c r="O2233" s="22" t="str">
        <x:v>公顷</x:v>
      </x:c>
      <x:c r="P2233" s="22" t="str">
        <x:v>未提供（单期横截面）</x:v>
      </x:c>
      <x:c r="Q2233" s="23" t="n">
        <x:v>5212</x:v>
      </x:c>
    </x:row>
    <x:row r="2234">
      <x:c r="A2234" s="30" t="n">
        <x:v>350600</x:v>
      </x:c>
      <x:c r="B2234" s="22" t="str">
        <x:v>漳州市</x:v>
      </x:c>
      <x:c r="C2234" s="31" t="n">
        <x:v>350622</x:v>
      </x:c>
      <x:c r="D2234" s="22" t="str">
        <x:v>云霄县</x:v>
      </x:c>
      <x:c r="E2234" s="22" t="str">
        <x:v>农用地</x:v>
      </x:c>
      <x:c r="F2234" s="22" t="str">
        <x:v>水域及水利设施</x:v>
      </x:c>
      <x:c r="G2234" s="32" t="str">
        <x:v>1104K</x:v>
      </x:c>
      <x:c r="H2234" s="32" t="str">
        <x:v>1104</x:v>
      </x:c>
      <x:c r="I2234" s="22" t="str">
        <x:v>可调整养殖坑塘</x:v>
      </x:c>
      <x:c r="J2234" s="22" t="str">
        <x:v>农业生态</x:v>
      </x:c>
      <x:c r="K2234" s="32" t="str"/>
      <x:c r="L2234" s="22" t="str">
        <x:v>不适用/未标注</x:v>
      </x:c>
      <x:c r="M2234" s="33" t="n">
        <x:v>16815.59</x:v>
      </x:c>
      <x:c r="N2234" s="33" t="n">
        <x:v>1.681559</x:v>
      </x:c>
      <x:c r="O2234" s="22" t="str">
        <x:v>公顷</x:v>
      </x:c>
      <x:c r="P2234" s="22" t="str">
        <x:v>未提供（单期横截面）</x:v>
      </x:c>
      <x:c r="Q2234" s="23" t="n">
        <x:v>5213</x:v>
      </x:c>
    </x:row>
    <x:row r="2235">
      <x:c r="A2235" s="30" t="n">
        <x:v>350600</x:v>
      </x:c>
      <x:c r="B2235" s="22" t="str">
        <x:v>漳州市</x:v>
      </x:c>
      <x:c r="C2235" s="31" t="n">
        <x:v>350622</x:v>
      </x:c>
      <x:c r="D2235" s="22" t="str">
        <x:v>云霄县</x:v>
      </x:c>
      <x:c r="E2235" s="22" t="str">
        <x:v>农用地</x:v>
      </x:c>
      <x:c r="F2235" s="22" t="str">
        <x:v>水域及水利设施</x:v>
      </x:c>
      <x:c r="G2235" s="32" t="str">
        <x:v>1107</x:v>
      </x:c>
      <x:c r="H2235" s="32" t="str">
        <x:v>1107</x:v>
      </x:c>
      <x:c r="I2235" s="22" t="str">
        <x:v>沟渠</x:v>
      </x:c>
      <x:c r="J2235" s="22" t="str">
        <x:v>农业生态</x:v>
      </x:c>
      <x:c r="K2235" s="32" t="str"/>
      <x:c r="L2235" s="22" t="str">
        <x:v>不适用/未标注</x:v>
      </x:c>
      <x:c r="M2235" s="33" t="n">
        <x:v>1833126.9800000016</x:v>
      </x:c>
      <x:c r="N2235" s="33" t="n">
        <x:v>183.31269800000015</x:v>
      </x:c>
      <x:c r="O2235" s="22" t="str">
        <x:v>公顷</x:v>
      </x:c>
      <x:c r="P2235" s="22" t="str">
        <x:v>未提供（单期横截面）</x:v>
      </x:c>
      <x:c r="Q2235" s="23" t="n">
        <x:v>5214</x:v>
      </x:c>
    </x:row>
    <x:row r="2236">
      <x:c r="A2236" s="30" t="n">
        <x:v>350600</x:v>
      </x:c>
      <x:c r="B2236" s="22" t="str">
        <x:v>漳州市</x:v>
      </x:c>
      <x:c r="C2236" s="31" t="n">
        <x:v>350622</x:v>
      </x:c>
      <x:c r="D2236" s="22" t="str">
        <x:v>云霄县</x:v>
      </x:c>
      <x:c r="E2236" s="22" t="str">
        <x:v>农用地</x:v>
      </x:c>
      <x:c r="F2236" s="22" t="str">
        <x:v>水域及水利设施</x:v>
      </x:c>
      <x:c r="G2236" s="32" t="str">
        <x:v>1107A</x:v>
      </x:c>
      <x:c r="H2236" s="32" t="str">
        <x:v>1107</x:v>
      </x:c>
      <x:c r="I2236" s="22" t="str">
        <x:v>干渠</x:v>
      </x:c>
      <x:c r="J2236" s="22" t="str">
        <x:v>农业生态</x:v>
      </x:c>
      <x:c r="K2236" s="32" t="str"/>
      <x:c r="L2236" s="22" t="str">
        <x:v>不适用/未标注</x:v>
      </x:c>
      <x:c r="M2236" s="33" t="n">
        <x:v>18.1</x:v>
      </x:c>
      <x:c r="N2236" s="33" t="n">
        <x:v>0.0018100000000000002</x:v>
      </x:c>
      <x:c r="O2236" s="22" t="str">
        <x:v>公顷</x:v>
      </x:c>
      <x:c r="P2236" s="22" t="str">
        <x:v>未提供（单期横截面）</x:v>
      </x:c>
      <x:c r="Q2236" s="23" t="n">
        <x:v>5215</x:v>
      </x:c>
    </x:row>
    <x:row r="2237">
      <x:c r="A2237" s="30" t="n">
        <x:v>350600</x:v>
      </x:c>
      <x:c r="B2237" s="22" t="str">
        <x:v>漳州市</x:v>
      </x:c>
      <x:c r="C2237" s="31" t="n">
        <x:v>350622</x:v>
      </x:c>
      <x:c r="D2237" s="22" t="str">
        <x:v>云霄县</x:v>
      </x:c>
      <x:c r="E2237" s="22" t="str">
        <x:v>农用地</x:v>
      </x:c>
      <x:c r="F2237" s="22" t="str">
        <x:v>其他农用地</x:v>
      </x:c>
      <x:c r="G2237" s="32" t="str">
        <x:v>1202</x:v>
      </x:c>
      <x:c r="H2237" s="32" t="str">
        <x:v>1202</x:v>
      </x:c>
      <x:c r="I2237" s="22" t="str">
        <x:v>设施农用地</x:v>
      </x:c>
      <x:c r="J2237" s="22" t="str">
        <x:v>农业生态</x:v>
      </x:c>
      <x:c r="K2237" s="32" t="str"/>
      <x:c r="L2237" s="22" t="str">
        <x:v>不适用/未标注</x:v>
      </x:c>
      <x:c r="M2237" s="33" t="n">
        <x:v>4745342.91999998</x:v>
      </x:c>
      <x:c r="N2237" s="33" t="n">
        <x:v>474.53429199999806</x:v>
      </x:c>
      <x:c r="O2237" s="22" t="str">
        <x:v>公顷</x:v>
      </x:c>
      <x:c r="P2237" s="22" t="str">
        <x:v>未提供（单期横截面）</x:v>
      </x:c>
      <x:c r="Q2237" s="23" t="n">
        <x:v>5216</x:v>
      </x:c>
    </x:row>
    <x:row r="2238">
      <x:c r="A2238" s="30" t="n">
        <x:v>350600</x:v>
      </x:c>
      <x:c r="B2238" s="22" t="str">
        <x:v>漳州市</x:v>
      </x:c>
      <x:c r="C2238" s="31" t="n">
        <x:v>350622</x:v>
      </x:c>
      <x:c r="D2238" s="22" t="str">
        <x:v>云霄县</x:v>
      </x:c>
      <x:c r="E2238" s="22" t="str">
        <x:v>农用地</x:v>
      </x:c>
      <x:c r="F2238" s="22" t="str">
        <x:v>耕地</x:v>
      </x:c>
      <x:c r="G2238" s="32" t="str">
        <x:v>101</x:v>
      </x:c>
      <x:c r="H2238" s="32" t="str">
        <x:v>101</x:v>
      </x:c>
      <x:c r="I2238" s="22" t="str">
        <x:v>水田</x:v>
      </x:c>
      <x:c r="J2238" s="22" t="str">
        <x:v>农业生态</x:v>
      </x:c>
      <x:c r="K2238" s="32" t="str">
        <x:v>202</x:v>
      </x:c>
      <x:c r="L2238" s="22" t="str">
        <x:v>建制镇范围</x:v>
      </x:c>
      <x:c r="M2238" s="33" t="n">
        <x:v>38251.13999999999</x:v>
      </x:c>
      <x:c r="N2238" s="33" t="n">
        <x:v>3.8251139999999992</x:v>
      </x:c>
      <x:c r="O2238" s="22" t="str">
        <x:v>公顷</x:v>
      </x:c>
      <x:c r="P2238" s="22" t="str">
        <x:v>未提供（单期横截面）</x:v>
      </x:c>
      <x:c r="Q2238" s="23" t="n">
        <x:v>5217</x:v>
      </x:c>
    </x:row>
    <x:row r="2239">
      <x:c r="A2239" s="30" t="n">
        <x:v>350600</x:v>
      </x:c>
      <x:c r="B2239" s="22" t="str">
        <x:v>漳州市</x:v>
      </x:c>
      <x:c r="C2239" s="31" t="n">
        <x:v>350622</x:v>
      </x:c>
      <x:c r="D2239" s="22" t="str">
        <x:v>云霄县</x:v>
      </x:c>
      <x:c r="E2239" s="22" t="str">
        <x:v>农用地</x:v>
      </x:c>
      <x:c r="F2239" s="22" t="str">
        <x:v>耕地</x:v>
      </x:c>
      <x:c r="G2239" s="32" t="str">
        <x:v>102</x:v>
      </x:c>
      <x:c r="H2239" s="32" t="str">
        <x:v>102</x:v>
      </x:c>
      <x:c r="I2239" s="22" t="str">
        <x:v>水浇地</x:v>
      </x:c>
      <x:c r="J2239" s="22" t="str">
        <x:v>农业生态</x:v>
      </x:c>
      <x:c r="K2239" s="32" t="str">
        <x:v>202</x:v>
      </x:c>
      <x:c r="L2239" s="22" t="str">
        <x:v>建制镇范围</x:v>
      </x:c>
      <x:c r="M2239" s="33" t="n">
        <x:v>10578.189999999999</x:v>
      </x:c>
      <x:c r="N2239" s="33" t="n">
        <x:v>1.0578189999999998</x:v>
      </x:c>
      <x:c r="O2239" s="22" t="str">
        <x:v>公顷</x:v>
      </x:c>
      <x:c r="P2239" s="22" t="str">
        <x:v>未提供（单期横截面）</x:v>
      </x:c>
      <x:c r="Q2239" s="23" t="n">
        <x:v>5218</x:v>
      </x:c>
    </x:row>
    <x:row r="2240">
      <x:c r="A2240" s="30" t="n">
        <x:v>350600</x:v>
      </x:c>
      <x:c r="B2240" s="22" t="str">
        <x:v>漳州市</x:v>
      </x:c>
      <x:c r="C2240" s="31" t="n">
        <x:v>350622</x:v>
      </x:c>
      <x:c r="D2240" s="22" t="str">
        <x:v>云霄县</x:v>
      </x:c>
      <x:c r="E2240" s="22" t="str">
        <x:v>农用地</x:v>
      </x:c>
      <x:c r="F2240" s="22" t="str">
        <x:v>耕地</x:v>
      </x:c>
      <x:c r="G2240" s="32" t="str">
        <x:v>103</x:v>
      </x:c>
      <x:c r="H2240" s="32" t="str">
        <x:v>103</x:v>
      </x:c>
      <x:c r="I2240" s="22" t="str">
        <x:v>旱地</x:v>
      </x:c>
      <x:c r="J2240" s="22" t="str">
        <x:v>农业生态</x:v>
      </x:c>
      <x:c r="K2240" s="32" t="str">
        <x:v>202</x:v>
      </x:c>
      <x:c r="L2240" s="22" t="str">
        <x:v>建制镇范围</x:v>
      </x:c>
      <x:c r="M2240" s="33" t="n">
        <x:v>33912.02</x:v>
      </x:c>
      <x:c r="N2240" s="33" t="n">
        <x:v>3.391202</x:v>
      </x:c>
      <x:c r="O2240" s="22" t="str">
        <x:v>公顷</x:v>
      </x:c>
      <x:c r="P2240" s="22" t="str">
        <x:v>未提供（单期横截面）</x:v>
      </x:c>
      <x:c r="Q2240" s="23" t="n">
        <x:v>5219</x:v>
      </x:c>
    </x:row>
    <x:row r="2241">
      <x:c r="A2241" s="30" t="n">
        <x:v>350600</x:v>
      </x:c>
      <x:c r="B2241" s="22" t="str">
        <x:v>漳州市</x:v>
      </x:c>
      <x:c r="C2241" s="31" t="n">
        <x:v>350622</x:v>
      </x:c>
      <x:c r="D2241" s="22" t="str">
        <x:v>云霄县</x:v>
      </x:c>
      <x:c r="E2241" s="22" t="str">
        <x:v>农用地</x:v>
      </x:c>
      <x:c r="F2241" s="22" t="str">
        <x:v>园地</x:v>
      </x:c>
      <x:c r="G2241" s="32" t="str">
        <x:v>201</x:v>
      </x:c>
      <x:c r="H2241" s="32" t="str">
        <x:v>201</x:v>
      </x:c>
      <x:c r="I2241" s="22" t="str">
        <x:v>果园</x:v>
      </x:c>
      <x:c r="J2241" s="22" t="str">
        <x:v>农业生态</x:v>
      </x:c>
      <x:c r="K2241" s="32" t="str">
        <x:v>202</x:v>
      </x:c>
      <x:c r="L2241" s="22" t="str">
        <x:v>建制镇范围</x:v>
      </x:c>
      <x:c r="M2241" s="33" t="n">
        <x:v>141244.34</x:v>
      </x:c>
      <x:c r="N2241" s="33" t="n">
        <x:v>14.124433999999999</x:v>
      </x:c>
      <x:c r="O2241" s="22" t="str">
        <x:v>公顷</x:v>
      </x:c>
      <x:c r="P2241" s="22" t="str">
        <x:v>未提供（单期横截面）</x:v>
      </x:c>
      <x:c r="Q2241" s="23" t="n">
        <x:v>5220</x:v>
      </x:c>
    </x:row>
    <x:row r="2242">
      <x:c r="A2242" s="30" t="n">
        <x:v>350600</x:v>
      </x:c>
      <x:c r="B2242" s="22" t="str">
        <x:v>漳州市</x:v>
      </x:c>
      <x:c r="C2242" s="31" t="n">
        <x:v>350622</x:v>
      </x:c>
      <x:c r="D2242" s="22" t="str">
        <x:v>云霄县</x:v>
      </x:c>
      <x:c r="E2242" s="22" t="str">
        <x:v>农用地</x:v>
      </x:c>
      <x:c r="F2242" s="22" t="str">
        <x:v>园地</x:v>
      </x:c>
      <x:c r="G2242" s="32" t="str">
        <x:v>204</x:v>
      </x:c>
      <x:c r="H2242" s="32" t="str">
        <x:v>204</x:v>
      </x:c>
      <x:c r="I2242" s="22" t="str">
        <x:v>其他园地</x:v>
      </x:c>
      <x:c r="J2242" s="22" t="str">
        <x:v>农业生态</x:v>
      </x:c>
      <x:c r="K2242" s="32" t="str">
        <x:v>202</x:v>
      </x:c>
      <x:c r="L2242" s="22" t="str">
        <x:v>建制镇范围</x:v>
      </x:c>
      <x:c r="M2242" s="33" t="n">
        <x:v>8830.07</x:v>
      </x:c>
      <x:c r="N2242" s="33" t="n">
        <x:v>0.883007</x:v>
      </x:c>
      <x:c r="O2242" s="22" t="str">
        <x:v>公顷</x:v>
      </x:c>
      <x:c r="P2242" s="22" t="str">
        <x:v>未提供（单期横截面）</x:v>
      </x:c>
      <x:c r="Q2242" s="23" t="n">
        <x:v>5221</x:v>
      </x:c>
    </x:row>
    <x:row r="2243">
      <x:c r="A2243" s="30" t="n">
        <x:v>350600</x:v>
      </x:c>
      <x:c r="B2243" s="22" t="str">
        <x:v>漳州市</x:v>
      </x:c>
      <x:c r="C2243" s="31" t="n">
        <x:v>350622</x:v>
      </x:c>
      <x:c r="D2243" s="22" t="str">
        <x:v>云霄县</x:v>
      </x:c>
      <x:c r="E2243" s="22" t="str">
        <x:v>农用地</x:v>
      </x:c>
      <x:c r="F2243" s="22" t="str">
        <x:v>林地</x:v>
      </x:c>
      <x:c r="G2243" s="32" t="str">
        <x:v>301</x:v>
      </x:c>
      <x:c r="H2243" s="32" t="str">
        <x:v>301</x:v>
      </x:c>
      <x:c r="I2243" s="22" t="str">
        <x:v>乔木林地</x:v>
      </x:c>
      <x:c r="J2243" s="22" t="str">
        <x:v>农业生态</x:v>
      </x:c>
      <x:c r="K2243" s="32" t="str">
        <x:v>202</x:v>
      </x:c>
      <x:c r="L2243" s="22" t="str">
        <x:v>建制镇范围</x:v>
      </x:c>
      <x:c r="M2243" s="33" t="n">
        <x:v>146343.14999999997</x:v>
      </x:c>
      <x:c r="N2243" s="33" t="n">
        <x:v>14.634314999999997</x:v>
      </x:c>
      <x:c r="O2243" s="22" t="str">
        <x:v>公顷</x:v>
      </x:c>
      <x:c r="P2243" s="22" t="str">
        <x:v>未提供（单期横截面）</x:v>
      </x:c>
      <x:c r="Q2243" s="23" t="n">
        <x:v>5222</x:v>
      </x:c>
    </x:row>
    <x:row r="2244">
      <x:c r="A2244" s="30" t="n">
        <x:v>350600</x:v>
      </x:c>
      <x:c r="B2244" s="22" t="str">
        <x:v>漳州市</x:v>
      </x:c>
      <x:c r="C2244" s="31" t="n">
        <x:v>350622</x:v>
      </x:c>
      <x:c r="D2244" s="22" t="str">
        <x:v>云霄县</x:v>
      </x:c>
      <x:c r="E2244" s="22" t="str">
        <x:v>农用地</x:v>
      </x:c>
      <x:c r="F2244" s="22" t="str">
        <x:v>林地</x:v>
      </x:c>
      <x:c r="G2244" s="32" t="str">
        <x:v>302</x:v>
      </x:c>
      <x:c r="H2244" s="32" t="str">
        <x:v>302</x:v>
      </x:c>
      <x:c r="I2244" s="22" t="str">
        <x:v>竹林地</x:v>
      </x:c>
      <x:c r="J2244" s="22" t="str">
        <x:v>农业生态</x:v>
      </x:c>
      <x:c r="K2244" s="32" t="str">
        <x:v>202</x:v>
      </x:c>
      <x:c r="L2244" s="22" t="str">
        <x:v>建制镇范围</x:v>
      </x:c>
      <x:c r="M2244" s="33" t="n">
        <x:v>659.23</x:v>
      </x:c>
      <x:c r="N2244" s="33" t="n">
        <x:v>0.065923</x:v>
      </x:c>
      <x:c r="O2244" s="22" t="str">
        <x:v>公顷</x:v>
      </x:c>
      <x:c r="P2244" s="22" t="str">
        <x:v>未提供（单期横截面）</x:v>
      </x:c>
      <x:c r="Q2244" s="23" t="n">
        <x:v>5223</x:v>
      </x:c>
    </x:row>
    <x:row r="2245">
      <x:c r="A2245" s="30" t="n">
        <x:v>350600</x:v>
      </x:c>
      <x:c r="B2245" s="22" t="str">
        <x:v>漳州市</x:v>
      </x:c>
      <x:c r="C2245" s="31" t="n">
        <x:v>350622</x:v>
      </x:c>
      <x:c r="D2245" s="22" t="str">
        <x:v>云霄县</x:v>
      </x:c>
      <x:c r="E2245" s="22" t="str">
        <x:v>农用地</x:v>
      </x:c>
      <x:c r="F2245" s="22" t="str">
        <x:v>林地</x:v>
      </x:c>
      <x:c r="G2245" s="32" t="str">
        <x:v>305</x:v>
      </x:c>
      <x:c r="H2245" s="32" t="str">
        <x:v>305</x:v>
      </x:c>
      <x:c r="I2245" s="22" t="str">
        <x:v>灌木林地</x:v>
      </x:c>
      <x:c r="J2245" s="22" t="str">
        <x:v>农业生态</x:v>
      </x:c>
      <x:c r="K2245" s="32" t="str">
        <x:v>202</x:v>
      </x:c>
      <x:c r="L2245" s="22" t="str">
        <x:v>建制镇范围</x:v>
      </x:c>
      <x:c r="M2245" s="33" t="n">
        <x:v>6792.7699999999995</x:v>
      </x:c>
      <x:c r="N2245" s="33" t="n">
        <x:v>0.6792769999999999</x:v>
      </x:c>
      <x:c r="O2245" s="22" t="str">
        <x:v>公顷</x:v>
      </x:c>
      <x:c r="P2245" s="22" t="str">
        <x:v>未提供（单期横截面）</x:v>
      </x:c>
      <x:c r="Q2245" s="23" t="n">
        <x:v>5224</x:v>
      </x:c>
    </x:row>
    <x:row r="2246">
      <x:c r="A2246" s="30" t="n">
        <x:v>350600</x:v>
      </x:c>
      <x:c r="B2246" s="22" t="str">
        <x:v>漳州市</x:v>
      </x:c>
      <x:c r="C2246" s="31" t="n">
        <x:v>350622</x:v>
      </x:c>
      <x:c r="D2246" s="22" t="str">
        <x:v>云霄县</x:v>
      </x:c>
      <x:c r="E2246" s="22" t="str">
        <x:v>农用地</x:v>
      </x:c>
      <x:c r="F2246" s="22" t="str">
        <x:v>林地</x:v>
      </x:c>
      <x:c r="G2246" s="32" t="str">
        <x:v>307</x:v>
      </x:c>
      <x:c r="H2246" s="32" t="str">
        <x:v>307</x:v>
      </x:c>
      <x:c r="I2246" s="22" t="str">
        <x:v>其他林地</x:v>
      </x:c>
      <x:c r="J2246" s="22" t="str">
        <x:v>农业生态</x:v>
      </x:c>
      <x:c r="K2246" s="32" t="str">
        <x:v>202</x:v>
      </x:c>
      <x:c r="L2246" s="22" t="str">
        <x:v>建制镇范围</x:v>
      </x:c>
      <x:c r="M2246" s="33" t="n">
        <x:v>48546.27</x:v>
      </x:c>
      <x:c r="N2246" s="33" t="n">
        <x:v>4.854627</x:v>
      </x:c>
      <x:c r="O2246" s="22" t="str">
        <x:v>公顷</x:v>
      </x:c>
      <x:c r="P2246" s="22" t="str">
        <x:v>未提供（单期横截面）</x:v>
      </x:c>
      <x:c r="Q2246" s="23" t="n">
        <x:v>5225</x:v>
      </x:c>
    </x:row>
    <x:row r="2247">
      <x:c r="A2247" s="30" t="n">
        <x:v>350600</x:v>
      </x:c>
      <x:c r="B2247" s="22" t="str">
        <x:v>漳州市</x:v>
      </x:c>
      <x:c r="C2247" s="31" t="n">
        <x:v>350622</x:v>
      </x:c>
      <x:c r="D2247" s="22" t="str">
        <x:v>云霄县</x:v>
      </x:c>
      <x:c r="E2247" s="22" t="str">
        <x:v>农用地</x:v>
      </x:c>
      <x:c r="F2247" s="22" t="str">
        <x:v>水域及水利设施</x:v>
      </x:c>
      <x:c r="G2247" s="32" t="str">
        <x:v>1104</x:v>
      </x:c>
      <x:c r="H2247" s="32" t="str">
        <x:v>1104</x:v>
      </x:c>
      <x:c r="I2247" s="22" t="str">
        <x:v>坑塘水面</x:v>
      </x:c>
      <x:c r="J2247" s="22" t="str">
        <x:v>农业生态</x:v>
      </x:c>
      <x:c r="K2247" s="32" t="str">
        <x:v>202</x:v>
      </x:c>
      <x:c r="L2247" s="22" t="str">
        <x:v>建制镇范围</x:v>
      </x:c>
      <x:c r="M2247" s="33" t="n">
        <x:v>39512.3</x:v>
      </x:c>
      <x:c r="N2247" s="33" t="n">
        <x:v>3.9512300000000002</x:v>
      </x:c>
      <x:c r="O2247" s="22" t="str">
        <x:v>公顷</x:v>
      </x:c>
      <x:c r="P2247" s="22" t="str">
        <x:v>未提供（单期横截面）</x:v>
      </x:c>
      <x:c r="Q2247" s="23" t="n">
        <x:v>5226</x:v>
      </x:c>
    </x:row>
    <x:row r="2248">
      <x:c r="A2248" s="30" t="n">
        <x:v>350600</x:v>
      </x:c>
      <x:c r="B2248" s="22" t="str">
        <x:v>漳州市</x:v>
      </x:c>
      <x:c r="C2248" s="31" t="n">
        <x:v>350622</x:v>
      </x:c>
      <x:c r="D2248" s="22" t="str">
        <x:v>云霄县</x:v>
      </x:c>
      <x:c r="E2248" s="22" t="str">
        <x:v>农用地</x:v>
      </x:c>
      <x:c r="F2248" s="22" t="str">
        <x:v>水域及水利设施</x:v>
      </x:c>
      <x:c r="G2248" s="32" t="str">
        <x:v>1107</x:v>
      </x:c>
      <x:c r="H2248" s="32" t="str">
        <x:v>1107</x:v>
      </x:c>
      <x:c r="I2248" s="22" t="str">
        <x:v>沟渠</x:v>
      </x:c>
      <x:c r="J2248" s="22" t="str">
        <x:v>农业生态</x:v>
      </x:c>
      <x:c r="K2248" s="32" t="str">
        <x:v>202</x:v>
      </x:c>
      <x:c r="L2248" s="22" t="str">
        <x:v>建制镇范围</x:v>
      </x:c>
      <x:c r="M2248" s="33" t="n">
        <x:v>6398.9</x:v>
      </x:c>
      <x:c r="N2248" s="33" t="n">
        <x:v>0.63989</x:v>
      </x:c>
      <x:c r="O2248" s="22" t="str">
        <x:v>公顷</x:v>
      </x:c>
      <x:c r="P2248" s="22" t="str">
        <x:v>未提供（单期横截面）</x:v>
      </x:c>
      <x:c r="Q2248" s="23" t="n">
        <x:v>5227</x:v>
      </x:c>
    </x:row>
    <x:row r="2249">
      <x:c r="A2249" s="30" t="n">
        <x:v>350600</x:v>
      </x:c>
      <x:c r="B2249" s="22" t="str">
        <x:v>漳州市</x:v>
      </x:c>
      <x:c r="C2249" s="31" t="n">
        <x:v>350622</x:v>
      </x:c>
      <x:c r="D2249" s="22" t="str">
        <x:v>云霄县</x:v>
      </x:c>
      <x:c r="E2249" s="22" t="str">
        <x:v>农用地</x:v>
      </x:c>
      <x:c r="F2249" s="22" t="str">
        <x:v>其他农用地</x:v>
      </x:c>
      <x:c r="G2249" s="32" t="str">
        <x:v>1202</x:v>
      </x:c>
      <x:c r="H2249" s="32" t="str">
        <x:v>1202</x:v>
      </x:c>
      <x:c r="I2249" s="22" t="str">
        <x:v>设施农用地</x:v>
      </x:c>
      <x:c r="J2249" s="22" t="str">
        <x:v>农业生态</x:v>
      </x:c>
      <x:c r="K2249" s="32" t="str">
        <x:v>202</x:v>
      </x:c>
      <x:c r="L2249" s="22" t="str">
        <x:v>建制镇范围</x:v>
      </x:c>
      <x:c r="M2249" s="33" t="n">
        <x:v>696.03</x:v>
      </x:c>
      <x:c r="N2249" s="33" t="n">
        <x:v>0.069603</x:v>
      </x:c>
      <x:c r="O2249" s="22" t="str">
        <x:v>公顷</x:v>
      </x:c>
      <x:c r="P2249" s="22" t="str">
        <x:v>未提供（单期横截面）</x:v>
      </x:c>
      <x:c r="Q2249" s="23" t="n">
        <x:v>5228</x:v>
      </x:c>
    </x:row>
    <x:row r="2250">
      <x:c r="A2250" s="30" t="n">
        <x:v>350600</x:v>
      </x:c>
      <x:c r="B2250" s="22" t="str">
        <x:v>漳州市</x:v>
      </x:c>
      <x:c r="C2250" s="31" t="n">
        <x:v>350622</x:v>
      </x:c>
      <x:c r="D2250" s="22" t="str">
        <x:v>云霄县</x:v>
      </x:c>
      <x:c r="E2250" s="22" t="str">
        <x:v>农用地</x:v>
      </x:c>
      <x:c r="F2250" s="22" t="str">
        <x:v>耕地</x:v>
      </x:c>
      <x:c r="G2250" s="32" t="str">
        <x:v>101</x:v>
      </x:c>
      <x:c r="H2250" s="32" t="str">
        <x:v>101</x:v>
      </x:c>
      <x:c r="I2250" s="22" t="str">
        <x:v>水田</x:v>
      </x:c>
      <x:c r="J2250" s="22" t="str">
        <x:v>农业生态</x:v>
      </x:c>
      <x:c r="K2250" s="32" t="str">
        <x:v>203</x:v>
      </x:c>
      <x:c r="L2250" s="22" t="str">
        <x:v>村庄范围</x:v>
      </x:c>
      <x:c r="M2250" s="33" t="n">
        <x:v>65551.54000000001</x:v>
      </x:c>
      <x:c r="N2250" s="33" t="n">
        <x:v>6.555154000000001</x:v>
      </x:c>
      <x:c r="O2250" s="22" t="str">
        <x:v>公顷</x:v>
      </x:c>
      <x:c r="P2250" s="22" t="str">
        <x:v>未提供（单期横截面）</x:v>
      </x:c>
      <x:c r="Q2250" s="23" t="n">
        <x:v>5229</x:v>
      </x:c>
    </x:row>
    <x:row r="2251">
      <x:c r="A2251" s="30" t="n">
        <x:v>350600</x:v>
      </x:c>
      <x:c r="B2251" s="22" t="str">
        <x:v>漳州市</x:v>
      </x:c>
      <x:c r="C2251" s="31" t="n">
        <x:v>350622</x:v>
      </x:c>
      <x:c r="D2251" s="22" t="str">
        <x:v>云霄县</x:v>
      </x:c>
      <x:c r="E2251" s="22" t="str">
        <x:v>农用地</x:v>
      </x:c>
      <x:c r="F2251" s="22" t="str">
        <x:v>耕地</x:v>
      </x:c>
      <x:c r="G2251" s="32" t="str">
        <x:v>102</x:v>
      </x:c>
      <x:c r="H2251" s="32" t="str">
        <x:v>102</x:v>
      </x:c>
      <x:c r="I2251" s="22" t="str">
        <x:v>水浇地</x:v>
      </x:c>
      <x:c r="J2251" s="22" t="str">
        <x:v>农业生态</x:v>
      </x:c>
      <x:c r="K2251" s="32" t="str">
        <x:v>203</x:v>
      </x:c>
      <x:c r="L2251" s="22" t="str">
        <x:v>村庄范围</x:v>
      </x:c>
      <x:c r="M2251" s="33" t="n">
        <x:v>636.37</x:v>
      </x:c>
      <x:c r="N2251" s="33" t="n">
        <x:v>0.063637</x:v>
      </x:c>
      <x:c r="O2251" s="22" t="str">
        <x:v>公顷</x:v>
      </x:c>
      <x:c r="P2251" s="22" t="str">
        <x:v>未提供（单期横截面）</x:v>
      </x:c>
      <x:c r="Q2251" s="23" t="n">
        <x:v>5230</x:v>
      </x:c>
    </x:row>
    <x:row r="2252">
      <x:c r="A2252" s="30" t="n">
        <x:v>350600</x:v>
      </x:c>
      <x:c r="B2252" s="22" t="str">
        <x:v>漳州市</x:v>
      </x:c>
      <x:c r="C2252" s="31" t="n">
        <x:v>350622</x:v>
      </x:c>
      <x:c r="D2252" s="22" t="str">
        <x:v>云霄县</x:v>
      </x:c>
      <x:c r="E2252" s="22" t="str">
        <x:v>农用地</x:v>
      </x:c>
      <x:c r="F2252" s="22" t="str">
        <x:v>耕地</x:v>
      </x:c>
      <x:c r="G2252" s="32" t="str">
        <x:v>103</x:v>
      </x:c>
      <x:c r="H2252" s="32" t="str">
        <x:v>103</x:v>
      </x:c>
      <x:c r="I2252" s="22" t="str">
        <x:v>旱地</x:v>
      </x:c>
      <x:c r="J2252" s="22" t="str">
        <x:v>农业生态</x:v>
      </x:c>
      <x:c r="K2252" s="32" t="str">
        <x:v>203</x:v>
      </x:c>
      <x:c r="L2252" s="22" t="str">
        <x:v>村庄范围</x:v>
      </x:c>
      <x:c r="M2252" s="33" t="n">
        <x:v>36621.219999999994</x:v>
      </x:c>
      <x:c r="N2252" s="33" t="n">
        <x:v>3.662121999999999</x:v>
      </x:c>
      <x:c r="O2252" s="22" t="str">
        <x:v>公顷</x:v>
      </x:c>
      <x:c r="P2252" s="22" t="str">
        <x:v>未提供（单期横截面）</x:v>
      </x:c>
      <x:c r="Q2252" s="23" t="n">
        <x:v>5231</x:v>
      </x:c>
    </x:row>
    <x:row r="2253">
      <x:c r="A2253" s="30" t="n">
        <x:v>350600</x:v>
      </x:c>
      <x:c r="B2253" s="22" t="str">
        <x:v>漳州市</x:v>
      </x:c>
      <x:c r="C2253" s="31" t="n">
        <x:v>350622</x:v>
      </x:c>
      <x:c r="D2253" s="22" t="str">
        <x:v>云霄县</x:v>
      </x:c>
      <x:c r="E2253" s="22" t="str">
        <x:v>农用地</x:v>
      </x:c>
      <x:c r="F2253" s="22" t="str">
        <x:v>园地</x:v>
      </x:c>
      <x:c r="G2253" s="32" t="str">
        <x:v>201</x:v>
      </x:c>
      <x:c r="H2253" s="32" t="str">
        <x:v>201</x:v>
      </x:c>
      <x:c r="I2253" s="22" t="str">
        <x:v>果园</x:v>
      </x:c>
      <x:c r="J2253" s="22" t="str">
        <x:v>农业生态</x:v>
      </x:c>
      <x:c r="K2253" s="32" t="str">
        <x:v>203</x:v>
      </x:c>
      <x:c r="L2253" s="22" t="str">
        <x:v>村庄范围</x:v>
      </x:c>
      <x:c r="M2253" s="33" t="n">
        <x:v>102726.75</x:v>
      </x:c>
      <x:c r="N2253" s="33" t="n">
        <x:v>10.272675</x:v>
      </x:c>
      <x:c r="O2253" s="22" t="str">
        <x:v>公顷</x:v>
      </x:c>
      <x:c r="P2253" s="22" t="str">
        <x:v>未提供（单期横截面）</x:v>
      </x:c>
      <x:c r="Q2253" s="23" t="n">
        <x:v>5232</x:v>
      </x:c>
    </x:row>
    <x:row r="2254">
      <x:c r="A2254" s="30" t="n">
        <x:v>350600</x:v>
      </x:c>
      <x:c r="B2254" s="22" t="str">
        <x:v>漳州市</x:v>
      </x:c>
      <x:c r="C2254" s="31" t="n">
        <x:v>350622</x:v>
      </x:c>
      <x:c r="D2254" s="22" t="str">
        <x:v>云霄县</x:v>
      </x:c>
      <x:c r="E2254" s="22" t="str">
        <x:v>农用地</x:v>
      </x:c>
      <x:c r="F2254" s="22" t="str">
        <x:v>园地</x:v>
      </x:c>
      <x:c r="G2254" s="32" t="str">
        <x:v>204</x:v>
      </x:c>
      <x:c r="H2254" s="32" t="str">
        <x:v>204</x:v>
      </x:c>
      <x:c r="I2254" s="22" t="str">
        <x:v>其他园地</x:v>
      </x:c>
      <x:c r="J2254" s="22" t="str">
        <x:v>农业生态</x:v>
      </x:c>
      <x:c r="K2254" s="32" t="str">
        <x:v>203</x:v>
      </x:c>
      <x:c r="L2254" s="22" t="str">
        <x:v>村庄范围</x:v>
      </x:c>
      <x:c r="M2254" s="33" t="n">
        <x:v>521.81</x:v>
      </x:c>
      <x:c r="N2254" s="33" t="n">
        <x:v>0.05218099999999999</x:v>
      </x:c>
      <x:c r="O2254" s="22" t="str">
        <x:v>公顷</x:v>
      </x:c>
      <x:c r="P2254" s="22" t="str">
        <x:v>未提供（单期横截面）</x:v>
      </x:c>
      <x:c r="Q2254" s="23" t="n">
        <x:v>5233</x:v>
      </x:c>
    </x:row>
    <x:row r="2255">
      <x:c r="A2255" s="30" t="n">
        <x:v>350600</x:v>
      </x:c>
      <x:c r="B2255" s="22" t="str">
        <x:v>漳州市</x:v>
      </x:c>
      <x:c r="C2255" s="31" t="n">
        <x:v>350622</x:v>
      </x:c>
      <x:c r="D2255" s="22" t="str">
        <x:v>云霄县</x:v>
      </x:c>
      <x:c r="E2255" s="22" t="str">
        <x:v>农用地</x:v>
      </x:c>
      <x:c r="F2255" s="22" t="str">
        <x:v>林地</x:v>
      </x:c>
      <x:c r="G2255" s="32" t="str">
        <x:v>301</x:v>
      </x:c>
      <x:c r="H2255" s="32" t="str">
        <x:v>301</x:v>
      </x:c>
      <x:c r="I2255" s="22" t="str">
        <x:v>乔木林地</x:v>
      </x:c>
      <x:c r="J2255" s="22" t="str">
        <x:v>农业生态</x:v>
      </x:c>
      <x:c r="K2255" s="32" t="str">
        <x:v>203</x:v>
      </x:c>
      <x:c r="L2255" s="22" t="str">
        <x:v>村庄范围</x:v>
      </x:c>
      <x:c r="M2255" s="33" t="n">
        <x:v>16523.410000000003</x:v>
      </x:c>
      <x:c r="N2255" s="33" t="n">
        <x:v>1.6523410000000003</x:v>
      </x:c>
      <x:c r="O2255" s="22" t="str">
        <x:v>公顷</x:v>
      </x:c>
      <x:c r="P2255" s="22" t="str">
        <x:v>未提供（单期横截面）</x:v>
      </x:c>
      <x:c r="Q2255" s="23" t="n">
        <x:v>5234</x:v>
      </x:c>
    </x:row>
    <x:row r="2256">
      <x:c r="A2256" s="30" t="n">
        <x:v>350600</x:v>
      </x:c>
      <x:c r="B2256" s="22" t="str">
        <x:v>漳州市</x:v>
      </x:c>
      <x:c r="C2256" s="31" t="n">
        <x:v>350622</x:v>
      </x:c>
      <x:c r="D2256" s="22" t="str">
        <x:v>云霄县</x:v>
      </x:c>
      <x:c r="E2256" s="22" t="str">
        <x:v>农用地</x:v>
      </x:c>
      <x:c r="F2256" s="22" t="str">
        <x:v>林地</x:v>
      </x:c>
      <x:c r="G2256" s="32" t="str">
        <x:v>302</x:v>
      </x:c>
      <x:c r="H2256" s="32" t="str">
        <x:v>302</x:v>
      </x:c>
      <x:c r="I2256" s="22" t="str">
        <x:v>竹林地</x:v>
      </x:c>
      <x:c r="J2256" s="22" t="str">
        <x:v>农业生态</x:v>
      </x:c>
      <x:c r="K2256" s="32" t="str">
        <x:v>203</x:v>
      </x:c>
      <x:c r="L2256" s="22" t="str">
        <x:v>村庄范围</x:v>
      </x:c>
      <x:c r="M2256" s="33" t="n">
        <x:v>1886.33</x:v>
      </x:c>
      <x:c r="N2256" s="33" t="n">
        <x:v>0.188633</x:v>
      </x:c>
      <x:c r="O2256" s="22" t="str">
        <x:v>公顷</x:v>
      </x:c>
      <x:c r="P2256" s="22" t="str">
        <x:v>未提供（单期横截面）</x:v>
      </x:c>
      <x:c r="Q2256" s="23" t="n">
        <x:v>5235</x:v>
      </x:c>
    </x:row>
    <x:row r="2257">
      <x:c r="A2257" s="30" t="n">
        <x:v>350600</x:v>
      </x:c>
      <x:c r="B2257" s="22" t="str">
        <x:v>漳州市</x:v>
      </x:c>
      <x:c r="C2257" s="31" t="n">
        <x:v>350622</x:v>
      </x:c>
      <x:c r="D2257" s="22" t="str">
        <x:v>云霄县</x:v>
      </x:c>
      <x:c r="E2257" s="22" t="str">
        <x:v>农用地</x:v>
      </x:c>
      <x:c r="F2257" s="22" t="str">
        <x:v>林地</x:v>
      </x:c>
      <x:c r="G2257" s="32" t="str">
        <x:v>307</x:v>
      </x:c>
      <x:c r="H2257" s="32" t="str">
        <x:v>307</x:v>
      </x:c>
      <x:c r="I2257" s="22" t="str">
        <x:v>其他林地</x:v>
      </x:c>
      <x:c r="J2257" s="22" t="str">
        <x:v>农业生态</x:v>
      </x:c>
      <x:c r="K2257" s="32" t="str">
        <x:v>203</x:v>
      </x:c>
      <x:c r="L2257" s="22" t="str">
        <x:v>村庄范围</x:v>
      </x:c>
      <x:c r="M2257" s="33" t="n">
        <x:v>3955.3099999999995</x:v>
      </x:c>
      <x:c r="N2257" s="33" t="n">
        <x:v>0.39553099999999997</x:v>
      </x:c>
      <x:c r="O2257" s="22" t="str">
        <x:v>公顷</x:v>
      </x:c>
      <x:c r="P2257" s="22" t="str">
        <x:v>未提供（单期横截面）</x:v>
      </x:c>
      <x:c r="Q2257" s="23" t="n">
        <x:v>5236</x:v>
      </x:c>
    </x:row>
    <x:row r="2258">
      <x:c r="A2258" s="30" t="n">
        <x:v>350600</x:v>
      </x:c>
      <x:c r="B2258" s="22" t="str">
        <x:v>漳州市</x:v>
      </x:c>
      <x:c r="C2258" s="31" t="n">
        <x:v>350622</x:v>
      </x:c>
      <x:c r="D2258" s="22" t="str">
        <x:v>云霄县</x:v>
      </x:c>
      <x:c r="E2258" s="22" t="str">
        <x:v>农用地</x:v>
      </x:c>
      <x:c r="F2258" s="22" t="str">
        <x:v>水域及水利设施</x:v>
      </x:c>
      <x:c r="G2258" s="32" t="str">
        <x:v>1104</x:v>
      </x:c>
      <x:c r="H2258" s="32" t="str">
        <x:v>1104</x:v>
      </x:c>
      <x:c r="I2258" s="22" t="str">
        <x:v>坑塘水面</x:v>
      </x:c>
      <x:c r="J2258" s="22" t="str">
        <x:v>农业生态</x:v>
      </x:c>
      <x:c r="K2258" s="32" t="str">
        <x:v>203</x:v>
      </x:c>
      <x:c r="L2258" s="22" t="str">
        <x:v>村庄范围</x:v>
      </x:c>
      <x:c r="M2258" s="33" t="n">
        <x:v>61266.680000000015</x:v>
      </x:c>
      <x:c r="N2258" s="33" t="n">
        <x:v>6.126668000000001</x:v>
      </x:c>
      <x:c r="O2258" s="22" t="str">
        <x:v>公顷</x:v>
      </x:c>
      <x:c r="P2258" s="22" t="str">
        <x:v>未提供（单期横截面）</x:v>
      </x:c>
      <x:c r="Q2258" s="23" t="n">
        <x:v>5237</x:v>
      </x:c>
    </x:row>
    <x:row r="2259">
      <x:c r="A2259" s="30" t="n">
        <x:v>350600</x:v>
      </x:c>
      <x:c r="B2259" s="22" t="str">
        <x:v>漳州市</x:v>
      </x:c>
      <x:c r="C2259" s="31" t="n">
        <x:v>350622</x:v>
      </x:c>
      <x:c r="D2259" s="22" t="str">
        <x:v>云霄县</x:v>
      </x:c>
      <x:c r="E2259" s="22" t="str">
        <x:v>农用地</x:v>
      </x:c>
      <x:c r="F2259" s="22" t="str">
        <x:v>水域及水利设施</x:v>
      </x:c>
      <x:c r="G2259" s="32" t="str">
        <x:v>1107</x:v>
      </x:c>
      <x:c r="H2259" s="32" t="str">
        <x:v>1107</x:v>
      </x:c>
      <x:c r="I2259" s="22" t="str">
        <x:v>沟渠</x:v>
      </x:c>
      <x:c r="J2259" s="22" t="str">
        <x:v>农业生态</x:v>
      </x:c>
      <x:c r="K2259" s="32" t="str">
        <x:v>203</x:v>
      </x:c>
      <x:c r="L2259" s="22" t="str">
        <x:v>村庄范围</x:v>
      </x:c>
      <x:c r="M2259" s="33" t="n">
        <x:v>5009.55</x:v>
      </x:c>
      <x:c r="N2259" s="33" t="n">
        <x:v>0.500955</x:v>
      </x:c>
      <x:c r="O2259" s="22" t="str">
        <x:v>公顷</x:v>
      </x:c>
      <x:c r="P2259" s="22" t="str">
        <x:v>未提供（单期横截面）</x:v>
      </x:c>
      <x:c r="Q2259" s="23" t="n">
        <x:v>5238</x:v>
      </x:c>
    </x:row>
    <x:row r="2260">
      <x:c r="A2260" s="30" t="n">
        <x:v>350600</x:v>
      </x:c>
      <x:c r="B2260" s="22" t="str">
        <x:v>漳州市</x:v>
      </x:c>
      <x:c r="C2260" s="31" t="n">
        <x:v>350622</x:v>
      </x:c>
      <x:c r="D2260" s="22" t="str">
        <x:v>云霄县</x:v>
      </x:c>
      <x:c r="E2260" s="22" t="str">
        <x:v>农用地</x:v>
      </x:c>
      <x:c r="F2260" s="22" t="str">
        <x:v>其他农用地</x:v>
      </x:c>
      <x:c r="G2260" s="32" t="str">
        <x:v>1202</x:v>
      </x:c>
      <x:c r="H2260" s="32" t="str">
        <x:v>1202</x:v>
      </x:c>
      <x:c r="I2260" s="22" t="str">
        <x:v>设施农用地</x:v>
      </x:c>
      <x:c r="J2260" s="22" t="str">
        <x:v>农业生态</x:v>
      </x:c>
      <x:c r="K2260" s="32" t="str">
        <x:v>203</x:v>
      </x:c>
      <x:c r="L2260" s="22" t="str">
        <x:v>村庄范围</x:v>
      </x:c>
      <x:c r="M2260" s="33" t="n">
        <x:v>2443.87</x:v>
      </x:c>
      <x:c r="N2260" s="33" t="n">
        <x:v>0.244387</x:v>
      </x:c>
      <x:c r="O2260" s="22" t="str">
        <x:v>公顷</x:v>
      </x:c>
      <x:c r="P2260" s="22" t="str">
        <x:v>未提供（单期横截面）</x:v>
      </x:c>
      <x:c r="Q2260" s="23" t="n">
        <x:v>5239</x:v>
      </x:c>
    </x:row>
    <x:row r="2261">
      <x:c r="A2261" s="30" t="n">
        <x:v>350600</x:v>
      </x:c>
      <x:c r="B2261" s="22" t="str">
        <x:v>漳州市</x:v>
      </x:c>
      <x:c r="C2261" s="31" t="n">
        <x:v>350622</x:v>
      </x:c>
      <x:c r="D2261" s="22" t="str">
        <x:v>云霄县</x:v>
      </x:c>
      <x:c r="E2261" s="22" t="str">
        <x:v>未利用地</x:v>
      </x:c>
      <x:c r="F2261" s="22" t="str">
        <x:v>草地</x:v>
      </x:c>
      <x:c r="G2261" s="32" t="str">
        <x:v>404</x:v>
      </x:c>
      <x:c r="H2261" s="32" t="str">
        <x:v>404</x:v>
      </x:c>
      <x:c r="I2261" s="22" t="str">
        <x:v>其他草地</x:v>
      </x:c>
      <x:c r="J2261" s="22" t="str">
        <x:v>农业生态</x:v>
      </x:c>
      <x:c r="K2261" s="32" t="str"/>
      <x:c r="L2261" s="22" t="str">
        <x:v>不适用/未标注</x:v>
      </x:c>
      <x:c r="M2261" s="33" t="n">
        <x:v>5380463.550000002</x:v>
      </x:c>
      <x:c r="N2261" s="33" t="n">
        <x:v>538.0463550000002</x:v>
      </x:c>
      <x:c r="O2261" s="22" t="str">
        <x:v>公顷</x:v>
      </x:c>
      <x:c r="P2261" s="22" t="str">
        <x:v>未提供（单期横截面）</x:v>
      </x:c>
      <x:c r="Q2261" s="23" t="n">
        <x:v>5240</x:v>
      </x:c>
    </x:row>
    <x:row r="2262">
      <x:c r="A2262" s="30" t="n">
        <x:v>350600</x:v>
      </x:c>
      <x:c r="B2262" s="22" t="str">
        <x:v>漳州市</x:v>
      </x:c>
      <x:c r="C2262" s="31" t="n">
        <x:v>350622</x:v>
      </x:c>
      <x:c r="D2262" s="22" t="str">
        <x:v>云霄县</x:v>
      </x:c>
      <x:c r="E2262" s="22" t="str">
        <x:v>未利用地</x:v>
      </x:c>
      <x:c r="F2262" s="22" t="str">
        <x:v>水域及水利设施</x:v>
      </x:c>
      <x:c r="G2262" s="32" t="str">
        <x:v>1101</x:v>
      </x:c>
      <x:c r="H2262" s="32" t="str">
        <x:v>1101</x:v>
      </x:c>
      <x:c r="I2262" s="22" t="str">
        <x:v>河流水面</x:v>
      </x:c>
      <x:c r="J2262" s="22" t="str">
        <x:v>农业生态</x:v>
      </x:c>
      <x:c r="K2262" s="32" t="str"/>
      <x:c r="L2262" s="22" t="str">
        <x:v>不适用/未标注</x:v>
      </x:c>
      <x:c r="M2262" s="33" t="n">
        <x:v>23758921.230000023</x:v>
      </x:c>
      <x:c r="N2262" s="33" t="n">
        <x:v>2375.8921230000024</x:v>
      </x:c>
      <x:c r="O2262" s="22" t="str">
        <x:v>公顷</x:v>
      </x:c>
      <x:c r="P2262" s="22" t="str">
        <x:v>未提供（单期横截面）</x:v>
      </x:c>
      <x:c r="Q2262" s="23" t="n">
        <x:v>5241</x:v>
      </x:c>
    </x:row>
    <x:row r="2263">
      <x:c r="A2263" s="30" t="n">
        <x:v>350600</x:v>
      </x:c>
      <x:c r="B2263" s="22" t="str">
        <x:v>漳州市</x:v>
      </x:c>
      <x:c r="C2263" s="31" t="n">
        <x:v>350622</x:v>
      </x:c>
      <x:c r="D2263" s="22" t="str">
        <x:v>云霄县</x:v>
      </x:c>
      <x:c r="E2263" s="22" t="str">
        <x:v>未利用地</x:v>
      </x:c>
      <x:c r="F2263" s="22" t="str">
        <x:v>水域及水利设施</x:v>
      </x:c>
      <x:c r="G2263" s="32" t="str">
        <x:v>1105</x:v>
      </x:c>
      <x:c r="H2263" s="32" t="str">
        <x:v>1105</x:v>
      </x:c>
      <x:c r="I2263" s="22" t="str">
        <x:v>沿海滩涂</x:v>
      </x:c>
      <x:c r="J2263" s="22" t="str">
        <x:v>农业生态</x:v>
      </x:c>
      <x:c r="K2263" s="32" t="str"/>
      <x:c r="L2263" s="22" t="str">
        <x:v>不适用/未标注</x:v>
      </x:c>
      <x:c r="M2263" s="33" t="n">
        <x:v>12230528.290000003</x:v>
      </x:c>
      <x:c r="N2263" s="33" t="n">
        <x:v>1223.0528290000002</x:v>
      </x:c>
      <x:c r="O2263" s="22" t="str">
        <x:v>公顷</x:v>
      </x:c>
      <x:c r="P2263" s="22" t="str">
        <x:v>未提供（单期横截面）</x:v>
      </x:c>
      <x:c r="Q2263" s="23" t="n">
        <x:v>5242</x:v>
      </x:c>
    </x:row>
    <x:row r="2264">
      <x:c r="A2264" s="30" t="n">
        <x:v>350600</x:v>
      </x:c>
      <x:c r="B2264" s="22" t="str">
        <x:v>漳州市</x:v>
      </x:c>
      <x:c r="C2264" s="31" t="n">
        <x:v>350622</x:v>
      </x:c>
      <x:c r="D2264" s="22" t="str">
        <x:v>云霄县</x:v>
      </x:c>
      <x:c r="E2264" s="22" t="str">
        <x:v>未利用地</x:v>
      </x:c>
      <x:c r="F2264" s="22" t="str">
        <x:v>水域及水利设施</x:v>
      </x:c>
      <x:c r="G2264" s="32" t="str">
        <x:v>1106</x:v>
      </x:c>
      <x:c r="H2264" s="32" t="str">
        <x:v>1106</x:v>
      </x:c>
      <x:c r="I2264" s="22" t="str">
        <x:v>内陆滩涂</x:v>
      </x:c>
      <x:c r="J2264" s="22" t="str">
        <x:v>农业生态</x:v>
      </x:c>
      <x:c r="K2264" s="32" t="str"/>
      <x:c r="L2264" s="22" t="str">
        <x:v>不适用/未标注</x:v>
      </x:c>
      <x:c r="M2264" s="33" t="n">
        <x:v>4425035.5</x:v>
      </x:c>
      <x:c r="N2264" s="33" t="n">
        <x:v>442.50355</x:v>
      </x:c>
      <x:c r="O2264" s="22" t="str">
        <x:v>公顷</x:v>
      </x:c>
      <x:c r="P2264" s="22" t="str">
        <x:v>未提供（单期横截面）</x:v>
      </x:c>
      <x:c r="Q2264" s="23" t="n">
        <x:v>5243</x:v>
      </x:c>
    </x:row>
    <x:row r="2265">
      <x:c r="A2265" s="30" t="n">
        <x:v>350600</x:v>
      </x:c>
      <x:c r="B2265" s="22" t="str">
        <x:v>漳州市</x:v>
      </x:c>
      <x:c r="C2265" s="31" t="n">
        <x:v>350622</x:v>
      </x:c>
      <x:c r="D2265" s="22" t="str">
        <x:v>云霄县</x:v>
      </x:c>
      <x:c r="E2265" s="22" t="str">
        <x:v>未利用地</x:v>
      </x:c>
      <x:c r="F2265" s="22" t="str">
        <x:v>未利用地</x:v>
      </x:c>
      <x:c r="G2265" s="32" t="str">
        <x:v>1206</x:v>
      </x:c>
      <x:c r="H2265" s="32" t="str">
        <x:v>1206</x:v>
      </x:c>
      <x:c r="I2265" s="22" t="str">
        <x:v>裸土地</x:v>
      </x:c>
      <x:c r="J2265" s="22" t="str">
        <x:v>未利用地</x:v>
      </x:c>
      <x:c r="K2265" s="32" t="str"/>
      <x:c r="L2265" s="22" t="str">
        <x:v>不适用/未标注</x:v>
      </x:c>
      <x:c r="M2265" s="33" t="n">
        <x:v>13308.74</x:v>
      </x:c>
      <x:c r="N2265" s="33" t="n">
        <x:v>1.330874</x:v>
      </x:c>
      <x:c r="O2265" s="22" t="str">
        <x:v>公顷</x:v>
      </x:c>
      <x:c r="P2265" s="22" t="str">
        <x:v>未提供（单期横截面）</x:v>
      </x:c>
      <x:c r="Q2265" s="23" t="n">
        <x:v>5244</x:v>
      </x:c>
    </x:row>
    <x:row r="2266">
      <x:c r="A2266" s="30" t="n">
        <x:v>350600</x:v>
      </x:c>
      <x:c r="B2266" s="22" t="str">
        <x:v>漳州市</x:v>
      </x:c>
      <x:c r="C2266" s="31" t="n">
        <x:v>350622</x:v>
      </x:c>
      <x:c r="D2266" s="22" t="str">
        <x:v>云霄县</x:v>
      </x:c>
      <x:c r="E2266" s="22" t="str">
        <x:v>未利用地</x:v>
      </x:c>
      <x:c r="F2266" s="22" t="str">
        <x:v>未利用地</x:v>
      </x:c>
      <x:c r="G2266" s="32" t="str">
        <x:v>1207</x:v>
      </x:c>
      <x:c r="H2266" s="32" t="str">
        <x:v>1207</x:v>
      </x:c>
      <x:c r="I2266" s="22" t="str">
        <x:v>裸岩石砾地</x:v>
      </x:c>
      <x:c r="J2266" s="22" t="str">
        <x:v>未利用地</x:v>
      </x:c>
      <x:c r="K2266" s="32" t="str"/>
      <x:c r="L2266" s="22" t="str">
        <x:v>不适用/未标注</x:v>
      </x:c>
      <x:c r="M2266" s="33" t="n">
        <x:v>10997041.229999997</x:v>
      </x:c>
      <x:c r="N2266" s="33" t="n">
        <x:v>1099.7041229999998</x:v>
      </x:c>
      <x:c r="O2266" s="22" t="str">
        <x:v>公顷</x:v>
      </x:c>
      <x:c r="P2266" s="22" t="str">
        <x:v>未提供（单期横截面）</x:v>
      </x:c>
      <x:c r="Q2266" s="23" t="n">
        <x:v>5245</x:v>
      </x:c>
    </x:row>
    <x:row r="2267">
      <x:c r="A2267" s="30" t="n">
        <x:v>350600</x:v>
      </x:c>
      <x:c r="B2267" s="22" t="str">
        <x:v>漳州市</x:v>
      </x:c>
      <x:c r="C2267" s="31" t="n">
        <x:v>350622</x:v>
      </x:c>
      <x:c r="D2267" s="22" t="str">
        <x:v>云霄县</x:v>
      </x:c>
      <x:c r="E2267" s="22" t="str">
        <x:v>未利用地</x:v>
      </x:c>
      <x:c r="F2267" s="22" t="str">
        <x:v>草地</x:v>
      </x:c>
      <x:c r="G2267" s="32" t="str">
        <x:v>404</x:v>
      </x:c>
      <x:c r="H2267" s="32" t="str">
        <x:v>404</x:v>
      </x:c>
      <x:c r="I2267" s="22" t="str">
        <x:v>其他草地</x:v>
      </x:c>
      <x:c r="J2267" s="22" t="str">
        <x:v>农业生态</x:v>
      </x:c>
      <x:c r="K2267" s="32" t="str">
        <x:v>202</x:v>
      </x:c>
      <x:c r="L2267" s="22" t="str">
        <x:v>建制镇范围</x:v>
      </x:c>
      <x:c r="M2267" s="33" t="n">
        <x:v>369258.69</x:v>
      </x:c>
      <x:c r="N2267" s="33" t="n">
        <x:v>36.925869</x:v>
      </x:c>
      <x:c r="O2267" s="22" t="str">
        <x:v>公顷</x:v>
      </x:c>
      <x:c r="P2267" s="22" t="str">
        <x:v>未提供（单期横截面）</x:v>
      </x:c>
      <x:c r="Q2267" s="23" t="n">
        <x:v>5246</x:v>
      </x:c>
    </x:row>
    <x:row r="2268">
      <x:c r="A2268" s="30" t="n">
        <x:v>350600</x:v>
      </x:c>
      <x:c r="B2268" s="22" t="str">
        <x:v>漳州市</x:v>
      </x:c>
      <x:c r="C2268" s="31" t="n">
        <x:v>350622</x:v>
      </x:c>
      <x:c r="D2268" s="22" t="str">
        <x:v>云霄县</x:v>
      </x:c>
      <x:c r="E2268" s="22" t="str">
        <x:v>未利用地</x:v>
      </x:c>
      <x:c r="F2268" s="22" t="str">
        <x:v>水域及水利设施</x:v>
      </x:c>
      <x:c r="G2268" s="32" t="str">
        <x:v>1101</x:v>
      </x:c>
      <x:c r="H2268" s="32" t="str">
        <x:v>1101</x:v>
      </x:c>
      <x:c r="I2268" s="22" t="str">
        <x:v>河流水面</x:v>
      </x:c>
      <x:c r="J2268" s="22" t="str">
        <x:v>农业生态</x:v>
      </x:c>
      <x:c r="K2268" s="32" t="str">
        <x:v>202</x:v>
      </x:c>
      <x:c r="L2268" s="22" t="str">
        <x:v>建制镇范围</x:v>
      </x:c>
      <x:c r="M2268" s="33" t="n">
        <x:v>27701.98</x:v>
      </x:c>
      <x:c r="N2268" s="33" t="n">
        <x:v>2.770198</x:v>
      </x:c>
      <x:c r="O2268" s="22" t="str">
        <x:v>公顷</x:v>
      </x:c>
      <x:c r="P2268" s="22" t="str">
        <x:v>未提供（单期横截面）</x:v>
      </x:c>
      <x:c r="Q2268" s="23" t="n">
        <x:v>5247</x:v>
      </x:c>
    </x:row>
    <x:row r="2269">
      <x:c r="A2269" s="30" t="n">
        <x:v>350600</x:v>
      </x:c>
      <x:c r="B2269" s="22" t="str">
        <x:v>漳州市</x:v>
      </x:c>
      <x:c r="C2269" s="31" t="n">
        <x:v>350622</x:v>
      </x:c>
      <x:c r="D2269" s="22" t="str">
        <x:v>云霄县</x:v>
      </x:c>
      <x:c r="E2269" s="22" t="str">
        <x:v>未利用地</x:v>
      </x:c>
      <x:c r="F2269" s="22" t="str">
        <x:v>草地</x:v>
      </x:c>
      <x:c r="G2269" s="32" t="str">
        <x:v>404</x:v>
      </x:c>
      <x:c r="H2269" s="32" t="str">
        <x:v>404</x:v>
      </x:c>
      <x:c r="I2269" s="22" t="str">
        <x:v>其他草地</x:v>
      </x:c>
      <x:c r="J2269" s="22" t="str">
        <x:v>农业生态</x:v>
      </x:c>
      <x:c r="K2269" s="32" t="str">
        <x:v>203</x:v>
      </x:c>
      <x:c r="L2269" s="22" t="str">
        <x:v>村庄范围</x:v>
      </x:c>
      <x:c r="M2269" s="33" t="n">
        <x:v>11989.6</x:v>
      </x:c>
      <x:c r="N2269" s="33" t="n">
        <x:v>1.19896</x:v>
      </x:c>
      <x:c r="O2269" s="22" t="str">
        <x:v>公顷</x:v>
      </x:c>
      <x:c r="P2269" s="22" t="str">
        <x:v>未提供（单期横截面）</x:v>
      </x:c>
      <x:c r="Q2269" s="23" t="n">
        <x:v>5248</x:v>
      </x:c>
    </x:row>
    <x:row r="2270">
      <x:c r="A2270" s="30" t="n">
        <x:v>350600</x:v>
      </x:c>
      <x:c r="B2270" s="22" t="str">
        <x:v>漳州市</x:v>
      </x:c>
      <x:c r="C2270" s="31" t="n">
        <x:v>350622</x:v>
      </x:c>
      <x:c r="D2270" s="22" t="str">
        <x:v>云霄县</x:v>
      </x:c>
      <x:c r="E2270" s="22" t="str">
        <x:v>未利用地</x:v>
      </x:c>
      <x:c r="F2270" s="22" t="str">
        <x:v>水域及水利设施</x:v>
      </x:c>
      <x:c r="G2270" s="32" t="str">
        <x:v>1101</x:v>
      </x:c>
      <x:c r="H2270" s="32" t="str">
        <x:v>1101</x:v>
      </x:c>
      <x:c r="I2270" s="22" t="str">
        <x:v>河流水面</x:v>
      </x:c>
      <x:c r="J2270" s="22" t="str">
        <x:v>农业生态</x:v>
      </x:c>
      <x:c r="K2270" s="32" t="str">
        <x:v>203</x:v>
      </x:c>
      <x:c r="L2270" s="22" t="str">
        <x:v>村庄范围</x:v>
      </x:c>
      <x:c r="M2270" s="33" t="n">
        <x:v>11424.650000000003</x:v>
      </x:c>
      <x:c r="N2270" s="33" t="n">
        <x:v>1.1424650000000003</x:v>
      </x:c>
      <x:c r="O2270" s="22" t="str">
        <x:v>公顷</x:v>
      </x:c>
      <x:c r="P2270" s="22" t="str">
        <x:v>未提供（单期横截面）</x:v>
      </x:c>
      <x:c r="Q2270" s="23" t="n">
        <x:v>5249</x:v>
      </x:c>
    </x:row>
    <x:row r="2271">
      <x:c r="A2271" s="30" t="n">
        <x:v>350600</x:v>
      </x:c>
      <x:c r="B2271" s="22" t="str">
        <x:v>漳州市</x:v>
      </x:c>
      <x:c r="C2271" s="31" t="n">
        <x:v>350623</x:v>
      </x:c>
      <x:c r="D2271" s="22" t="str">
        <x:v>漳浦县</x:v>
      </x:c>
      <x:c r="E2271" s="22" t="str">
        <x:v>建设用地</x:v>
      </x:c>
      <x:c r="F2271" s="22" t="str">
        <x:v>交通运输用地</x:v>
      </x:c>
      <x:c r="G2271" s="32" t="str">
        <x:v>1001</x:v>
      </x:c>
      <x:c r="H2271" s="32" t="str">
        <x:v>1001</x:v>
      </x:c>
      <x:c r="I2271" s="22" t="str">
        <x:v>铁路用地</x:v>
      </x:c>
      <x:c r="J2271" s="22" t="str">
        <x:v>交通门户</x:v>
      </x:c>
      <x:c r="K2271" s="32" t="str"/>
      <x:c r="L2271" s="22" t="str">
        <x:v>不适用/未标注</x:v>
      </x:c>
      <x:c r="M2271" s="33" t="n">
        <x:v>984066.7100000002</x:v>
      </x:c>
      <x:c r="N2271" s="33" t="n">
        <x:v>98.40667100000002</x:v>
      </x:c>
      <x:c r="O2271" s="22" t="str">
        <x:v>公顷</x:v>
      </x:c>
      <x:c r="P2271" s="22" t="str">
        <x:v>未提供（单期横截面）</x:v>
      </x:c>
      <x:c r="Q2271" s="23" t="n">
        <x:v>5250</x:v>
      </x:c>
    </x:row>
    <x:row r="2272">
      <x:c r="A2272" s="30" t="n">
        <x:v>350600</x:v>
      </x:c>
      <x:c r="B2272" s="22" t="str">
        <x:v>漳州市</x:v>
      </x:c>
      <x:c r="C2272" s="31" t="n">
        <x:v>350623</x:v>
      </x:c>
      <x:c r="D2272" s="22" t="str">
        <x:v>漳浦县</x:v>
      </x:c>
      <x:c r="E2272" s="22" t="str">
        <x:v>建设用地</x:v>
      </x:c>
      <x:c r="F2272" s="22" t="str">
        <x:v>交通运输用地</x:v>
      </x:c>
      <x:c r="G2272" s="32" t="str">
        <x:v>1003</x:v>
      </x:c>
      <x:c r="H2272" s="32" t="str">
        <x:v>1003</x:v>
      </x:c>
      <x:c r="I2272" s="22" t="str">
        <x:v>公路用地</x:v>
      </x:c>
      <x:c r="J2272" s="22" t="str">
        <x:v>交通门户</x:v>
      </x:c>
      <x:c r="K2272" s="32" t="str"/>
      <x:c r="L2272" s="22" t="str">
        <x:v>不适用/未标注</x:v>
      </x:c>
      <x:c r="M2272" s="33" t="n">
        <x:v>26101895.76000004</x:v>
      </x:c>
      <x:c r="N2272" s="33" t="n">
        <x:v>2610.189576000004</x:v>
      </x:c>
      <x:c r="O2272" s="22" t="str">
        <x:v>公顷</x:v>
      </x:c>
      <x:c r="P2272" s="22" t="str">
        <x:v>未提供（单期横截面）</x:v>
      </x:c>
      <x:c r="Q2272" s="23" t="n">
        <x:v>5251</x:v>
      </x:c>
    </x:row>
    <x:row r="2273">
      <x:c r="A2273" s="30" t="n">
        <x:v>350600</x:v>
      </x:c>
      <x:c r="B2273" s="22" t="str">
        <x:v>漳州市</x:v>
      </x:c>
      <x:c r="C2273" s="31" t="n">
        <x:v>350623</x:v>
      </x:c>
      <x:c r="D2273" s="22" t="str">
        <x:v>漳浦县</x:v>
      </x:c>
      <x:c r="E2273" s="22" t="str">
        <x:v>建设用地</x:v>
      </x:c>
      <x:c r="F2273" s="22" t="str">
        <x:v>交通运输用地</x:v>
      </x:c>
      <x:c r="G2273" s="32" t="str">
        <x:v>1008</x:v>
      </x:c>
      <x:c r="H2273" s="32" t="str">
        <x:v>1008</x:v>
      </x:c>
      <x:c r="I2273" s="22" t="str">
        <x:v>港口码头用地</x:v>
      </x:c>
      <x:c r="J2273" s="22" t="str">
        <x:v>交通门户</x:v>
      </x:c>
      <x:c r="K2273" s="32" t="str"/>
      <x:c r="L2273" s="22" t="str">
        <x:v>不适用/未标注</x:v>
      </x:c>
      <x:c r="M2273" s="33" t="n">
        <x:v>668037.0800000001</x:v>
      </x:c>
      <x:c r="N2273" s="33" t="n">
        <x:v>66.80370800000001</x:v>
      </x:c>
      <x:c r="O2273" s="22" t="str">
        <x:v>公顷</x:v>
      </x:c>
      <x:c r="P2273" s="22" t="str">
        <x:v>未提供（单期横截面）</x:v>
      </x:c>
      <x:c r="Q2273" s="23" t="n">
        <x:v>5252</x:v>
      </x:c>
    </x:row>
    <x:row r="2274">
      <x:c r="A2274" s="30" t="n">
        <x:v>350600</x:v>
      </x:c>
      <x:c r="B2274" s="22" t="str">
        <x:v>漳州市</x:v>
      </x:c>
      <x:c r="C2274" s="31" t="n">
        <x:v>350623</x:v>
      </x:c>
      <x:c r="D2274" s="22" t="str">
        <x:v>漳浦县</x:v>
      </x:c>
      <x:c r="E2274" s="22" t="str">
        <x:v>建设用地</x:v>
      </x:c>
      <x:c r="F2274" s="22" t="str">
        <x:v>交通运输用地</x:v>
      </x:c>
      <x:c r="G2274" s="32" t="str">
        <x:v>1009</x:v>
      </x:c>
      <x:c r="H2274" s="32" t="str">
        <x:v>1009</x:v>
      </x:c>
      <x:c r="I2274" s="22" t="str">
        <x:v>管道运输用地</x:v>
      </x:c>
      <x:c r="J2274" s="22" t="str">
        <x:v>交通门户</x:v>
      </x:c>
      <x:c r="K2274" s="32" t="str"/>
      <x:c r="L2274" s="22" t="str">
        <x:v>不适用/未标注</x:v>
      </x:c>
      <x:c r="M2274" s="33" t="n">
        <x:v>390473.99999999994</x:v>
      </x:c>
      <x:c r="N2274" s="33" t="n">
        <x:v>39.047399999999996</x:v>
      </x:c>
      <x:c r="O2274" s="22" t="str">
        <x:v>公顷</x:v>
      </x:c>
      <x:c r="P2274" s="22" t="str">
        <x:v>未提供（单期横截面）</x:v>
      </x:c>
      <x:c r="Q2274" s="23" t="n">
        <x:v>5253</x:v>
      </x:c>
    </x:row>
    <x:row r="2275">
      <x:c r="A2275" s="30" t="n">
        <x:v>350600</x:v>
      </x:c>
      <x:c r="B2275" s="22" t="str">
        <x:v>漳州市</x:v>
      </x:c>
      <x:c r="C2275" s="31" t="n">
        <x:v>350623</x:v>
      </x:c>
      <x:c r="D2275" s="22" t="str">
        <x:v>漳浦县</x:v>
      </x:c>
      <x:c r="E2275" s="22" t="str">
        <x:v>建设用地</x:v>
      </x:c>
      <x:c r="F2275" s="22" t="str">
        <x:v>水域及水利设施</x:v>
      </x:c>
      <x:c r="G2275" s="32" t="str">
        <x:v>1109</x:v>
      </x:c>
      <x:c r="H2275" s="32" t="str">
        <x:v>1109</x:v>
      </x:c>
      <x:c r="I2275" s="22" t="str">
        <x:v>水工建筑用地</x:v>
      </x:c>
      <x:c r="J2275" s="22" t="str">
        <x:v>其他建设</x:v>
      </x:c>
      <x:c r="K2275" s="32" t="str"/>
      <x:c r="L2275" s="22" t="str">
        <x:v>不适用/未标注</x:v>
      </x:c>
      <x:c r="M2275" s="33" t="n">
        <x:v>4039085.3499999978</x:v>
      </x:c>
      <x:c r="N2275" s="33" t="n">
        <x:v>403.9085349999998</x:v>
      </x:c>
      <x:c r="O2275" s="22" t="str">
        <x:v>公顷</x:v>
      </x:c>
      <x:c r="P2275" s="22" t="str">
        <x:v>未提供（单期横截面）</x:v>
      </x:c>
      <x:c r="Q2275" s="23" t="n">
        <x:v>5254</x:v>
      </x:c>
    </x:row>
    <x:row r="2276">
      <x:c r="A2276" s="30" t="n">
        <x:v>350600</x:v>
      </x:c>
      <x:c r="B2276" s="22" t="str">
        <x:v>漳州市</x:v>
      </x:c>
      <x:c r="C2276" s="31" t="n">
        <x:v>350623</x:v>
      </x:c>
      <x:c r="D2276" s="22" t="str">
        <x:v>漳浦县</x:v>
      </x:c>
      <x:c r="E2276" s="22" t="str">
        <x:v>建设用地</x:v>
      </x:c>
      <x:c r="F2276" s="22" t="str">
        <x:v>工矿仓储用地</x:v>
      </x:c>
      <x:c r="G2276" s="32" t="str">
        <x:v>508</x:v>
      </x:c>
      <x:c r="H2276" s="32" t="str">
        <x:v>508</x:v>
      </x:c>
      <x:c r="I2276" s="22" t="str">
        <x:v>物流仓储用地</x:v>
      </x:c>
      <x:c r="J2276" s="22" t="str">
        <x:v>产业功能</x:v>
      </x:c>
      <x:c r="K2276" s="32" t="str">
        <x:v>202</x:v>
      </x:c>
      <x:c r="L2276" s="22" t="str">
        <x:v>建制镇范围</x:v>
      </x:c>
      <x:c r="M2276" s="33" t="n">
        <x:v>332120.25999999995</x:v>
      </x:c>
      <x:c r="N2276" s="33" t="n">
        <x:v>33.212025999999994</x:v>
      </x:c>
      <x:c r="O2276" s="22" t="str">
        <x:v>公顷</x:v>
      </x:c>
      <x:c r="P2276" s="22" t="str">
        <x:v>未提供（单期横截面）</x:v>
      </x:c>
      <x:c r="Q2276" s="23" t="n">
        <x:v>5255</x:v>
      </x:c>
    </x:row>
    <x:row r="2277">
      <x:c r="A2277" s="30" t="n">
        <x:v>350600</x:v>
      </x:c>
      <x:c r="B2277" s="22" t="str">
        <x:v>漳州市</x:v>
      </x:c>
      <x:c r="C2277" s="31" t="n">
        <x:v>350623</x:v>
      </x:c>
      <x:c r="D2277" s="22" t="str">
        <x:v>漳浦县</x:v>
      </x:c>
      <x:c r="E2277" s="22" t="str">
        <x:v>建设用地</x:v>
      </x:c>
      <x:c r="F2277" s="22" t="str">
        <x:v>商业服务业用地</x:v>
      </x:c>
      <x:c r="G2277" s="32" t="str">
        <x:v>05H1</x:v>
      </x:c>
      <x:c r="H2277" s="32" t="str">
        <x:v>05H1</x:v>
      </x:c>
      <x:c r="I2277" s="22" t="str">
        <x:v>商业服务业设施用地</x:v>
      </x:c>
      <x:c r="J2277" s="22" t="str">
        <x:v>商业服务</x:v>
      </x:c>
      <x:c r="K2277" s="32" t="str">
        <x:v>202</x:v>
      </x:c>
      <x:c r="L2277" s="22" t="str">
        <x:v>建制镇范围</x:v>
      </x:c>
      <x:c r="M2277" s="33" t="n">
        <x:v>1792393.4899999995</x:v>
      </x:c>
      <x:c r="N2277" s="33" t="n">
        <x:v>179.23934899999995</x:v>
      </x:c>
      <x:c r="O2277" s="22" t="str">
        <x:v>公顷</x:v>
      </x:c>
      <x:c r="P2277" s="22" t="str">
        <x:v>未提供（单期横截面）</x:v>
      </x:c>
      <x:c r="Q2277" s="23" t="n">
        <x:v>5256</x:v>
      </x:c>
    </x:row>
    <x:row r="2278">
      <x:c r="A2278" s="30" t="n">
        <x:v>350600</x:v>
      </x:c>
      <x:c r="B2278" s="22" t="str">
        <x:v>漳州市</x:v>
      </x:c>
      <x:c r="C2278" s="31" t="n">
        <x:v>350623</x:v>
      </x:c>
      <x:c r="D2278" s="22" t="str">
        <x:v>漳浦县</x:v>
      </x:c>
      <x:c r="E2278" s="22" t="str">
        <x:v>建设用地</x:v>
      </x:c>
      <x:c r="F2278" s="22" t="str">
        <x:v>工矿仓储用地</x:v>
      </x:c>
      <x:c r="G2278" s="32" t="str">
        <x:v>601</x:v>
      </x:c>
      <x:c r="H2278" s="32" t="str">
        <x:v>601</x:v>
      </x:c>
      <x:c r="I2278" s="22" t="str">
        <x:v>工业用地</x:v>
      </x:c>
      <x:c r="J2278" s="22" t="str">
        <x:v>产业功能</x:v>
      </x:c>
      <x:c r="K2278" s="32" t="str">
        <x:v>202</x:v>
      </x:c>
      <x:c r="L2278" s="22" t="str">
        <x:v>建制镇范围</x:v>
      </x:c>
      <x:c r="M2278" s="33" t="n">
        <x:v>13111750.619999992</x:v>
      </x:c>
      <x:c r="N2278" s="33" t="n">
        <x:v>1311.1750619999991</x:v>
      </x:c>
      <x:c r="O2278" s="22" t="str">
        <x:v>公顷</x:v>
      </x:c>
      <x:c r="P2278" s="22" t="str">
        <x:v>未提供（单期横截面）</x:v>
      </x:c>
      <x:c r="Q2278" s="23" t="n">
        <x:v>5257</x:v>
      </x:c>
    </x:row>
    <x:row r="2279">
      <x:c r="A2279" s="30" t="n">
        <x:v>350600</x:v>
      </x:c>
      <x:c r="B2279" s="22" t="str">
        <x:v>漳州市</x:v>
      </x:c>
      <x:c r="C2279" s="31" t="n">
        <x:v>350623</x:v>
      </x:c>
      <x:c r="D2279" s="22" t="str">
        <x:v>漳浦县</x:v>
      </x:c>
      <x:c r="E2279" s="22" t="str">
        <x:v>建设用地</x:v>
      </x:c>
      <x:c r="F2279" s="22" t="str">
        <x:v>工矿仓储用地</x:v>
      </x:c>
      <x:c r="G2279" s="32" t="str">
        <x:v>602</x:v>
      </x:c>
      <x:c r="H2279" s="32" t="str">
        <x:v>602</x:v>
      </x:c>
      <x:c r="I2279" s="22" t="str">
        <x:v>采矿用地</x:v>
      </x:c>
      <x:c r="J2279" s="22" t="str">
        <x:v>产业功能</x:v>
      </x:c>
      <x:c r="K2279" s="32" t="str">
        <x:v>202</x:v>
      </x:c>
      <x:c r="L2279" s="22" t="str">
        <x:v>建制镇范围</x:v>
      </x:c>
      <x:c r="M2279" s="33" t="n">
        <x:v>20714.170000000002</x:v>
      </x:c>
      <x:c r="N2279" s="33" t="n">
        <x:v>2.0714170000000003</x:v>
      </x:c>
      <x:c r="O2279" s="22" t="str">
        <x:v>公顷</x:v>
      </x:c>
      <x:c r="P2279" s="22" t="str">
        <x:v>未提供（单期横截面）</x:v>
      </x:c>
      <x:c r="Q2279" s="23" t="n">
        <x:v>5258</x:v>
      </x:c>
    </x:row>
    <x:row r="2280">
      <x:c r="A2280" s="30" t="n">
        <x:v>350600</x:v>
      </x:c>
      <x:c r="B2280" s="22" t="str">
        <x:v>漳州市</x:v>
      </x:c>
      <x:c r="C2280" s="31" t="n">
        <x:v>350623</x:v>
      </x:c>
      <x:c r="D2280" s="22" t="str">
        <x:v>漳浦县</x:v>
      </x:c>
      <x:c r="E2280" s="22" t="str">
        <x:v>建设用地</x:v>
      </x:c>
      <x:c r="F2280" s="22" t="str">
        <x:v>居住用地</x:v>
      </x:c>
      <x:c r="G2280" s="32" t="str">
        <x:v>701</x:v>
      </x:c>
      <x:c r="H2280" s="32" t="str">
        <x:v>701</x:v>
      </x:c>
      <x:c r="I2280" s="22" t="str">
        <x:v>城镇住宅用地</x:v>
      </x:c>
      <x:c r="J2280" s="22" t="str">
        <x:v>居住功能</x:v>
      </x:c>
      <x:c r="K2280" s="32" t="str">
        <x:v>202</x:v>
      </x:c>
      <x:c r="L2280" s="22" t="str">
        <x:v>建制镇范围</x:v>
      </x:c>
      <x:c r="M2280" s="33" t="n">
        <x:v>24515263.150000017</x:v>
      </x:c>
      <x:c r="N2280" s="33" t="n">
        <x:v>2451.526315000002</x:v>
      </x:c>
      <x:c r="O2280" s="22" t="str">
        <x:v>公顷</x:v>
      </x:c>
      <x:c r="P2280" s="22" t="str">
        <x:v>未提供（单期横截面）</x:v>
      </x:c>
      <x:c r="Q2280" s="23" t="n">
        <x:v>5259</x:v>
      </x:c>
    </x:row>
    <x:row r="2281">
      <x:c r="A2281" s="30" t="n">
        <x:v>350600</x:v>
      </x:c>
      <x:c r="B2281" s="22" t="str">
        <x:v>漳州市</x:v>
      </x:c>
      <x:c r="C2281" s="31" t="n">
        <x:v>350623</x:v>
      </x:c>
      <x:c r="D2281" s="22" t="str">
        <x:v>漳浦县</x:v>
      </x:c>
      <x:c r="E2281" s="22" t="str">
        <x:v>建设用地</x:v>
      </x:c>
      <x:c r="F2281" s="22" t="str">
        <x:v>公用设施用地</x:v>
      </x:c>
      <x:c r="G2281" s="32" t="str">
        <x:v>809</x:v>
      </x:c>
      <x:c r="H2281" s="32" t="str">
        <x:v>809</x:v>
      </x:c>
      <x:c r="I2281" s="22" t="str">
        <x:v>公用设施用地</x:v>
      </x:c>
      <x:c r="J2281" s="22" t="str">
        <x:v>其他建设</x:v>
      </x:c>
      <x:c r="K2281" s="32" t="str">
        <x:v>202</x:v>
      </x:c>
      <x:c r="L2281" s="22" t="str">
        <x:v>建制镇范围</x:v>
      </x:c>
      <x:c r="M2281" s="33" t="n">
        <x:v>272077.95</x:v>
      </x:c>
      <x:c r="N2281" s="33" t="n">
        <x:v>27.207795</x:v>
      </x:c>
      <x:c r="O2281" s="22" t="str">
        <x:v>公顷</x:v>
      </x:c>
      <x:c r="P2281" s="22" t="str">
        <x:v>未提供（单期横截面）</x:v>
      </x:c>
      <x:c r="Q2281" s="23" t="n">
        <x:v>5260</x:v>
      </x:c>
    </x:row>
    <x:row r="2282">
      <x:c r="A2282" s="30" t="n">
        <x:v>350600</x:v>
      </x:c>
      <x:c r="B2282" s="22" t="str">
        <x:v>漳州市</x:v>
      </x:c>
      <x:c r="C2282" s="31" t="n">
        <x:v>350623</x:v>
      </x:c>
      <x:c r="D2282" s="22" t="str">
        <x:v>漳浦县</x:v>
      </x:c>
      <x:c r="E2282" s="22" t="str">
        <x:v>建设用地</x:v>
      </x:c>
      <x:c r="F2282" s="22" t="str">
        <x:v>绿地与广场用地</x:v>
      </x:c>
      <x:c r="G2282" s="32" t="str">
        <x:v>810</x:v>
      </x:c>
      <x:c r="H2282" s="32" t="str">
        <x:v>810</x:v>
      </x:c>
      <x:c r="I2282" s="22" t="str">
        <x:v>公园与绿地</x:v>
      </x:c>
      <x:c r="J2282" s="22" t="str">
        <x:v>公共空间</x:v>
      </x:c>
      <x:c r="K2282" s="32" t="str">
        <x:v>202</x:v>
      </x:c>
      <x:c r="L2282" s="22" t="str">
        <x:v>建制镇范围</x:v>
      </x:c>
      <x:c r="M2282" s="33" t="n">
        <x:v>787333.0399999998</x:v>
      </x:c>
      <x:c r="N2282" s="33" t="n">
        <x:v>78.73330399999998</x:v>
      </x:c>
      <x:c r="O2282" s="22" t="str">
        <x:v>公顷</x:v>
      </x:c>
      <x:c r="P2282" s="22" t="str">
        <x:v>未提供（单期横截面）</x:v>
      </x:c>
      <x:c r="Q2282" s="23" t="n">
        <x:v>5261</x:v>
      </x:c>
    </x:row>
    <x:row r="2283">
      <x:c r="A2283" s="30" t="n">
        <x:v>350600</x:v>
      </x:c>
      <x:c r="B2283" s="22" t="str">
        <x:v>漳州市</x:v>
      </x:c>
      <x:c r="C2283" s="31" t="n">
        <x:v>350623</x:v>
      </x:c>
      <x:c r="D2283" s="22" t="str">
        <x:v>漳浦县</x:v>
      </x:c>
      <x:c r="E2283" s="22" t="str">
        <x:v>建设用地</x:v>
      </x:c>
      <x:c r="F2283" s="22" t="str">
        <x:v>绿地与广场用地</x:v>
      </x:c>
      <x:c r="G2283" s="32" t="str">
        <x:v>0810A</x:v>
      </x:c>
      <x:c r="H2283" s="32" t="str">
        <x:v>0810</x:v>
      </x:c>
      <x:c r="I2283" s="22" t="str">
        <x:v>广场用地</x:v>
      </x:c>
      <x:c r="J2283" s="22" t="str">
        <x:v>公共空间</x:v>
      </x:c>
      <x:c r="K2283" s="32" t="str">
        <x:v>202</x:v>
      </x:c>
      <x:c r="L2283" s="22" t="str">
        <x:v>建制镇范围</x:v>
      </x:c>
      <x:c r="M2283" s="33" t="n">
        <x:v>7600.389999999999</x:v>
      </x:c>
      <x:c r="N2283" s="33" t="n">
        <x:v>0.7600389999999999</x:v>
      </x:c>
      <x:c r="O2283" s="22" t="str">
        <x:v>公顷</x:v>
      </x:c>
      <x:c r="P2283" s="22" t="str">
        <x:v>未提供（单期横截面）</x:v>
      </x:c>
      <x:c r="Q2283" s="23" t="n">
        <x:v>5262</x:v>
      </x:c>
    </x:row>
    <x:row r="2284">
      <x:c r="A2284" s="30" t="n">
        <x:v>350600</x:v>
      </x:c>
      <x:c r="B2284" s="22" t="str">
        <x:v>漳州市</x:v>
      </x:c>
      <x:c r="C2284" s="31" t="n">
        <x:v>350623</x:v>
      </x:c>
      <x:c r="D2284" s="22" t="str">
        <x:v>漳浦县</x:v>
      </x:c>
      <x:c r="E2284" s="22" t="str">
        <x:v>建设用地</x:v>
      </x:c>
      <x:c r="F2284" s="22" t="str">
        <x:v>公共管理与公共服务用地</x:v>
      </x:c>
      <x:c r="G2284" s="32" t="str">
        <x:v>08H1</x:v>
      </x:c>
      <x:c r="H2284" s="32" t="str">
        <x:v>08H1</x:v>
      </x:c>
      <x:c r="I2284" s="22" t="str">
        <x:v>机关团体新闻出版用地</x:v>
      </x:c>
      <x:c r="J2284" s="22" t="str">
        <x:v>公共服务</x:v>
      </x:c>
      <x:c r="K2284" s="32" t="str">
        <x:v>202</x:v>
      </x:c>
      <x:c r="L2284" s="22" t="str">
        <x:v>建制镇范围</x:v>
      </x:c>
      <x:c r="M2284" s="33" t="n">
        <x:v>718410.1699999995</x:v>
      </x:c>
      <x:c r="N2284" s="33" t="n">
        <x:v>71.84101699999995</x:v>
      </x:c>
      <x:c r="O2284" s="22" t="str">
        <x:v>公顷</x:v>
      </x:c>
      <x:c r="P2284" s="22" t="str">
        <x:v>未提供（单期横截面）</x:v>
      </x:c>
      <x:c r="Q2284" s="23" t="n">
        <x:v>5263</x:v>
      </x:c>
    </x:row>
    <x:row r="2285">
      <x:c r="A2285" s="30" t="n">
        <x:v>350600</x:v>
      </x:c>
      <x:c r="B2285" s="22" t="str">
        <x:v>漳州市</x:v>
      </x:c>
      <x:c r="C2285" s="31" t="n">
        <x:v>350623</x:v>
      </x:c>
      <x:c r="D2285" s="22" t="str">
        <x:v>漳浦县</x:v>
      </x:c>
      <x:c r="E2285" s="22" t="str">
        <x:v>建设用地</x:v>
      </x:c>
      <x:c r="F2285" s="22" t="str">
        <x:v>公共管理与公共服务用地</x:v>
      </x:c>
      <x:c r="G2285" s="32" t="str">
        <x:v>08H2</x:v>
      </x:c>
      <x:c r="H2285" s="32" t="str">
        <x:v>08H2</x:v>
      </x:c>
      <x:c r="I2285" s="22" t="str">
        <x:v>科教文卫用地</x:v>
      </x:c>
      <x:c r="J2285" s="22" t="str">
        <x:v>公共服务</x:v>
      </x:c>
      <x:c r="K2285" s="32" t="str">
        <x:v>202</x:v>
      </x:c>
      <x:c r="L2285" s="22" t="str">
        <x:v>建制镇范围</x:v>
      </x:c>
      <x:c r="M2285" s="33" t="n">
        <x:v>2033643.8200000005</x:v>
      </x:c>
      <x:c r="N2285" s="33" t="n">
        <x:v>203.36438200000006</x:v>
      </x:c>
      <x:c r="O2285" s="22" t="str">
        <x:v>公顷</x:v>
      </x:c>
      <x:c r="P2285" s="22" t="str">
        <x:v>未提供（单期横截面）</x:v>
      </x:c>
      <x:c r="Q2285" s="23" t="n">
        <x:v>5264</x:v>
      </x:c>
    </x:row>
    <x:row r="2286">
      <x:c r="A2286" s="30" t="n">
        <x:v>350600</x:v>
      </x:c>
      <x:c r="B2286" s="22" t="str">
        <x:v>漳州市</x:v>
      </x:c>
      <x:c r="C2286" s="31" t="n">
        <x:v>350623</x:v>
      </x:c>
      <x:c r="D2286" s="22" t="str">
        <x:v>漳浦县</x:v>
      </x:c>
      <x:c r="E2286" s="22" t="str">
        <x:v>建设用地</x:v>
      </x:c>
      <x:c r="F2286" s="22" t="str">
        <x:v>特殊用地</x:v>
      </x:c>
      <x:c r="G2286" s="32" t="str">
        <x:v>9</x:v>
      </x:c>
      <x:c r="H2286" s="32" t="str">
        <x:v>9</x:v>
      </x:c>
      <x:c r="I2286" s="22" t="str">
        <x:v>特殊用地</x:v>
      </x:c>
      <x:c r="J2286" s="22" t="str">
        <x:v>其他建设</x:v>
      </x:c>
      <x:c r="K2286" s="32" t="str">
        <x:v>202</x:v>
      </x:c>
      <x:c r="L2286" s="22" t="str">
        <x:v>建制镇范围</x:v>
      </x:c>
      <x:c r="M2286" s="33" t="n">
        <x:v>422430.4700000002</x:v>
      </x:c>
      <x:c r="N2286" s="33" t="n">
        <x:v>42.24304700000002</x:v>
      </x:c>
      <x:c r="O2286" s="22" t="str">
        <x:v>公顷</x:v>
      </x:c>
      <x:c r="P2286" s="22" t="str">
        <x:v>未提供（单期横截面）</x:v>
      </x:c>
      <x:c r="Q2286" s="23" t="n">
        <x:v>5265</x:v>
      </x:c>
    </x:row>
    <x:row r="2287">
      <x:c r="A2287" s="30" t="n">
        <x:v>350600</x:v>
      </x:c>
      <x:c r="B2287" s="22" t="str">
        <x:v>漳州市</x:v>
      </x:c>
      <x:c r="C2287" s="31" t="n">
        <x:v>350623</x:v>
      </x:c>
      <x:c r="D2287" s="22" t="str">
        <x:v>漳浦县</x:v>
      </x:c>
      <x:c r="E2287" s="22" t="str">
        <x:v>建设用地</x:v>
      </x:c>
      <x:c r="F2287" s="22" t="str">
        <x:v>交通运输用地</x:v>
      </x:c>
      <x:c r="G2287" s="32" t="str">
        <x:v>1004</x:v>
      </x:c>
      <x:c r="H2287" s="32" t="str">
        <x:v>1004</x:v>
      </x:c>
      <x:c r="I2287" s="22" t="str">
        <x:v>城镇村道路用地</x:v>
      </x:c>
      <x:c r="J2287" s="22" t="str">
        <x:v>交通门户</x:v>
      </x:c>
      <x:c r="K2287" s="32" t="str">
        <x:v>202</x:v>
      </x:c>
      <x:c r="L2287" s="22" t="str">
        <x:v>建制镇范围</x:v>
      </x:c>
      <x:c r="M2287" s="33" t="n">
        <x:v>2911686.6400000043</x:v>
      </x:c>
      <x:c r="N2287" s="33" t="n">
        <x:v>291.16866400000043</x:v>
      </x:c>
      <x:c r="O2287" s="22" t="str">
        <x:v>公顷</x:v>
      </x:c>
      <x:c r="P2287" s="22" t="str">
        <x:v>未提供（单期横截面）</x:v>
      </x:c>
      <x:c r="Q2287" s="23" t="n">
        <x:v>5266</x:v>
      </x:c>
    </x:row>
    <x:row r="2288">
      <x:c r="A2288" s="30" t="n">
        <x:v>350600</x:v>
      </x:c>
      <x:c r="B2288" s="22" t="str">
        <x:v>漳州市</x:v>
      </x:c>
      <x:c r="C2288" s="31" t="n">
        <x:v>350623</x:v>
      </x:c>
      <x:c r="D2288" s="22" t="str">
        <x:v>漳浦县</x:v>
      </x:c>
      <x:c r="E2288" s="22" t="str">
        <x:v>建设用地</x:v>
      </x:c>
      <x:c r="F2288" s="22" t="str">
        <x:v>交通运输用地</x:v>
      </x:c>
      <x:c r="G2288" s="32" t="str">
        <x:v>1005</x:v>
      </x:c>
      <x:c r="H2288" s="32" t="str">
        <x:v>1005</x:v>
      </x:c>
      <x:c r="I2288" s="22" t="str">
        <x:v>交通服务场站用地</x:v>
      </x:c>
      <x:c r="J2288" s="22" t="str">
        <x:v>交通门户</x:v>
      </x:c>
      <x:c r="K2288" s="32" t="str">
        <x:v>202</x:v>
      </x:c>
      <x:c r="L2288" s="22" t="str">
        <x:v>建制镇范围</x:v>
      </x:c>
      <x:c r="M2288" s="33" t="n">
        <x:v>234512.82</x:v>
      </x:c>
      <x:c r="N2288" s="33" t="n">
        <x:v>23.451282</x:v>
      </x:c>
      <x:c r="O2288" s="22" t="str">
        <x:v>公顷</x:v>
      </x:c>
      <x:c r="P2288" s="22" t="str">
        <x:v>未提供（单期横截面）</x:v>
      </x:c>
      <x:c r="Q2288" s="23" t="n">
        <x:v>5267</x:v>
      </x:c>
    </x:row>
    <x:row r="2289">
      <x:c r="A2289" s="30" t="n">
        <x:v>350600</x:v>
      </x:c>
      <x:c r="B2289" s="22" t="str">
        <x:v>漳州市</x:v>
      </x:c>
      <x:c r="C2289" s="31" t="n">
        <x:v>350623</x:v>
      </x:c>
      <x:c r="D2289" s="22" t="str">
        <x:v>漳浦县</x:v>
      </x:c>
      <x:c r="E2289" s="22" t="str">
        <x:v>建设用地</x:v>
      </x:c>
      <x:c r="F2289" s="22" t="str">
        <x:v>其他建设用地</x:v>
      </x:c>
      <x:c r="G2289" s="32" t="str">
        <x:v>1201</x:v>
      </x:c>
      <x:c r="H2289" s="32" t="str">
        <x:v>1201</x:v>
      </x:c>
      <x:c r="I2289" s="22" t="str">
        <x:v>空闲地</x:v>
      </x:c>
      <x:c r="J2289" s="22" t="str">
        <x:v>其他建设</x:v>
      </x:c>
      <x:c r="K2289" s="32" t="str">
        <x:v>202</x:v>
      </x:c>
      <x:c r="L2289" s="22" t="str">
        <x:v>建制镇范围</x:v>
      </x:c>
      <x:c r="M2289" s="33" t="n">
        <x:v>337227.64999999997</x:v>
      </x:c>
      <x:c r="N2289" s="33" t="n">
        <x:v>33.722764999999995</x:v>
      </x:c>
      <x:c r="O2289" s="22" t="str">
        <x:v>公顷</x:v>
      </x:c>
      <x:c r="P2289" s="22" t="str">
        <x:v>未提供（单期横截面）</x:v>
      </x:c>
      <x:c r="Q2289" s="23" t="n">
        <x:v>5268</x:v>
      </x:c>
    </x:row>
    <x:row r="2290">
      <x:c r="A2290" s="30" t="n">
        <x:v>350600</x:v>
      </x:c>
      <x:c r="B2290" s="22" t="str">
        <x:v>漳州市</x:v>
      </x:c>
      <x:c r="C2290" s="31" t="n">
        <x:v>350623</x:v>
      </x:c>
      <x:c r="D2290" s="22" t="str">
        <x:v>漳浦县</x:v>
      </x:c>
      <x:c r="E2290" s="22" t="str">
        <x:v>建设用地</x:v>
      </x:c>
      <x:c r="F2290" s="22" t="str">
        <x:v>工矿仓储用地</x:v>
      </x:c>
      <x:c r="G2290" s="32" t="str">
        <x:v>601</x:v>
      </x:c>
      <x:c r="H2290" s="32" t="str">
        <x:v>601</x:v>
      </x:c>
      <x:c r="I2290" s="22" t="str">
        <x:v>工业用地</x:v>
      </x:c>
      <x:c r="J2290" s="22" t="str">
        <x:v>产业功能</x:v>
      </x:c>
      <x:c r="K2290" s="32" t="str">
        <x:v>202A</x:v>
      </x:c>
      <x:c r="L2290" s="22" t="str">
        <x:v>建制镇独立工业用地</x:v>
      </x:c>
      <x:c r="M2290" s="33" t="n">
        <x:v>74223.31999999999</x:v>
      </x:c>
      <x:c r="N2290" s="33" t="n">
        <x:v>7.422331999999999</x:v>
      </x:c>
      <x:c r="O2290" s="22" t="str">
        <x:v>公顷</x:v>
      </x:c>
      <x:c r="P2290" s="22" t="str">
        <x:v>未提供（单期横截面）</x:v>
      </x:c>
      <x:c r="Q2290" s="23" t="n">
        <x:v>5269</x:v>
      </x:c>
    </x:row>
    <x:row r="2291">
      <x:c r="A2291" s="30" t="n">
        <x:v>350600</x:v>
      </x:c>
      <x:c r="B2291" s="22" t="str">
        <x:v>漳州市</x:v>
      </x:c>
      <x:c r="C2291" s="31" t="n">
        <x:v>350623</x:v>
      </x:c>
      <x:c r="D2291" s="22" t="str">
        <x:v>漳浦县</x:v>
      </x:c>
      <x:c r="E2291" s="22" t="str">
        <x:v>建设用地</x:v>
      </x:c>
      <x:c r="F2291" s="22" t="str">
        <x:v>工矿仓储用地</x:v>
      </x:c>
      <x:c r="G2291" s="32" t="str">
        <x:v>508</x:v>
      </x:c>
      <x:c r="H2291" s="32" t="str">
        <x:v>508</x:v>
      </x:c>
      <x:c r="I2291" s="22" t="str">
        <x:v>物流仓储用地</x:v>
      </x:c>
      <x:c r="J2291" s="22" t="str">
        <x:v>产业功能</x:v>
      </x:c>
      <x:c r="K2291" s="32" t="str">
        <x:v>203</x:v>
      </x:c>
      <x:c r="L2291" s="22" t="str">
        <x:v>村庄范围</x:v>
      </x:c>
      <x:c r="M2291" s="33" t="n">
        <x:v>966009.8900000002</x:v>
      </x:c>
      <x:c r="N2291" s="33" t="n">
        <x:v>96.60098900000003</x:v>
      </x:c>
      <x:c r="O2291" s="22" t="str">
        <x:v>公顷</x:v>
      </x:c>
      <x:c r="P2291" s="22" t="str">
        <x:v>未提供（单期横截面）</x:v>
      </x:c>
      <x:c r="Q2291" s="23" t="n">
        <x:v>5270</x:v>
      </x:c>
    </x:row>
    <x:row r="2292">
      <x:c r="A2292" s="30" t="n">
        <x:v>350600</x:v>
      </x:c>
      <x:c r="B2292" s="22" t="str">
        <x:v>漳州市</x:v>
      </x:c>
      <x:c r="C2292" s="31" t="n">
        <x:v>350623</x:v>
      </x:c>
      <x:c r="D2292" s="22" t="str">
        <x:v>漳浦县</x:v>
      </x:c>
      <x:c r="E2292" s="22" t="str">
        <x:v>建设用地</x:v>
      </x:c>
      <x:c r="F2292" s="22" t="str">
        <x:v>商业服务业用地</x:v>
      </x:c>
      <x:c r="G2292" s="32" t="str">
        <x:v>05H1</x:v>
      </x:c>
      <x:c r="H2292" s="32" t="str">
        <x:v>05H1</x:v>
      </x:c>
      <x:c r="I2292" s="22" t="str">
        <x:v>商业服务业设施用地</x:v>
      </x:c>
      <x:c r="J2292" s="22" t="str">
        <x:v>商业服务</x:v>
      </x:c>
      <x:c r="K2292" s="32" t="str">
        <x:v>203</x:v>
      </x:c>
      <x:c r="L2292" s="22" t="str">
        <x:v>村庄范围</x:v>
      </x:c>
      <x:c r="M2292" s="33" t="n">
        <x:v>3760535.6300000036</x:v>
      </x:c>
      <x:c r="N2292" s="33" t="n">
        <x:v>376.05356300000034</x:v>
      </x:c>
      <x:c r="O2292" s="22" t="str">
        <x:v>公顷</x:v>
      </x:c>
      <x:c r="P2292" s="22" t="str">
        <x:v>未提供（单期横截面）</x:v>
      </x:c>
      <x:c r="Q2292" s="23" t="n">
        <x:v>5271</x:v>
      </x:c>
    </x:row>
    <x:row r="2293">
      <x:c r="A2293" s="30" t="n">
        <x:v>350600</x:v>
      </x:c>
      <x:c r="B2293" s="22" t="str">
        <x:v>漳州市</x:v>
      </x:c>
      <x:c r="C2293" s="31" t="n">
        <x:v>350623</x:v>
      </x:c>
      <x:c r="D2293" s="22" t="str">
        <x:v>漳浦县</x:v>
      </x:c>
      <x:c r="E2293" s="22" t="str">
        <x:v>建设用地</x:v>
      </x:c>
      <x:c r="F2293" s="22" t="str">
        <x:v>工矿仓储用地</x:v>
      </x:c>
      <x:c r="G2293" s="32" t="str">
        <x:v>601</x:v>
      </x:c>
      <x:c r="H2293" s="32" t="str">
        <x:v>601</x:v>
      </x:c>
      <x:c r="I2293" s="22" t="str">
        <x:v>工业用地</x:v>
      </x:c>
      <x:c r="J2293" s="22" t="str">
        <x:v>产业功能</x:v>
      </x:c>
      <x:c r="K2293" s="32" t="str">
        <x:v>203</x:v>
      </x:c>
      <x:c r="L2293" s="22" t="str">
        <x:v>村庄范围</x:v>
      </x:c>
      <x:c r="M2293" s="33" t="n">
        <x:v>20008363.819999993</x:v>
      </x:c>
      <x:c r="N2293" s="33" t="n">
        <x:v>2000.8363819999993</x:v>
      </x:c>
      <x:c r="O2293" s="22" t="str">
        <x:v>公顷</x:v>
      </x:c>
      <x:c r="P2293" s="22" t="str">
        <x:v>未提供（单期横截面）</x:v>
      </x:c>
      <x:c r="Q2293" s="23" t="n">
        <x:v>5272</x:v>
      </x:c>
    </x:row>
    <x:row r="2294">
      <x:c r="A2294" s="30" t="n">
        <x:v>350600</x:v>
      </x:c>
      <x:c r="B2294" s="22" t="str">
        <x:v>漳州市</x:v>
      </x:c>
      <x:c r="C2294" s="31" t="n">
        <x:v>350623</x:v>
      </x:c>
      <x:c r="D2294" s="22" t="str">
        <x:v>漳浦县</x:v>
      </x:c>
      <x:c r="E2294" s="22" t="str">
        <x:v>建设用地</x:v>
      </x:c>
      <x:c r="F2294" s="22" t="str">
        <x:v>工矿仓储用地</x:v>
      </x:c>
      <x:c r="G2294" s="32" t="str">
        <x:v>602</x:v>
      </x:c>
      <x:c r="H2294" s="32" t="str">
        <x:v>602</x:v>
      </x:c>
      <x:c r="I2294" s="22" t="str">
        <x:v>采矿用地</x:v>
      </x:c>
      <x:c r="J2294" s="22" t="str">
        <x:v>产业功能</x:v>
      </x:c>
      <x:c r="K2294" s="32" t="str">
        <x:v>203</x:v>
      </x:c>
      <x:c r="L2294" s="22" t="str">
        <x:v>村庄范围</x:v>
      </x:c>
      <x:c r="M2294" s="33" t="n">
        <x:v>1369289.09</x:v>
      </x:c>
      <x:c r="N2294" s="33" t="n">
        <x:v>136.928909</x:v>
      </x:c>
      <x:c r="O2294" s="22" t="str">
        <x:v>公顷</x:v>
      </x:c>
      <x:c r="P2294" s="22" t="str">
        <x:v>未提供（单期横截面）</x:v>
      </x:c>
      <x:c r="Q2294" s="23" t="n">
        <x:v>5273</x:v>
      </x:c>
    </x:row>
    <x:row r="2295">
      <x:c r="A2295" s="30" t="n">
        <x:v>350600</x:v>
      </x:c>
      <x:c r="B2295" s="22" t="str">
        <x:v>漳州市</x:v>
      </x:c>
      <x:c r="C2295" s="31" t="n">
        <x:v>350623</x:v>
      </x:c>
      <x:c r="D2295" s="22" t="str">
        <x:v>漳浦县</x:v>
      </x:c>
      <x:c r="E2295" s="22" t="str">
        <x:v>建设用地</x:v>
      </x:c>
      <x:c r="F2295" s="22" t="str">
        <x:v>居住用地</x:v>
      </x:c>
      <x:c r="G2295" s="32" t="str">
        <x:v>702</x:v>
      </x:c>
      <x:c r="H2295" s="32" t="str">
        <x:v>702</x:v>
      </x:c>
      <x:c r="I2295" s="22" t="str">
        <x:v>农村宅基地</x:v>
      </x:c>
      <x:c r="J2295" s="22" t="str">
        <x:v>居住功能</x:v>
      </x:c>
      <x:c r="K2295" s="32" t="str">
        <x:v>203</x:v>
      </x:c>
      <x:c r="L2295" s="22" t="str">
        <x:v>村庄范围</x:v>
      </x:c>
      <x:c r="M2295" s="33" t="n">
        <x:v>87423543.05999959</x:v>
      </x:c>
      <x:c r="N2295" s="33" t="n">
        <x:v>8742.35430599996</x:v>
      </x:c>
      <x:c r="O2295" s="22" t="str">
        <x:v>公顷</x:v>
      </x:c>
      <x:c r="P2295" s="22" t="str">
        <x:v>未提供（单期横截面）</x:v>
      </x:c>
      <x:c r="Q2295" s="23" t="n">
        <x:v>5274</x:v>
      </x:c>
    </x:row>
    <x:row r="2296">
      <x:c r="A2296" s="30" t="n">
        <x:v>350600</x:v>
      </x:c>
      <x:c r="B2296" s="22" t="str">
        <x:v>漳州市</x:v>
      </x:c>
      <x:c r="C2296" s="31" t="n">
        <x:v>350623</x:v>
      </x:c>
      <x:c r="D2296" s="22" t="str">
        <x:v>漳浦县</x:v>
      </x:c>
      <x:c r="E2296" s="22" t="str">
        <x:v>建设用地</x:v>
      </x:c>
      <x:c r="F2296" s="22" t="str">
        <x:v>公用设施用地</x:v>
      </x:c>
      <x:c r="G2296" s="32" t="str">
        <x:v>809</x:v>
      </x:c>
      <x:c r="H2296" s="32" t="str">
        <x:v>809</x:v>
      </x:c>
      <x:c r="I2296" s="22" t="str">
        <x:v>公用设施用地</x:v>
      </x:c>
      <x:c r="J2296" s="22" t="str">
        <x:v>其他建设</x:v>
      </x:c>
      <x:c r="K2296" s="32" t="str">
        <x:v>203</x:v>
      </x:c>
      <x:c r="L2296" s="22" t="str">
        <x:v>村庄范围</x:v>
      </x:c>
      <x:c r="M2296" s="33" t="n">
        <x:v>635618.3800000004</x:v>
      </x:c>
      <x:c r="N2296" s="33" t="n">
        <x:v>63.56183800000004</x:v>
      </x:c>
      <x:c r="O2296" s="22" t="str">
        <x:v>公顷</x:v>
      </x:c>
      <x:c r="P2296" s="22" t="str">
        <x:v>未提供（单期横截面）</x:v>
      </x:c>
      <x:c r="Q2296" s="23" t="n">
        <x:v>5275</x:v>
      </x:c>
    </x:row>
    <x:row r="2297">
      <x:c r="A2297" s="30" t="n">
        <x:v>350600</x:v>
      </x:c>
      <x:c r="B2297" s="22" t="str">
        <x:v>漳州市</x:v>
      </x:c>
      <x:c r="C2297" s="31" t="n">
        <x:v>350623</x:v>
      </x:c>
      <x:c r="D2297" s="22" t="str">
        <x:v>漳浦县</x:v>
      </x:c>
      <x:c r="E2297" s="22" t="str">
        <x:v>建设用地</x:v>
      </x:c>
      <x:c r="F2297" s="22" t="str">
        <x:v>绿地与广场用地</x:v>
      </x:c>
      <x:c r="G2297" s="32" t="str">
        <x:v>810</x:v>
      </x:c>
      <x:c r="H2297" s="32" t="str">
        <x:v>810</x:v>
      </x:c>
      <x:c r="I2297" s="22" t="str">
        <x:v>公园与绿地</x:v>
      </x:c>
      <x:c r="J2297" s="22" t="str">
        <x:v>公共空间</x:v>
      </x:c>
      <x:c r="K2297" s="32" t="str">
        <x:v>203</x:v>
      </x:c>
      <x:c r="L2297" s="22" t="str">
        <x:v>村庄范围</x:v>
      </x:c>
      <x:c r="M2297" s="33" t="n">
        <x:v>144369.22</x:v>
      </x:c>
      <x:c r="N2297" s="33" t="n">
        <x:v>14.436922000000001</x:v>
      </x:c>
      <x:c r="O2297" s="22" t="str">
        <x:v>公顷</x:v>
      </x:c>
      <x:c r="P2297" s="22" t="str">
        <x:v>未提供（单期横截面）</x:v>
      </x:c>
      <x:c r="Q2297" s="23" t="n">
        <x:v>5276</x:v>
      </x:c>
    </x:row>
    <x:row r="2298">
      <x:c r="A2298" s="30" t="n">
        <x:v>350600</x:v>
      </x:c>
      <x:c r="B2298" s="22" t="str">
        <x:v>漳州市</x:v>
      </x:c>
      <x:c r="C2298" s="31" t="n">
        <x:v>350623</x:v>
      </x:c>
      <x:c r="D2298" s="22" t="str">
        <x:v>漳浦县</x:v>
      </x:c>
      <x:c r="E2298" s="22" t="str">
        <x:v>建设用地</x:v>
      </x:c>
      <x:c r="F2298" s="22" t="str">
        <x:v>绿地与广场用地</x:v>
      </x:c>
      <x:c r="G2298" s="32" t="str">
        <x:v>0810A</x:v>
      </x:c>
      <x:c r="H2298" s="32" t="str">
        <x:v>0810</x:v>
      </x:c>
      <x:c r="I2298" s="22" t="str">
        <x:v>广场用地</x:v>
      </x:c>
      <x:c r="J2298" s="22" t="str">
        <x:v>公共空间</x:v>
      </x:c>
      <x:c r="K2298" s="32" t="str">
        <x:v>203</x:v>
      </x:c>
      <x:c r="L2298" s="22" t="str">
        <x:v>村庄范围</x:v>
      </x:c>
      <x:c r="M2298" s="33" t="n">
        <x:v>22101.059999999998</x:v>
      </x:c>
      <x:c r="N2298" s="33" t="n">
        <x:v>2.2101059999999997</x:v>
      </x:c>
      <x:c r="O2298" s="22" t="str">
        <x:v>公顷</x:v>
      </x:c>
      <x:c r="P2298" s="22" t="str">
        <x:v>未提供（单期横截面）</x:v>
      </x:c>
      <x:c r="Q2298" s="23" t="n">
        <x:v>5277</x:v>
      </x:c>
    </x:row>
    <x:row r="2299">
      <x:c r="A2299" s="30" t="n">
        <x:v>350600</x:v>
      </x:c>
      <x:c r="B2299" s="22" t="str">
        <x:v>漳州市</x:v>
      </x:c>
      <x:c r="C2299" s="31" t="n">
        <x:v>350623</x:v>
      </x:c>
      <x:c r="D2299" s="22" t="str">
        <x:v>漳浦县</x:v>
      </x:c>
      <x:c r="E2299" s="22" t="str">
        <x:v>建设用地</x:v>
      </x:c>
      <x:c r="F2299" s="22" t="str">
        <x:v>公共管理与公共服务用地</x:v>
      </x:c>
      <x:c r="G2299" s="32" t="str">
        <x:v>08H1</x:v>
      </x:c>
      <x:c r="H2299" s="32" t="str">
        <x:v>08H1</x:v>
      </x:c>
      <x:c r="I2299" s="22" t="str">
        <x:v>机关团体新闻出版用地</x:v>
      </x:c>
      <x:c r="J2299" s="22" t="str">
        <x:v>公共服务</x:v>
      </x:c>
      <x:c r="K2299" s="32" t="str">
        <x:v>203</x:v>
      </x:c>
      <x:c r="L2299" s="22" t="str">
        <x:v>村庄范围</x:v>
      </x:c>
      <x:c r="M2299" s="33" t="n">
        <x:v>650801.4400000001</x:v>
      </x:c>
      <x:c r="N2299" s="33" t="n">
        <x:v>65.080144</x:v>
      </x:c>
      <x:c r="O2299" s="22" t="str">
        <x:v>公顷</x:v>
      </x:c>
      <x:c r="P2299" s="22" t="str">
        <x:v>未提供（单期横截面）</x:v>
      </x:c>
      <x:c r="Q2299" s="23" t="n">
        <x:v>5278</x:v>
      </x:c>
    </x:row>
    <x:row r="2300">
      <x:c r="A2300" s="30" t="n">
        <x:v>350600</x:v>
      </x:c>
      <x:c r="B2300" s="22" t="str">
        <x:v>漳州市</x:v>
      </x:c>
      <x:c r="C2300" s="31" t="n">
        <x:v>350623</x:v>
      </x:c>
      <x:c r="D2300" s="22" t="str">
        <x:v>漳浦县</x:v>
      </x:c>
      <x:c r="E2300" s="22" t="str">
        <x:v>建设用地</x:v>
      </x:c>
      <x:c r="F2300" s="22" t="str">
        <x:v>公共管理与公共服务用地</x:v>
      </x:c>
      <x:c r="G2300" s="32" t="str">
        <x:v>08H2</x:v>
      </x:c>
      <x:c r="H2300" s="32" t="str">
        <x:v>08H2</x:v>
      </x:c>
      <x:c r="I2300" s="22" t="str">
        <x:v>科教文卫用地</x:v>
      </x:c>
      <x:c r="J2300" s="22" t="str">
        <x:v>公共服务</x:v>
      </x:c>
      <x:c r="K2300" s="32" t="str">
        <x:v>203</x:v>
      </x:c>
      <x:c r="L2300" s="22" t="str">
        <x:v>村庄范围</x:v>
      </x:c>
      <x:c r="M2300" s="33" t="n">
        <x:v>2320181.7799999993</x:v>
      </x:c>
      <x:c r="N2300" s="33" t="n">
        <x:v>232.01817799999992</x:v>
      </x:c>
      <x:c r="O2300" s="22" t="str">
        <x:v>公顷</x:v>
      </x:c>
      <x:c r="P2300" s="22" t="str">
        <x:v>未提供（单期横截面）</x:v>
      </x:c>
      <x:c r="Q2300" s="23" t="n">
        <x:v>5279</x:v>
      </x:c>
    </x:row>
    <x:row r="2301">
      <x:c r="A2301" s="30" t="n">
        <x:v>350600</x:v>
      </x:c>
      <x:c r="B2301" s="22" t="str">
        <x:v>漳州市</x:v>
      </x:c>
      <x:c r="C2301" s="31" t="n">
        <x:v>350623</x:v>
      </x:c>
      <x:c r="D2301" s="22" t="str">
        <x:v>漳浦县</x:v>
      </x:c>
      <x:c r="E2301" s="22" t="str">
        <x:v>建设用地</x:v>
      </x:c>
      <x:c r="F2301" s="22" t="str">
        <x:v>公共管理与公共服务用地</x:v>
      </x:c>
      <x:c r="G2301" s="32" t="str">
        <x:v>08H2A</x:v>
      </x:c>
      <x:c r="H2301" s="32" t="str">
        <x:v>08H2</x:v>
      </x:c>
      <x:c r="I2301" s="22" t="str">
        <x:v>高教用地</x:v>
      </x:c>
      <x:c r="J2301" s="22" t="str">
        <x:v>公共服务</x:v>
      </x:c>
      <x:c r="K2301" s="32" t="str">
        <x:v>203</x:v>
      </x:c>
      <x:c r="L2301" s="22" t="str">
        <x:v>村庄范围</x:v>
      </x:c>
      <x:c r="M2301" s="33" t="n">
        <x:v>424612.57</x:v>
      </x:c>
      <x:c r="N2301" s="33" t="n">
        <x:v>42.461257</x:v>
      </x:c>
      <x:c r="O2301" s="22" t="str">
        <x:v>公顷</x:v>
      </x:c>
      <x:c r="P2301" s="22" t="str">
        <x:v>未提供（单期横截面）</x:v>
      </x:c>
      <x:c r="Q2301" s="23" t="n">
        <x:v>5280</x:v>
      </x:c>
    </x:row>
    <x:row r="2302">
      <x:c r="A2302" s="30" t="n">
        <x:v>350600</x:v>
      </x:c>
      <x:c r="B2302" s="22" t="str">
        <x:v>漳州市</x:v>
      </x:c>
      <x:c r="C2302" s="31" t="n">
        <x:v>350623</x:v>
      </x:c>
      <x:c r="D2302" s="22" t="str">
        <x:v>漳浦县</x:v>
      </x:c>
      <x:c r="E2302" s="22" t="str">
        <x:v>建设用地</x:v>
      </x:c>
      <x:c r="F2302" s="22" t="str">
        <x:v>特殊用地</x:v>
      </x:c>
      <x:c r="G2302" s="32" t="str">
        <x:v>9</x:v>
      </x:c>
      <x:c r="H2302" s="32" t="str">
        <x:v>9</x:v>
      </x:c>
      <x:c r="I2302" s="22" t="str">
        <x:v>特殊用地</x:v>
      </x:c>
      <x:c r="J2302" s="22" t="str">
        <x:v>其他建设</x:v>
      </x:c>
      <x:c r="K2302" s="32" t="str">
        <x:v>203</x:v>
      </x:c>
      <x:c r="L2302" s="22" t="str">
        <x:v>村庄范围</x:v>
      </x:c>
      <x:c r="M2302" s="33" t="n">
        <x:v>871583.5100000005</x:v>
      </x:c>
      <x:c r="N2302" s="33" t="n">
        <x:v>87.15835100000005</x:v>
      </x:c>
      <x:c r="O2302" s="22" t="str">
        <x:v>公顷</x:v>
      </x:c>
      <x:c r="P2302" s="22" t="str">
        <x:v>未提供（单期横截面）</x:v>
      </x:c>
      <x:c r="Q2302" s="23" t="n">
        <x:v>5281</x:v>
      </x:c>
    </x:row>
    <x:row r="2303">
      <x:c r="A2303" s="30" t="n">
        <x:v>350600</x:v>
      </x:c>
      <x:c r="B2303" s="22" t="str">
        <x:v>漳州市</x:v>
      </x:c>
      <x:c r="C2303" s="31" t="n">
        <x:v>350623</x:v>
      </x:c>
      <x:c r="D2303" s="22" t="str">
        <x:v>漳浦县</x:v>
      </x:c>
      <x:c r="E2303" s="22" t="str">
        <x:v>建设用地</x:v>
      </x:c>
      <x:c r="F2303" s="22" t="str">
        <x:v>交通运输用地</x:v>
      </x:c>
      <x:c r="G2303" s="32" t="str">
        <x:v>1003</x:v>
      </x:c>
      <x:c r="H2303" s="32" t="str">
        <x:v>1003</x:v>
      </x:c>
      <x:c r="I2303" s="22" t="str">
        <x:v>公路用地</x:v>
      </x:c>
      <x:c r="J2303" s="22" t="str">
        <x:v>交通门户</x:v>
      </x:c>
      <x:c r="K2303" s="32" t="str">
        <x:v>203</x:v>
      </x:c>
      <x:c r="L2303" s="22" t="str">
        <x:v>村庄范围</x:v>
      </x:c>
      <x:c r="M2303" s="33" t="n">
        <x:v>15695.9</x:v>
      </x:c>
      <x:c r="N2303" s="33" t="n">
        <x:v>1.56959</x:v>
      </x:c>
      <x:c r="O2303" s="22" t="str">
        <x:v>公顷</x:v>
      </x:c>
      <x:c r="P2303" s="22" t="str">
        <x:v>未提供（单期横截面）</x:v>
      </x:c>
      <x:c r="Q2303" s="23" t="n">
        <x:v>5282</x:v>
      </x:c>
    </x:row>
    <x:row r="2304">
      <x:c r="A2304" s="30" t="n">
        <x:v>350600</x:v>
      </x:c>
      <x:c r="B2304" s="22" t="str">
        <x:v>漳州市</x:v>
      </x:c>
      <x:c r="C2304" s="31" t="n">
        <x:v>350623</x:v>
      </x:c>
      <x:c r="D2304" s="22" t="str">
        <x:v>漳浦县</x:v>
      </x:c>
      <x:c r="E2304" s="22" t="str">
        <x:v>建设用地</x:v>
      </x:c>
      <x:c r="F2304" s="22" t="str">
        <x:v>交通运输用地</x:v>
      </x:c>
      <x:c r="G2304" s="32" t="str">
        <x:v>1004</x:v>
      </x:c>
      <x:c r="H2304" s="32" t="str">
        <x:v>1004</x:v>
      </x:c>
      <x:c r="I2304" s="22" t="str">
        <x:v>城镇村道路用地</x:v>
      </x:c>
      <x:c r="J2304" s="22" t="str">
        <x:v>交通门户</x:v>
      </x:c>
      <x:c r="K2304" s="32" t="str">
        <x:v>203</x:v>
      </x:c>
      <x:c r="L2304" s="22" t="str">
        <x:v>村庄范围</x:v>
      </x:c>
      <x:c r="M2304" s="33" t="n">
        <x:v>2977658.7899999954</x:v>
      </x:c>
      <x:c r="N2304" s="33" t="n">
        <x:v>297.76587899999953</x:v>
      </x:c>
      <x:c r="O2304" s="22" t="str">
        <x:v>公顷</x:v>
      </x:c>
      <x:c r="P2304" s="22" t="str">
        <x:v>未提供（单期横截面）</x:v>
      </x:c>
      <x:c r="Q2304" s="23" t="n">
        <x:v>5283</x:v>
      </x:c>
    </x:row>
    <x:row r="2305">
      <x:c r="A2305" s="30" t="n">
        <x:v>350600</x:v>
      </x:c>
      <x:c r="B2305" s="22" t="str">
        <x:v>漳州市</x:v>
      </x:c>
      <x:c r="C2305" s="31" t="n">
        <x:v>350623</x:v>
      </x:c>
      <x:c r="D2305" s="22" t="str">
        <x:v>漳浦县</x:v>
      </x:c>
      <x:c r="E2305" s="22" t="str">
        <x:v>建设用地</x:v>
      </x:c>
      <x:c r="F2305" s="22" t="str">
        <x:v>交通运输用地</x:v>
      </x:c>
      <x:c r="G2305" s="32" t="str">
        <x:v>1005</x:v>
      </x:c>
      <x:c r="H2305" s="32" t="str">
        <x:v>1005</x:v>
      </x:c>
      <x:c r="I2305" s="22" t="str">
        <x:v>交通服务场站用地</x:v>
      </x:c>
      <x:c r="J2305" s="22" t="str">
        <x:v>交通门户</x:v>
      </x:c>
      <x:c r="K2305" s="32" t="str">
        <x:v>203</x:v>
      </x:c>
      <x:c r="L2305" s="22" t="str">
        <x:v>村庄范围</x:v>
      </x:c>
      <x:c r="M2305" s="33" t="n">
        <x:v>372417.57</x:v>
      </x:c>
      <x:c r="N2305" s="33" t="n">
        <x:v>37.241757</x:v>
      </x:c>
      <x:c r="O2305" s="22" t="str">
        <x:v>公顷</x:v>
      </x:c>
      <x:c r="P2305" s="22" t="str">
        <x:v>未提供（单期横截面）</x:v>
      </x:c>
      <x:c r="Q2305" s="23" t="n">
        <x:v>5284</x:v>
      </x:c>
    </x:row>
    <x:row r="2306">
      <x:c r="A2306" s="30" t="n">
        <x:v>350600</x:v>
      </x:c>
      <x:c r="B2306" s="22" t="str">
        <x:v>漳州市</x:v>
      </x:c>
      <x:c r="C2306" s="31" t="n">
        <x:v>350623</x:v>
      </x:c>
      <x:c r="D2306" s="22" t="str">
        <x:v>漳浦县</x:v>
      </x:c>
      <x:c r="E2306" s="22" t="str">
        <x:v>建设用地</x:v>
      </x:c>
      <x:c r="F2306" s="22" t="str">
        <x:v>交通运输用地</x:v>
      </x:c>
      <x:c r="G2306" s="32" t="str">
        <x:v>1008</x:v>
      </x:c>
      <x:c r="H2306" s="32" t="str">
        <x:v>1008</x:v>
      </x:c>
      <x:c r="I2306" s="22" t="str">
        <x:v>港口码头用地</x:v>
      </x:c>
      <x:c r="J2306" s="22" t="str">
        <x:v>交通门户</x:v>
      </x:c>
      <x:c r="K2306" s="32" t="str">
        <x:v>203</x:v>
      </x:c>
      <x:c r="L2306" s="22" t="str">
        <x:v>村庄范围</x:v>
      </x:c>
      <x:c r="M2306" s="33" t="n">
        <x:v>1165.92</x:v>
      </x:c>
      <x:c r="N2306" s="33" t="n">
        <x:v>0.116592</x:v>
      </x:c>
      <x:c r="O2306" s="22" t="str">
        <x:v>公顷</x:v>
      </x:c>
      <x:c r="P2306" s="22" t="str">
        <x:v>未提供（单期横截面）</x:v>
      </x:c>
      <x:c r="Q2306" s="23" t="n">
        <x:v>5285</x:v>
      </x:c>
    </x:row>
    <x:row r="2307">
      <x:c r="A2307" s="30" t="n">
        <x:v>350600</x:v>
      </x:c>
      <x:c r="B2307" s="22" t="str">
        <x:v>漳州市</x:v>
      </x:c>
      <x:c r="C2307" s="31" t="n">
        <x:v>350623</x:v>
      </x:c>
      <x:c r="D2307" s="22" t="str">
        <x:v>漳浦县</x:v>
      </x:c>
      <x:c r="E2307" s="22" t="str">
        <x:v>建设用地</x:v>
      </x:c>
      <x:c r="F2307" s="22" t="str">
        <x:v>水域及水利设施</x:v>
      </x:c>
      <x:c r="G2307" s="32" t="str">
        <x:v>1109</x:v>
      </x:c>
      <x:c r="H2307" s="32" t="str">
        <x:v>1109</x:v>
      </x:c>
      <x:c r="I2307" s="22" t="str">
        <x:v>水工建筑用地</x:v>
      </x:c>
      <x:c r="J2307" s="22" t="str">
        <x:v>其他建设</x:v>
      </x:c>
      <x:c r="K2307" s="32" t="str">
        <x:v>203</x:v>
      </x:c>
      <x:c r="L2307" s="22" t="str">
        <x:v>村庄范围</x:v>
      </x:c>
      <x:c r="M2307" s="33" t="n">
        <x:v>2533.86</x:v>
      </x:c>
      <x:c r="N2307" s="33" t="n">
        <x:v>0.253386</x:v>
      </x:c>
      <x:c r="O2307" s="22" t="str">
        <x:v>公顷</x:v>
      </x:c>
      <x:c r="P2307" s="22" t="str">
        <x:v>未提供（单期横截面）</x:v>
      </x:c>
      <x:c r="Q2307" s="23" t="n">
        <x:v>5286</x:v>
      </x:c>
    </x:row>
    <x:row r="2308">
      <x:c r="A2308" s="30" t="n">
        <x:v>350600</x:v>
      </x:c>
      <x:c r="B2308" s="22" t="str">
        <x:v>漳州市</x:v>
      </x:c>
      <x:c r="C2308" s="31" t="n">
        <x:v>350623</x:v>
      </x:c>
      <x:c r="D2308" s="22" t="str">
        <x:v>漳浦县</x:v>
      </x:c>
      <x:c r="E2308" s="22" t="str">
        <x:v>建设用地</x:v>
      </x:c>
      <x:c r="F2308" s="22" t="str">
        <x:v>其他建设用地</x:v>
      </x:c>
      <x:c r="G2308" s="32" t="str">
        <x:v>1201</x:v>
      </x:c>
      <x:c r="H2308" s="32" t="str">
        <x:v>1201</x:v>
      </x:c>
      <x:c r="I2308" s="22" t="str">
        <x:v>空闲地</x:v>
      </x:c>
      <x:c r="J2308" s="22" t="str">
        <x:v>其他建设</x:v>
      </x:c>
      <x:c r="K2308" s="32" t="str">
        <x:v>203</x:v>
      </x:c>
      <x:c r="L2308" s="22" t="str">
        <x:v>村庄范围</x:v>
      </x:c>
      <x:c r="M2308" s="33" t="n">
        <x:v>84896.31000000001</x:v>
      </x:c>
      <x:c r="N2308" s="33" t="n">
        <x:v>8.489631000000001</x:v>
      </x:c>
      <x:c r="O2308" s="22" t="str">
        <x:v>公顷</x:v>
      </x:c>
      <x:c r="P2308" s="22" t="str">
        <x:v>未提供（单期横截面）</x:v>
      </x:c>
      <x:c r="Q2308" s="23" t="n">
        <x:v>5287</x:v>
      </x:c>
    </x:row>
    <x:row r="2309">
      <x:c r="A2309" s="30" t="n">
        <x:v>350600</x:v>
      </x:c>
      <x:c r="B2309" s="22" t="str">
        <x:v>漳州市</x:v>
      </x:c>
      <x:c r="C2309" s="31" t="n">
        <x:v>350623</x:v>
      </x:c>
      <x:c r="D2309" s="22" t="str">
        <x:v>漳浦县</x:v>
      </x:c>
      <x:c r="E2309" s="22" t="str">
        <x:v>建设用地</x:v>
      </x:c>
      <x:c r="F2309" s="22" t="str">
        <x:v>工矿仓储用地</x:v>
      </x:c>
      <x:c r="G2309" s="32" t="str">
        <x:v>601</x:v>
      </x:c>
      <x:c r="H2309" s="32" t="str">
        <x:v>601</x:v>
      </x:c>
      <x:c r="I2309" s="22" t="str">
        <x:v>工业用地</x:v>
      </x:c>
      <x:c r="J2309" s="22" t="str">
        <x:v>产业功能</x:v>
      </x:c>
      <x:c r="K2309" s="32" t="str">
        <x:v>203A</x:v>
      </x:c>
      <x:c r="L2309" s="22" t="str">
        <x:v>村庄独立工业用地</x:v>
      </x:c>
      <x:c r="M2309" s="33" t="n">
        <x:v>4111457.9700000025</x:v>
      </x:c>
      <x:c r="N2309" s="33" t="n">
        <x:v>411.14579700000024</x:v>
      </x:c>
      <x:c r="O2309" s="22" t="str">
        <x:v>公顷</x:v>
      </x:c>
      <x:c r="P2309" s="22" t="str">
        <x:v>未提供（单期横截面）</x:v>
      </x:c>
      <x:c r="Q2309" s="23" t="n">
        <x:v>5288</x:v>
      </x:c>
    </x:row>
    <x:row r="2310">
      <x:c r="A2310" s="30" t="n">
        <x:v>350600</x:v>
      </x:c>
      <x:c r="B2310" s="22" t="str">
        <x:v>漳州市</x:v>
      </x:c>
      <x:c r="C2310" s="31" t="n">
        <x:v>350623</x:v>
      </x:c>
      <x:c r="D2310" s="22" t="str">
        <x:v>漳浦县</x:v>
      </x:c>
      <x:c r="E2310" s="22" t="str">
        <x:v>建设用地</x:v>
      </x:c>
      <x:c r="F2310" s="22" t="str">
        <x:v>工矿仓储用地</x:v>
      </x:c>
      <x:c r="G2310" s="32" t="str">
        <x:v>601</x:v>
      </x:c>
      <x:c r="H2310" s="32" t="str">
        <x:v>601</x:v>
      </x:c>
      <x:c r="I2310" s="22" t="str">
        <x:v>工业用地</x:v>
      </x:c>
      <x:c r="J2310" s="22" t="str">
        <x:v>产业功能</x:v>
      </x:c>
      <x:c r="K2310" s="32" t="str">
        <x:v>204</x:v>
      </x:c>
      <x:c r="L2310" s="22" t="str">
        <x:v>盐田及采矿用地</x:v>
      </x:c>
      <x:c r="M2310" s="33" t="n">
        <x:v>663.9100000000001</x:v>
      </x:c>
      <x:c r="N2310" s="33" t="n">
        <x:v>0.066391</x:v>
      </x:c>
      <x:c r="O2310" s="22" t="str">
        <x:v>公顷</x:v>
      </x:c>
      <x:c r="P2310" s="22" t="str">
        <x:v>未提供（单期横截面）</x:v>
      </x:c>
      <x:c r="Q2310" s="23" t="n">
        <x:v>5289</x:v>
      </x:c>
    </x:row>
    <x:row r="2311">
      <x:c r="A2311" s="30" t="n">
        <x:v>350600</x:v>
      </x:c>
      <x:c r="B2311" s="22" t="str">
        <x:v>漳州市</x:v>
      </x:c>
      <x:c r="C2311" s="31" t="n">
        <x:v>350623</x:v>
      </x:c>
      <x:c r="D2311" s="22" t="str">
        <x:v>漳浦县</x:v>
      </x:c>
      <x:c r="E2311" s="22" t="str">
        <x:v>建设用地</x:v>
      </x:c>
      <x:c r="F2311" s="22" t="str">
        <x:v>工矿仓储用地</x:v>
      </x:c>
      <x:c r="G2311" s="32" t="str">
        <x:v>602</x:v>
      </x:c>
      <x:c r="H2311" s="32" t="str">
        <x:v>602</x:v>
      </x:c>
      <x:c r="I2311" s="22" t="str">
        <x:v>采矿用地</x:v>
      </x:c>
      <x:c r="J2311" s="22" t="str">
        <x:v>产业功能</x:v>
      </x:c>
      <x:c r="K2311" s="32" t="str">
        <x:v>204</x:v>
      </x:c>
      <x:c r="L2311" s="22" t="str">
        <x:v>盐田及采矿用地</x:v>
      </x:c>
      <x:c r="M2311" s="33" t="n">
        <x:v>5462555.890000002</x:v>
      </x:c>
      <x:c r="N2311" s="33" t="n">
        <x:v>546.2555890000002</x:v>
      </x:c>
      <x:c r="O2311" s="22" t="str">
        <x:v>公顷</x:v>
      </x:c>
      <x:c r="P2311" s="22" t="str">
        <x:v>未提供（单期横截面）</x:v>
      </x:c>
      <x:c r="Q2311" s="23" t="n">
        <x:v>5290</x:v>
      </x:c>
    </x:row>
    <x:row r="2312">
      <x:c r="A2312" s="30" t="n">
        <x:v>350600</x:v>
      </x:c>
      <x:c r="B2312" s="22" t="str">
        <x:v>漳州市</x:v>
      </x:c>
      <x:c r="C2312" s="31" t="n">
        <x:v>350623</x:v>
      </x:c>
      <x:c r="D2312" s="22" t="str">
        <x:v>漳浦县</x:v>
      </x:c>
      <x:c r="E2312" s="22" t="str">
        <x:v>建设用地</x:v>
      </x:c>
      <x:c r="F2312" s="22" t="str">
        <x:v>工矿仓储用地</x:v>
      </x:c>
      <x:c r="G2312" s="32" t="str">
        <x:v>603</x:v>
      </x:c>
      <x:c r="H2312" s="32" t="str">
        <x:v>603</x:v>
      </x:c>
      <x:c r="I2312" s="22" t="str">
        <x:v>盐田</x:v>
      </x:c>
      <x:c r="J2312" s="22" t="str">
        <x:v>产业功能</x:v>
      </x:c>
      <x:c r="K2312" s="32" t="str">
        <x:v>204</x:v>
      </x:c>
      <x:c r="L2312" s="22" t="str">
        <x:v>盐田及采矿用地</x:v>
      </x:c>
      <x:c r="M2312" s="33" t="n">
        <x:v>10797006.25</x:v>
      </x:c>
      <x:c r="N2312" s="33" t="n">
        <x:v>1079.700625</x:v>
      </x:c>
      <x:c r="O2312" s="22" t="str">
        <x:v>公顷</x:v>
      </x:c>
      <x:c r="P2312" s="22" t="str">
        <x:v>未提供（单期横截面）</x:v>
      </x:c>
      <x:c r="Q2312" s="23" t="n">
        <x:v>5291</x:v>
      </x:c>
    </x:row>
    <x:row r="2313">
      <x:c r="A2313" s="30" t="n">
        <x:v>350600</x:v>
      </x:c>
      <x:c r="B2313" s="22" t="str">
        <x:v>漳州市</x:v>
      </x:c>
      <x:c r="C2313" s="31" t="n">
        <x:v>350623</x:v>
      </x:c>
      <x:c r="D2313" s="22" t="str">
        <x:v>漳浦县</x:v>
      </x:c>
      <x:c r="E2313" s="22" t="str">
        <x:v>建设用地</x:v>
      </x:c>
      <x:c r="F2313" s="22" t="str">
        <x:v>公共管理与公共服务用地</x:v>
      </x:c>
      <x:c r="G2313" s="32" t="str">
        <x:v>08H1</x:v>
      </x:c>
      <x:c r="H2313" s="32" t="str">
        <x:v>08H1</x:v>
      </x:c>
      <x:c r="I2313" s="22" t="str">
        <x:v>机关团体新闻出版用地</x:v>
      </x:c>
      <x:c r="J2313" s="22" t="str">
        <x:v>公共服务</x:v>
      </x:c>
      <x:c r="K2313" s="32" t="str">
        <x:v>204</x:v>
      </x:c>
      <x:c r="L2313" s="22" t="str">
        <x:v>盐田及采矿用地</x:v>
      </x:c>
      <x:c r="M2313" s="33" t="n">
        <x:v>522.76</x:v>
      </x:c>
      <x:c r="N2313" s="33" t="n">
        <x:v>0.052275999999999996</x:v>
      </x:c>
      <x:c r="O2313" s="22" t="str">
        <x:v>公顷</x:v>
      </x:c>
      <x:c r="P2313" s="22" t="str">
        <x:v>未提供（单期横截面）</x:v>
      </x:c>
      <x:c r="Q2313" s="23" t="n">
        <x:v>5292</x:v>
      </x:c>
    </x:row>
    <x:row r="2314">
      <x:c r="A2314" s="30" t="n">
        <x:v>350600</x:v>
      </x:c>
      <x:c r="B2314" s="22" t="str">
        <x:v>漳州市</x:v>
      </x:c>
      <x:c r="C2314" s="31" t="n">
        <x:v>350623</x:v>
      </x:c>
      <x:c r="D2314" s="22" t="str">
        <x:v>漳浦县</x:v>
      </x:c>
      <x:c r="E2314" s="22" t="str">
        <x:v>建设用地</x:v>
      </x:c>
      <x:c r="F2314" s="22" t="str">
        <x:v>特殊用地</x:v>
      </x:c>
      <x:c r="G2314" s="32" t="str">
        <x:v>9</x:v>
      </x:c>
      <x:c r="H2314" s="32" t="str">
        <x:v>9</x:v>
      </x:c>
      <x:c r="I2314" s="22" t="str">
        <x:v>特殊用地</x:v>
      </x:c>
      <x:c r="J2314" s="22" t="str">
        <x:v>其他建设</x:v>
      </x:c>
      <x:c r="K2314" s="32" t="str">
        <x:v>205</x:v>
      </x:c>
      <x:c r="L2314" s="22" t="str">
        <x:v>特殊用地</x:v>
      </x:c>
      <x:c r="M2314" s="33" t="n">
        <x:v>2421175.1200000015</x:v>
      </x:c>
      <x:c r="N2314" s="33" t="n">
        <x:v>242.11751200000015</x:v>
      </x:c>
      <x:c r="O2314" s="22" t="str">
        <x:v>公顷</x:v>
      </x:c>
      <x:c r="P2314" s="22" t="str">
        <x:v>未提供（单期横截面）</x:v>
      </x:c>
      <x:c r="Q2314" s="23" t="n">
        <x:v>5293</x:v>
      </x:c>
    </x:row>
    <x:row r="2315">
      <x:c r="A2315" s="30" t="n">
        <x:v>350600</x:v>
      </x:c>
      <x:c r="B2315" s="22" t="str">
        <x:v>漳州市</x:v>
      </x:c>
      <x:c r="C2315" s="31" t="n">
        <x:v>350623</x:v>
      </x:c>
      <x:c r="D2315" s="22" t="str">
        <x:v>漳浦县</x:v>
      </x:c>
      <x:c r="E2315" s="22" t="str">
        <x:v>农用地</x:v>
      </x:c>
      <x:c r="F2315" s="22" t="str">
        <x:v>耕地</x:v>
      </x:c>
      <x:c r="G2315" s="32" t="str">
        <x:v>101</x:v>
      </x:c>
      <x:c r="H2315" s="32" t="str">
        <x:v>101</x:v>
      </x:c>
      <x:c r="I2315" s="22" t="str">
        <x:v>水田</x:v>
      </x:c>
      <x:c r="J2315" s="22" t="str">
        <x:v>农业生态</x:v>
      </x:c>
      <x:c r="K2315" s="32" t="str"/>
      <x:c r="L2315" s="22" t="str">
        <x:v>不适用/未标注</x:v>
      </x:c>
      <x:c r="M2315" s="33" t="n">
        <x:v>135219175.60999912</x:v>
      </x:c>
      <x:c r="N2315" s="33" t="n">
        <x:v>13521.917560999913</x:v>
      </x:c>
      <x:c r="O2315" s="22" t="str">
        <x:v>公顷</x:v>
      </x:c>
      <x:c r="P2315" s="22" t="str">
        <x:v>未提供（单期横截面）</x:v>
      </x:c>
      <x:c r="Q2315" s="23" t="n">
        <x:v>5294</x:v>
      </x:c>
    </x:row>
    <x:row r="2316">
      <x:c r="A2316" s="30" t="n">
        <x:v>350600</x:v>
      </x:c>
      <x:c r="B2316" s="22" t="str">
        <x:v>漳州市</x:v>
      </x:c>
      <x:c r="C2316" s="31" t="n">
        <x:v>350623</x:v>
      </x:c>
      <x:c r="D2316" s="22" t="str">
        <x:v>漳浦县</x:v>
      </x:c>
      <x:c r="E2316" s="22" t="str">
        <x:v>农用地</x:v>
      </x:c>
      <x:c r="F2316" s="22" t="str">
        <x:v>耕地</x:v>
      </x:c>
      <x:c r="G2316" s="32" t="str">
        <x:v>102</x:v>
      </x:c>
      <x:c r="H2316" s="32" t="str">
        <x:v>102</x:v>
      </x:c>
      <x:c r="I2316" s="22" t="str">
        <x:v>水浇地</x:v>
      </x:c>
      <x:c r="J2316" s="22" t="str">
        <x:v>农业生态</x:v>
      </x:c>
      <x:c r="K2316" s="32" t="str"/>
      <x:c r="L2316" s="22" t="str">
        <x:v>不适用/未标注</x:v>
      </x:c>
      <x:c r="M2316" s="33" t="n">
        <x:v>49976834.56999986</x:v>
      </x:c>
      <x:c r="N2316" s="33" t="n">
        <x:v>4997.6834569999855</x:v>
      </x:c>
      <x:c r="O2316" s="22" t="str">
        <x:v>公顷</x:v>
      </x:c>
      <x:c r="P2316" s="22" t="str">
        <x:v>未提供（单期横截面）</x:v>
      </x:c>
      <x:c r="Q2316" s="23" t="n">
        <x:v>5295</x:v>
      </x:c>
    </x:row>
    <x:row r="2317">
      <x:c r="A2317" s="30" t="n">
        <x:v>350600</x:v>
      </x:c>
      <x:c r="B2317" s="22" t="str">
        <x:v>漳州市</x:v>
      </x:c>
      <x:c r="C2317" s="31" t="n">
        <x:v>350623</x:v>
      </x:c>
      <x:c r="D2317" s="22" t="str">
        <x:v>漳浦县</x:v>
      </x:c>
      <x:c r="E2317" s="22" t="str">
        <x:v>农用地</x:v>
      </x:c>
      <x:c r="F2317" s="22" t="str">
        <x:v>耕地</x:v>
      </x:c>
      <x:c r="G2317" s="32" t="str">
        <x:v>103</x:v>
      </x:c>
      <x:c r="H2317" s="32" t="str">
        <x:v>103</x:v>
      </x:c>
      <x:c r="I2317" s="22" t="str">
        <x:v>旱地</x:v>
      </x:c>
      <x:c r="J2317" s="22" t="str">
        <x:v>农业生态</x:v>
      </x:c>
      <x:c r="K2317" s="32" t="str"/>
      <x:c r="L2317" s="22" t="str">
        <x:v>不适用/未标注</x:v>
      </x:c>
      <x:c r="M2317" s="33" t="n">
        <x:v>27388542.960000005</x:v>
      </x:c>
      <x:c r="N2317" s="33" t="n">
        <x:v>2738.8542960000004</x:v>
      </x:c>
      <x:c r="O2317" s="22" t="str">
        <x:v>公顷</x:v>
      </x:c>
      <x:c r="P2317" s="22" t="str">
        <x:v>未提供（单期横截面）</x:v>
      </x:c>
      <x:c r="Q2317" s="23" t="n">
        <x:v>5296</x:v>
      </x:c>
    </x:row>
    <x:row r="2318">
      <x:c r="A2318" s="30" t="n">
        <x:v>350600</x:v>
      </x:c>
      <x:c r="B2318" s="22" t="str">
        <x:v>漳州市</x:v>
      </x:c>
      <x:c r="C2318" s="31" t="n">
        <x:v>350623</x:v>
      </x:c>
      <x:c r="D2318" s="22" t="str">
        <x:v>漳浦县</x:v>
      </x:c>
      <x:c r="E2318" s="22" t="str">
        <x:v>农用地</x:v>
      </x:c>
      <x:c r="F2318" s="22" t="str">
        <x:v>园地</x:v>
      </x:c>
      <x:c r="G2318" s="32" t="str">
        <x:v>201</x:v>
      </x:c>
      <x:c r="H2318" s="32" t="str">
        <x:v>201</x:v>
      </x:c>
      <x:c r="I2318" s="22" t="str">
        <x:v>果园</x:v>
      </x:c>
      <x:c r="J2318" s="22" t="str">
        <x:v>农业生态</x:v>
      </x:c>
      <x:c r="K2318" s="32" t="str"/>
      <x:c r="L2318" s="22" t="str">
        <x:v>不适用/未标注</x:v>
      </x:c>
      <x:c r="M2318" s="33" t="n">
        <x:v>437794232.15000015</x:v>
      </x:c>
      <x:c r="N2318" s="33" t="n">
        <x:v>43779.42321500002</x:v>
      </x:c>
      <x:c r="O2318" s="22" t="str">
        <x:v>公顷</x:v>
      </x:c>
      <x:c r="P2318" s="22" t="str">
        <x:v>未提供（单期横截面）</x:v>
      </x:c>
      <x:c r="Q2318" s="23" t="n">
        <x:v>5297</x:v>
      </x:c>
    </x:row>
    <x:row r="2319">
      <x:c r="A2319" s="30" t="n">
        <x:v>350600</x:v>
      </x:c>
      <x:c r="B2319" s="22" t="str">
        <x:v>漳州市</x:v>
      </x:c>
      <x:c r="C2319" s="31" t="n">
        <x:v>350623</x:v>
      </x:c>
      <x:c r="D2319" s="22" t="str">
        <x:v>漳浦县</x:v>
      </x:c>
      <x:c r="E2319" s="22" t="str">
        <x:v>农用地</x:v>
      </x:c>
      <x:c r="F2319" s="22" t="str">
        <x:v>园地</x:v>
      </x:c>
      <x:c r="G2319" s="32" t="str">
        <x:v>0201K</x:v>
      </x:c>
      <x:c r="H2319" s="32" t="str">
        <x:v>201</x:v>
      </x:c>
      <x:c r="I2319" s="22" t="str">
        <x:v>可调整果园</x:v>
      </x:c>
      <x:c r="J2319" s="22" t="str">
        <x:v>农业生态</x:v>
      </x:c>
      <x:c r="K2319" s="32" t="str"/>
      <x:c r="L2319" s="22" t="str">
        <x:v>不适用/未标注</x:v>
      </x:c>
      <x:c r="M2319" s="33" t="n">
        <x:v>23080064.759999987</x:v>
      </x:c>
      <x:c r="N2319" s="33" t="n">
        <x:v>2308.0064759999987</x:v>
      </x:c>
      <x:c r="O2319" s="22" t="str">
        <x:v>公顷</x:v>
      </x:c>
      <x:c r="P2319" s="22" t="str">
        <x:v>未提供（单期横截面）</x:v>
      </x:c>
      <x:c r="Q2319" s="23" t="n">
        <x:v>5298</x:v>
      </x:c>
    </x:row>
    <x:row r="2320">
      <x:c r="A2320" s="30" t="n">
        <x:v>350600</x:v>
      </x:c>
      <x:c r="B2320" s="22" t="str">
        <x:v>漳州市</x:v>
      </x:c>
      <x:c r="C2320" s="31" t="n">
        <x:v>350623</x:v>
      </x:c>
      <x:c r="D2320" s="22" t="str">
        <x:v>漳浦县</x:v>
      </x:c>
      <x:c r="E2320" s="22" t="str">
        <x:v>农用地</x:v>
      </x:c>
      <x:c r="F2320" s="22" t="str">
        <x:v>园地</x:v>
      </x:c>
      <x:c r="G2320" s="32" t="str">
        <x:v>202</x:v>
      </x:c>
      <x:c r="H2320" s="32" t="str">
        <x:v>202</x:v>
      </x:c>
      <x:c r="I2320" s="22" t="str">
        <x:v>茶园</x:v>
      </x:c>
      <x:c r="J2320" s="22" t="str">
        <x:v>农业生态</x:v>
      </x:c>
      <x:c r="K2320" s="32" t="str"/>
      <x:c r="L2320" s="22" t="str">
        <x:v>不适用/未标注</x:v>
      </x:c>
      <x:c r="M2320" s="33" t="n">
        <x:v>1456669.8199999994</x:v>
      </x:c>
      <x:c r="N2320" s="33" t="n">
        <x:v>145.66698199999993</x:v>
      </x:c>
      <x:c r="O2320" s="22" t="str">
        <x:v>公顷</x:v>
      </x:c>
      <x:c r="P2320" s="22" t="str">
        <x:v>未提供（单期横截面）</x:v>
      </x:c>
      <x:c r="Q2320" s="23" t="n">
        <x:v>5299</x:v>
      </x:c>
    </x:row>
    <x:row r="2321">
      <x:c r="A2321" s="30" t="n">
        <x:v>350600</x:v>
      </x:c>
      <x:c r="B2321" s="22" t="str">
        <x:v>漳州市</x:v>
      </x:c>
      <x:c r="C2321" s="31" t="n">
        <x:v>350623</x:v>
      </x:c>
      <x:c r="D2321" s="22" t="str">
        <x:v>漳浦县</x:v>
      </x:c>
      <x:c r="E2321" s="22" t="str">
        <x:v>农用地</x:v>
      </x:c>
      <x:c r="F2321" s="22" t="str">
        <x:v>园地</x:v>
      </x:c>
      <x:c r="G2321" s="32" t="str">
        <x:v>0202K</x:v>
      </x:c>
      <x:c r="H2321" s="32" t="str">
        <x:v>0202</x:v>
      </x:c>
      <x:c r="I2321" s="22" t="str">
        <x:v>可调整茶园</x:v>
      </x:c>
      <x:c r="J2321" s="22" t="str">
        <x:v>农业生态</x:v>
      </x:c>
      <x:c r="K2321" s="32" t="str"/>
      <x:c r="L2321" s="22" t="str">
        <x:v>不适用/未标注</x:v>
      </x:c>
      <x:c r="M2321" s="33" t="n">
        <x:v>443306.1300000001</x:v>
      </x:c>
      <x:c r="N2321" s="33" t="n">
        <x:v>44.330613000000014</x:v>
      </x:c>
      <x:c r="O2321" s="22" t="str">
        <x:v>公顷</x:v>
      </x:c>
      <x:c r="P2321" s="22" t="str">
        <x:v>未提供（单期横截面）</x:v>
      </x:c>
      <x:c r="Q2321" s="23" t="n">
        <x:v>5300</x:v>
      </x:c>
    </x:row>
    <x:row r="2322">
      <x:c r="A2322" s="30" t="n">
        <x:v>350600</x:v>
      </x:c>
      <x:c r="B2322" s="22" t="str">
        <x:v>漳州市</x:v>
      </x:c>
      <x:c r="C2322" s="31" t="n">
        <x:v>350623</x:v>
      </x:c>
      <x:c r="D2322" s="22" t="str">
        <x:v>漳浦县</x:v>
      </x:c>
      <x:c r="E2322" s="22" t="str">
        <x:v>农用地</x:v>
      </x:c>
      <x:c r="F2322" s="22" t="str">
        <x:v>园地</x:v>
      </x:c>
      <x:c r="G2322" s="32" t="str">
        <x:v>204</x:v>
      </x:c>
      <x:c r="H2322" s="32" t="str">
        <x:v>204</x:v>
      </x:c>
      <x:c r="I2322" s="22" t="str">
        <x:v>其他园地</x:v>
      </x:c>
      <x:c r="J2322" s="22" t="str">
        <x:v>农业生态</x:v>
      </x:c>
      <x:c r="K2322" s="32" t="str"/>
      <x:c r="L2322" s="22" t="str">
        <x:v>不适用/未标注</x:v>
      </x:c>
      <x:c r="M2322" s="33" t="n">
        <x:v>28056213.40999994</x:v>
      </x:c>
      <x:c r="N2322" s="33" t="n">
        <x:v>2805.621340999994</x:v>
      </x:c>
      <x:c r="O2322" s="22" t="str">
        <x:v>公顷</x:v>
      </x:c>
      <x:c r="P2322" s="22" t="str">
        <x:v>未提供（单期横截面）</x:v>
      </x:c>
      <x:c r="Q2322" s="23" t="n">
        <x:v>5301</x:v>
      </x:c>
    </x:row>
    <x:row r="2323">
      <x:c r="A2323" s="30" t="n">
        <x:v>350600</x:v>
      </x:c>
      <x:c r="B2323" s="22" t="str">
        <x:v>漳州市</x:v>
      </x:c>
      <x:c r="C2323" s="31" t="n">
        <x:v>350623</x:v>
      </x:c>
      <x:c r="D2323" s="22" t="str">
        <x:v>漳浦县</x:v>
      </x:c>
      <x:c r="E2323" s="22" t="str">
        <x:v>农用地</x:v>
      </x:c>
      <x:c r="F2323" s="22" t="str">
        <x:v>园地</x:v>
      </x:c>
      <x:c r="G2323" s="32" t="str">
        <x:v>0204K</x:v>
      </x:c>
      <x:c r="H2323" s="32" t="str">
        <x:v>0204</x:v>
      </x:c>
      <x:c r="I2323" s="22" t="str">
        <x:v>可调整其他园地</x:v>
      </x:c>
      <x:c r="J2323" s="22" t="str">
        <x:v>农业生态</x:v>
      </x:c>
      <x:c r="K2323" s="32" t="str"/>
      <x:c r="L2323" s="22" t="str">
        <x:v>不适用/未标注</x:v>
      </x:c>
      <x:c r="M2323" s="33" t="n">
        <x:v>965578.1200000003</x:v>
      </x:c>
      <x:c r="N2323" s="33" t="n">
        <x:v>96.55781200000004</x:v>
      </x:c>
      <x:c r="O2323" s="22" t="str">
        <x:v>公顷</x:v>
      </x:c>
      <x:c r="P2323" s="22" t="str">
        <x:v>未提供（单期横截面）</x:v>
      </x:c>
      <x:c r="Q2323" s="23" t="n">
        <x:v>5302</x:v>
      </x:c>
    </x:row>
    <x:row r="2324">
      <x:c r="A2324" s="30" t="n">
        <x:v>350600</x:v>
      </x:c>
      <x:c r="B2324" s="22" t="str">
        <x:v>漳州市</x:v>
      </x:c>
      <x:c r="C2324" s="31" t="n">
        <x:v>350623</x:v>
      </x:c>
      <x:c r="D2324" s="22" t="str">
        <x:v>漳浦县</x:v>
      </x:c>
      <x:c r="E2324" s="22" t="str">
        <x:v>农用地</x:v>
      </x:c>
      <x:c r="F2324" s="22" t="str">
        <x:v>林地</x:v>
      </x:c>
      <x:c r="G2324" s="32" t="str">
        <x:v>301</x:v>
      </x:c>
      <x:c r="H2324" s="32" t="str">
        <x:v>301</x:v>
      </x:c>
      <x:c r="I2324" s="22" t="str">
        <x:v>乔木林地</x:v>
      </x:c>
      <x:c r="J2324" s="22" t="str">
        <x:v>农业生态</x:v>
      </x:c>
      <x:c r="K2324" s="32" t="str"/>
      <x:c r="L2324" s="22" t="str">
        <x:v>不适用/未标注</x:v>
      </x:c>
      <x:c r="M2324" s="33" t="n">
        <x:v>617484938.6100017</x:v>
      </x:c>
      <x:c r="N2324" s="33" t="n">
        <x:v>61748.49386100017</x:v>
      </x:c>
      <x:c r="O2324" s="22" t="str">
        <x:v>公顷</x:v>
      </x:c>
      <x:c r="P2324" s="22" t="str">
        <x:v>未提供（单期横截面）</x:v>
      </x:c>
      <x:c r="Q2324" s="23" t="n">
        <x:v>5303</x:v>
      </x:c>
    </x:row>
    <x:row r="2325">
      <x:c r="A2325" s="30" t="n">
        <x:v>350600</x:v>
      </x:c>
      <x:c r="B2325" s="22" t="str">
        <x:v>漳州市</x:v>
      </x:c>
      <x:c r="C2325" s="31" t="n">
        <x:v>350623</x:v>
      </x:c>
      <x:c r="D2325" s="22" t="str">
        <x:v>漳浦县</x:v>
      </x:c>
      <x:c r="E2325" s="22" t="str">
        <x:v>农用地</x:v>
      </x:c>
      <x:c r="F2325" s="22" t="str">
        <x:v>林地</x:v>
      </x:c>
      <x:c r="G2325" s="32" t="str">
        <x:v>0301K</x:v>
      </x:c>
      <x:c r="H2325" s="32" t="str">
        <x:v>0301</x:v>
      </x:c>
      <x:c r="I2325" s="22" t="str">
        <x:v>可调整乔木林地</x:v>
      </x:c>
      <x:c r="J2325" s="22" t="str">
        <x:v>农业生态</x:v>
      </x:c>
      <x:c r="K2325" s="32" t="str"/>
      <x:c r="L2325" s="22" t="str">
        <x:v>不适用/未标注</x:v>
      </x:c>
      <x:c r="M2325" s="33" t="n">
        <x:v>2770076.220000002</x:v>
      </x:c>
      <x:c r="N2325" s="33" t="n">
        <x:v>277.0076220000002</x:v>
      </x:c>
      <x:c r="O2325" s="22" t="str">
        <x:v>公顷</x:v>
      </x:c>
      <x:c r="P2325" s="22" t="str">
        <x:v>未提供（单期横截面）</x:v>
      </x:c>
      <x:c r="Q2325" s="23" t="n">
        <x:v>5304</x:v>
      </x:c>
    </x:row>
    <x:row r="2326">
      <x:c r="A2326" s="30" t="n">
        <x:v>350600</x:v>
      </x:c>
      <x:c r="B2326" s="22" t="str">
        <x:v>漳州市</x:v>
      </x:c>
      <x:c r="C2326" s="31" t="n">
        <x:v>350623</x:v>
      </x:c>
      <x:c r="D2326" s="22" t="str">
        <x:v>漳浦县</x:v>
      </x:c>
      <x:c r="E2326" s="22" t="str">
        <x:v>农用地</x:v>
      </x:c>
      <x:c r="F2326" s="22" t="str">
        <x:v>林地</x:v>
      </x:c>
      <x:c r="G2326" s="32" t="str">
        <x:v>302</x:v>
      </x:c>
      <x:c r="H2326" s="32" t="str">
        <x:v>302</x:v>
      </x:c>
      <x:c r="I2326" s="22" t="str">
        <x:v>竹林地</x:v>
      </x:c>
      <x:c r="J2326" s="22" t="str">
        <x:v>农业生态</x:v>
      </x:c>
      <x:c r="K2326" s="32" t="str"/>
      <x:c r="L2326" s="22" t="str">
        <x:v>不适用/未标注</x:v>
      </x:c>
      <x:c r="M2326" s="33" t="n">
        <x:v>22359109.57000002</x:v>
      </x:c>
      <x:c r="N2326" s="33" t="n">
        <x:v>2235.910957000002</x:v>
      </x:c>
      <x:c r="O2326" s="22" t="str">
        <x:v>公顷</x:v>
      </x:c>
      <x:c r="P2326" s="22" t="str">
        <x:v>未提供（单期横截面）</x:v>
      </x:c>
      <x:c r="Q2326" s="23" t="n">
        <x:v>5305</x:v>
      </x:c>
    </x:row>
    <x:row r="2327">
      <x:c r="A2327" s="30" t="n">
        <x:v>350600</x:v>
      </x:c>
      <x:c r="B2327" s="22" t="str">
        <x:v>漳州市</x:v>
      </x:c>
      <x:c r="C2327" s="31" t="n">
        <x:v>350623</x:v>
      </x:c>
      <x:c r="D2327" s="22" t="str">
        <x:v>漳浦县</x:v>
      </x:c>
      <x:c r="E2327" s="22" t="str">
        <x:v>农用地</x:v>
      </x:c>
      <x:c r="F2327" s="22" t="str">
        <x:v>林地</x:v>
      </x:c>
      <x:c r="G2327" s="32" t="str">
        <x:v>0302K</x:v>
      </x:c>
      <x:c r="H2327" s="32" t="str">
        <x:v>0302</x:v>
      </x:c>
      <x:c r="I2327" s="22" t="str">
        <x:v>可调整竹林地</x:v>
      </x:c>
      <x:c r="J2327" s="22" t="str">
        <x:v>农业生态</x:v>
      </x:c>
      <x:c r="K2327" s="32" t="str"/>
      <x:c r="L2327" s="22" t="str">
        <x:v>不适用/未标注</x:v>
      </x:c>
      <x:c r="M2327" s="33" t="n">
        <x:v>2333606.3600000003</x:v>
      </x:c>
      <x:c r="N2327" s="33" t="n">
        <x:v>233.36063600000003</x:v>
      </x:c>
      <x:c r="O2327" s="22" t="str">
        <x:v>公顷</x:v>
      </x:c>
      <x:c r="P2327" s="22" t="str">
        <x:v>未提供（单期横截面）</x:v>
      </x:c>
      <x:c r="Q2327" s="23" t="n">
        <x:v>5306</x:v>
      </x:c>
    </x:row>
    <x:row r="2328">
      <x:c r="A2328" s="30" t="n">
        <x:v>350600</x:v>
      </x:c>
      <x:c r="B2328" s="22" t="str">
        <x:v>漳州市</x:v>
      </x:c>
      <x:c r="C2328" s="31" t="n">
        <x:v>350623</x:v>
      </x:c>
      <x:c r="D2328" s="22" t="str">
        <x:v>漳浦县</x:v>
      </x:c>
      <x:c r="E2328" s="22" t="str">
        <x:v>农用地</x:v>
      </x:c>
      <x:c r="F2328" s="22" t="str">
        <x:v>林地</x:v>
      </x:c>
      <x:c r="G2328" s="32" t="str">
        <x:v>303</x:v>
      </x:c>
      <x:c r="H2328" s="32" t="str">
        <x:v>303</x:v>
      </x:c>
      <x:c r="I2328" s="22" t="str">
        <x:v>红树林地</x:v>
      </x:c>
      <x:c r="J2328" s="22" t="str">
        <x:v>农业生态</x:v>
      </x:c>
      <x:c r="K2328" s="32" t="str"/>
      <x:c r="L2328" s="22" t="str">
        <x:v>不适用/未标注</x:v>
      </x:c>
      <x:c r="M2328" s="33" t="n">
        <x:v>317801.91</x:v>
      </x:c>
      <x:c r="N2328" s="33" t="n">
        <x:v>31.780191</x:v>
      </x:c>
      <x:c r="O2328" s="22" t="str">
        <x:v>公顷</x:v>
      </x:c>
      <x:c r="P2328" s="22" t="str">
        <x:v>未提供（单期横截面）</x:v>
      </x:c>
      <x:c r="Q2328" s="23" t="n">
        <x:v>5307</x:v>
      </x:c>
    </x:row>
    <x:row r="2329">
      <x:c r="A2329" s="30" t="n">
        <x:v>350600</x:v>
      </x:c>
      <x:c r="B2329" s="22" t="str">
        <x:v>漳州市</x:v>
      </x:c>
      <x:c r="C2329" s="31" t="n">
        <x:v>350623</x:v>
      </x:c>
      <x:c r="D2329" s="22" t="str">
        <x:v>漳浦县</x:v>
      </x:c>
      <x:c r="E2329" s="22" t="str">
        <x:v>农用地</x:v>
      </x:c>
      <x:c r="F2329" s="22" t="str">
        <x:v>林地</x:v>
      </x:c>
      <x:c r="G2329" s="32" t="str">
        <x:v>305</x:v>
      </x:c>
      <x:c r="H2329" s="32" t="str">
        <x:v>305</x:v>
      </x:c>
      <x:c r="I2329" s="22" t="str">
        <x:v>灌木林地</x:v>
      </x:c>
      <x:c r="J2329" s="22" t="str">
        <x:v>农业生态</x:v>
      </x:c>
      <x:c r="K2329" s="32" t="str"/>
      <x:c r="L2329" s="22" t="str">
        <x:v>不适用/未标注</x:v>
      </x:c>
      <x:c r="M2329" s="33" t="n">
        <x:v>9794058.16999999</x:v>
      </x:c>
      <x:c r="N2329" s="33" t="n">
        <x:v>979.405816999999</x:v>
      </x:c>
      <x:c r="O2329" s="22" t="str">
        <x:v>公顷</x:v>
      </x:c>
      <x:c r="P2329" s="22" t="str">
        <x:v>未提供（单期横截面）</x:v>
      </x:c>
      <x:c r="Q2329" s="23" t="n">
        <x:v>5308</x:v>
      </x:c>
    </x:row>
    <x:row r="2330">
      <x:c r="A2330" s="30" t="n">
        <x:v>350600</x:v>
      </x:c>
      <x:c r="B2330" s="22" t="str">
        <x:v>漳州市</x:v>
      </x:c>
      <x:c r="C2330" s="31" t="n">
        <x:v>350623</x:v>
      </x:c>
      <x:c r="D2330" s="22" t="str">
        <x:v>漳浦县</x:v>
      </x:c>
      <x:c r="E2330" s="22" t="str">
        <x:v>农用地</x:v>
      </x:c>
      <x:c r="F2330" s="22" t="str">
        <x:v>林地</x:v>
      </x:c>
      <x:c r="G2330" s="32" t="str">
        <x:v>307</x:v>
      </x:c>
      <x:c r="H2330" s="32" t="str">
        <x:v>307</x:v>
      </x:c>
      <x:c r="I2330" s="22" t="str">
        <x:v>其他林地</x:v>
      </x:c>
      <x:c r="J2330" s="22" t="str">
        <x:v>农业生态</x:v>
      </x:c>
      <x:c r="K2330" s="32" t="str"/>
      <x:c r="L2330" s="22" t="str">
        <x:v>不适用/未标注</x:v>
      </x:c>
      <x:c r="M2330" s="33" t="n">
        <x:v>139261004.4200004</x:v>
      </x:c>
      <x:c r="N2330" s="33" t="n">
        <x:v>13926.10044200004</x:v>
      </x:c>
      <x:c r="O2330" s="22" t="str">
        <x:v>公顷</x:v>
      </x:c>
      <x:c r="P2330" s="22" t="str">
        <x:v>未提供（单期横截面）</x:v>
      </x:c>
      <x:c r="Q2330" s="23" t="n">
        <x:v>5309</x:v>
      </x:c>
    </x:row>
    <x:row r="2331">
      <x:c r="A2331" s="30" t="n">
        <x:v>350600</x:v>
      </x:c>
      <x:c r="B2331" s="22" t="str">
        <x:v>漳州市</x:v>
      </x:c>
      <x:c r="C2331" s="31" t="n">
        <x:v>350623</x:v>
      </x:c>
      <x:c r="D2331" s="22" t="str">
        <x:v>漳浦县</x:v>
      </x:c>
      <x:c r="E2331" s="22" t="str">
        <x:v>农用地</x:v>
      </x:c>
      <x:c r="F2331" s="22" t="str">
        <x:v>林地</x:v>
      </x:c>
      <x:c r="G2331" s="32" t="str">
        <x:v>0307K</x:v>
      </x:c>
      <x:c r="H2331" s="32" t="str">
        <x:v>0307</x:v>
      </x:c>
      <x:c r="I2331" s="22" t="str">
        <x:v>可调整其他林地</x:v>
      </x:c>
      <x:c r="J2331" s="22" t="str">
        <x:v>农业生态</x:v>
      </x:c>
      <x:c r="K2331" s="32" t="str"/>
      <x:c r="L2331" s="22" t="str">
        <x:v>不适用/未标注</x:v>
      </x:c>
      <x:c r="M2331" s="33" t="n">
        <x:v>762834.3200000001</x:v>
      </x:c>
      <x:c r="N2331" s="33" t="n">
        <x:v>76.283432</x:v>
      </x:c>
      <x:c r="O2331" s="22" t="str">
        <x:v>公顷</x:v>
      </x:c>
      <x:c r="P2331" s="22" t="str">
        <x:v>未提供（单期横截面）</x:v>
      </x:c>
      <x:c r="Q2331" s="23" t="n">
        <x:v>5310</x:v>
      </x:c>
    </x:row>
    <x:row r="2332">
      <x:c r="A2332" s="30" t="n">
        <x:v>350600</x:v>
      </x:c>
      <x:c r="B2332" s="22" t="str">
        <x:v>漳州市</x:v>
      </x:c>
      <x:c r="C2332" s="31" t="n">
        <x:v>350623</x:v>
      </x:c>
      <x:c r="D2332" s="22" t="str">
        <x:v>漳浦县</x:v>
      </x:c>
      <x:c r="E2332" s="22" t="str">
        <x:v>农用地</x:v>
      </x:c>
      <x:c r="F2332" s="22" t="str">
        <x:v>其他农用地</x:v>
      </x:c>
      <x:c r="G2332" s="32" t="str">
        <x:v>1006</x:v>
      </x:c>
      <x:c r="H2332" s="32" t="str">
        <x:v>1006</x:v>
      </x:c>
      <x:c r="I2332" s="22" t="str">
        <x:v>农村道路</x:v>
      </x:c>
      <x:c r="J2332" s="22" t="str">
        <x:v>农业生态</x:v>
      </x:c>
      <x:c r="K2332" s="32" t="str"/>
      <x:c r="L2332" s="22" t="str">
        <x:v>不适用/未标注</x:v>
      </x:c>
      <x:c r="M2332" s="33" t="n">
        <x:v>25667609.309999965</x:v>
      </x:c>
      <x:c r="N2332" s="33" t="n">
        <x:v>2566.7609309999966</x:v>
      </x:c>
      <x:c r="O2332" s="22" t="str">
        <x:v>公顷</x:v>
      </x:c>
      <x:c r="P2332" s="22" t="str">
        <x:v>未提供（单期横截面）</x:v>
      </x:c>
      <x:c r="Q2332" s="23" t="n">
        <x:v>5311</x:v>
      </x:c>
    </x:row>
    <x:row r="2333">
      <x:c r="A2333" s="30" t="n">
        <x:v>350600</x:v>
      </x:c>
      <x:c r="B2333" s="22" t="str">
        <x:v>漳州市</x:v>
      </x:c>
      <x:c r="C2333" s="31" t="n">
        <x:v>350623</x:v>
      </x:c>
      <x:c r="D2333" s="22" t="str">
        <x:v>漳浦县</x:v>
      </x:c>
      <x:c r="E2333" s="22" t="str">
        <x:v>农用地</x:v>
      </x:c>
      <x:c r="F2333" s="22" t="str">
        <x:v>水域及水利设施</x:v>
      </x:c>
      <x:c r="G2333" s="32" t="str">
        <x:v>1103</x:v>
      </x:c>
      <x:c r="H2333" s="32" t="str">
        <x:v>1103</x:v>
      </x:c>
      <x:c r="I2333" s="22" t="str">
        <x:v>水库水面</x:v>
      </x:c>
      <x:c r="J2333" s="22" t="str">
        <x:v>农业生态</x:v>
      </x:c>
      <x:c r="K2333" s="32" t="str"/>
      <x:c r="L2333" s="22" t="str">
        <x:v>不适用/未标注</x:v>
      </x:c>
      <x:c r="M2333" s="33" t="n">
        <x:v>20431365.369999997</x:v>
      </x:c>
      <x:c r="N2333" s="33" t="n">
        <x:v>2043.1365369999996</x:v>
      </x:c>
      <x:c r="O2333" s="22" t="str">
        <x:v>公顷</x:v>
      </x:c>
      <x:c r="P2333" s="22" t="str">
        <x:v>未提供（单期横截面）</x:v>
      </x:c>
      <x:c r="Q2333" s="23" t="n">
        <x:v>5312</x:v>
      </x:c>
    </x:row>
    <x:row r="2334">
      <x:c r="A2334" s="30" t="n">
        <x:v>350600</x:v>
      </x:c>
      <x:c r="B2334" s="22" t="str">
        <x:v>漳州市</x:v>
      </x:c>
      <x:c r="C2334" s="31" t="n">
        <x:v>350623</x:v>
      </x:c>
      <x:c r="D2334" s="22" t="str">
        <x:v>漳浦县</x:v>
      </x:c>
      <x:c r="E2334" s="22" t="str">
        <x:v>农用地</x:v>
      </x:c>
      <x:c r="F2334" s="22" t="str">
        <x:v>水域及水利设施</x:v>
      </x:c>
      <x:c r="G2334" s="32" t="str">
        <x:v>1104</x:v>
      </x:c>
      <x:c r="H2334" s="32" t="str">
        <x:v>1104</x:v>
      </x:c>
      <x:c r="I2334" s="22" t="str">
        <x:v>坑塘水面</x:v>
      </x:c>
      <x:c r="J2334" s="22" t="str">
        <x:v>农业生态</x:v>
      </x:c>
      <x:c r="K2334" s="32" t="str"/>
      <x:c r="L2334" s="22" t="str">
        <x:v>不适用/未标注</x:v>
      </x:c>
      <x:c r="M2334" s="33" t="n">
        <x:v>29822402.079999954</x:v>
      </x:c>
      <x:c r="N2334" s="33" t="n">
        <x:v>2982.240207999995</x:v>
      </x:c>
      <x:c r="O2334" s="22" t="str">
        <x:v>公顷</x:v>
      </x:c>
      <x:c r="P2334" s="22" t="str">
        <x:v>未提供（单期横截面）</x:v>
      </x:c>
      <x:c r="Q2334" s="23" t="n">
        <x:v>5313</x:v>
      </x:c>
    </x:row>
    <x:row r="2335">
      <x:c r="A2335" s="30" t="n">
        <x:v>350600</x:v>
      </x:c>
      <x:c r="B2335" s="22" t="str">
        <x:v>漳州市</x:v>
      </x:c>
      <x:c r="C2335" s="31" t="n">
        <x:v>350623</x:v>
      </x:c>
      <x:c r="D2335" s="22" t="str">
        <x:v>漳浦县</x:v>
      </x:c>
      <x:c r="E2335" s="22" t="str">
        <x:v>农用地</x:v>
      </x:c>
      <x:c r="F2335" s="22" t="str">
        <x:v>水域及水利设施</x:v>
      </x:c>
      <x:c r="G2335" s="32" t="str">
        <x:v>1104A</x:v>
      </x:c>
      <x:c r="H2335" s="32" t="str">
        <x:v>1104</x:v>
      </x:c>
      <x:c r="I2335" s="22" t="str">
        <x:v>养殖坑塘</x:v>
      </x:c>
      <x:c r="J2335" s="22" t="str">
        <x:v>农业生态</x:v>
      </x:c>
      <x:c r="K2335" s="32" t="str"/>
      <x:c r="L2335" s="22" t="str">
        <x:v>不适用/未标注</x:v>
      </x:c>
      <x:c r="M2335" s="33" t="n">
        <x:v>96642533.81000023</x:v>
      </x:c>
      <x:c r="N2335" s="33" t="n">
        <x:v>9664.253381000022</x:v>
      </x:c>
      <x:c r="O2335" s="22" t="str">
        <x:v>公顷</x:v>
      </x:c>
      <x:c r="P2335" s="22" t="str">
        <x:v>未提供（单期横截面）</x:v>
      </x:c>
      <x:c r="Q2335" s="23" t="n">
        <x:v>5314</x:v>
      </x:c>
    </x:row>
    <x:row r="2336">
      <x:c r="A2336" s="30" t="n">
        <x:v>350600</x:v>
      </x:c>
      <x:c r="B2336" s="22" t="str">
        <x:v>漳州市</x:v>
      </x:c>
      <x:c r="C2336" s="31" t="n">
        <x:v>350623</x:v>
      </x:c>
      <x:c r="D2336" s="22" t="str">
        <x:v>漳浦县</x:v>
      </x:c>
      <x:c r="E2336" s="22" t="str">
        <x:v>农用地</x:v>
      </x:c>
      <x:c r="F2336" s="22" t="str">
        <x:v>水域及水利设施</x:v>
      </x:c>
      <x:c r="G2336" s="32" t="str">
        <x:v>1104K</x:v>
      </x:c>
      <x:c r="H2336" s="32" t="str">
        <x:v>1104</x:v>
      </x:c>
      <x:c r="I2336" s="22" t="str">
        <x:v>可调整养殖坑塘</x:v>
      </x:c>
      <x:c r="J2336" s="22" t="str">
        <x:v>农业生态</x:v>
      </x:c>
      <x:c r="K2336" s="32" t="str"/>
      <x:c r="L2336" s="22" t="str">
        <x:v>不适用/未标注</x:v>
      </x:c>
      <x:c r="M2336" s="33" t="n">
        <x:v>8965586.819999995</x:v>
      </x:c>
      <x:c r="N2336" s="33" t="n">
        <x:v>896.5586819999995</x:v>
      </x:c>
      <x:c r="O2336" s="22" t="str">
        <x:v>公顷</x:v>
      </x:c>
      <x:c r="P2336" s="22" t="str">
        <x:v>未提供（单期横截面）</x:v>
      </x:c>
      <x:c r="Q2336" s="23" t="n">
        <x:v>5315</x:v>
      </x:c>
    </x:row>
    <x:row r="2337">
      <x:c r="A2337" s="30" t="n">
        <x:v>350600</x:v>
      </x:c>
      <x:c r="B2337" s="22" t="str">
        <x:v>漳州市</x:v>
      </x:c>
      <x:c r="C2337" s="31" t="n">
        <x:v>350623</x:v>
      </x:c>
      <x:c r="D2337" s="22" t="str">
        <x:v>漳浦县</x:v>
      </x:c>
      <x:c r="E2337" s="22" t="str">
        <x:v>农用地</x:v>
      </x:c>
      <x:c r="F2337" s="22" t="str">
        <x:v>水域及水利设施</x:v>
      </x:c>
      <x:c r="G2337" s="32" t="str">
        <x:v>1107</x:v>
      </x:c>
      <x:c r="H2337" s="32" t="str">
        <x:v>1107</x:v>
      </x:c>
      <x:c r="I2337" s="22" t="str">
        <x:v>沟渠</x:v>
      </x:c>
      <x:c r="J2337" s="22" t="str">
        <x:v>农业生态</x:v>
      </x:c>
      <x:c r="K2337" s="32" t="str"/>
      <x:c r="L2337" s="22" t="str">
        <x:v>不适用/未标注</x:v>
      </x:c>
      <x:c r="M2337" s="33" t="n">
        <x:v>12165458.569999982</x:v>
      </x:c>
      <x:c r="N2337" s="33" t="n">
        <x:v>1216.5458569999983</x:v>
      </x:c>
      <x:c r="O2337" s="22" t="str">
        <x:v>公顷</x:v>
      </x:c>
      <x:c r="P2337" s="22" t="str">
        <x:v>未提供（单期横截面）</x:v>
      </x:c>
      <x:c r="Q2337" s="23" t="n">
        <x:v>5316</x:v>
      </x:c>
    </x:row>
    <x:row r="2338">
      <x:c r="A2338" s="30" t="n">
        <x:v>350600</x:v>
      </x:c>
      <x:c r="B2338" s="22" t="str">
        <x:v>漳州市</x:v>
      </x:c>
      <x:c r="C2338" s="31" t="n">
        <x:v>350623</x:v>
      </x:c>
      <x:c r="D2338" s="22" t="str">
        <x:v>漳浦县</x:v>
      </x:c>
      <x:c r="E2338" s="22" t="str">
        <x:v>农用地</x:v>
      </x:c>
      <x:c r="F2338" s="22" t="str">
        <x:v>其他农用地</x:v>
      </x:c>
      <x:c r="G2338" s="32" t="str">
        <x:v>1202</x:v>
      </x:c>
      <x:c r="H2338" s="32" t="str">
        <x:v>1202</x:v>
      </x:c>
      <x:c r="I2338" s="22" t="str">
        <x:v>设施农用地</x:v>
      </x:c>
      <x:c r="J2338" s="22" t="str">
        <x:v>农业生态</x:v>
      </x:c>
      <x:c r="K2338" s="32" t="str"/>
      <x:c r="L2338" s="22" t="str">
        <x:v>不适用/未标注</x:v>
      </x:c>
      <x:c r="M2338" s="33" t="n">
        <x:v>17618016.94999995</x:v>
      </x:c>
      <x:c r="N2338" s="33" t="n">
        <x:v>1761.801694999995</x:v>
      </x:c>
      <x:c r="O2338" s="22" t="str">
        <x:v>公顷</x:v>
      </x:c>
      <x:c r="P2338" s="22" t="str">
        <x:v>未提供（单期横截面）</x:v>
      </x:c>
      <x:c r="Q2338" s="23" t="n">
        <x:v>5317</x:v>
      </x:c>
    </x:row>
    <x:row r="2339">
      <x:c r="A2339" s="30" t="n">
        <x:v>350600</x:v>
      </x:c>
      <x:c r="B2339" s="22" t="str">
        <x:v>漳州市</x:v>
      </x:c>
      <x:c r="C2339" s="31" t="n">
        <x:v>350623</x:v>
      </x:c>
      <x:c r="D2339" s="22" t="str">
        <x:v>漳浦县</x:v>
      </x:c>
      <x:c r="E2339" s="22" t="str">
        <x:v>农用地</x:v>
      </x:c>
      <x:c r="F2339" s="22" t="str">
        <x:v>耕地</x:v>
      </x:c>
      <x:c r="G2339" s="32" t="str">
        <x:v>101</x:v>
      </x:c>
      <x:c r="H2339" s="32" t="str">
        <x:v>101</x:v>
      </x:c>
      <x:c r="I2339" s="22" t="str">
        <x:v>水田</x:v>
      </x:c>
      <x:c r="J2339" s="22" t="str">
        <x:v>农业生态</x:v>
      </x:c>
      <x:c r="K2339" s="32" t="str">
        <x:v>202</x:v>
      </x:c>
      <x:c r="L2339" s="22" t="str">
        <x:v>建制镇范围</x:v>
      </x:c>
      <x:c r="M2339" s="33" t="n">
        <x:v>68844.46</x:v>
      </x:c>
      <x:c r="N2339" s="33" t="n">
        <x:v>6.8844460000000005</x:v>
      </x:c>
      <x:c r="O2339" s="22" t="str">
        <x:v>公顷</x:v>
      </x:c>
      <x:c r="P2339" s="22" t="str">
        <x:v>未提供（单期横截面）</x:v>
      </x:c>
      <x:c r="Q2339" s="23" t="n">
        <x:v>5318</x:v>
      </x:c>
    </x:row>
    <x:row r="2340">
      <x:c r="A2340" s="30" t="n">
        <x:v>350600</x:v>
      </x:c>
      <x:c r="B2340" s="22" t="str">
        <x:v>漳州市</x:v>
      </x:c>
      <x:c r="C2340" s="31" t="n">
        <x:v>350623</x:v>
      </x:c>
      <x:c r="D2340" s="22" t="str">
        <x:v>漳浦县</x:v>
      </x:c>
      <x:c r="E2340" s="22" t="str">
        <x:v>农用地</x:v>
      </x:c>
      <x:c r="F2340" s="22" t="str">
        <x:v>耕地</x:v>
      </x:c>
      <x:c r="G2340" s="32" t="str">
        <x:v>102</x:v>
      </x:c>
      <x:c r="H2340" s="32" t="str">
        <x:v>102</x:v>
      </x:c>
      <x:c r="I2340" s="22" t="str">
        <x:v>水浇地</x:v>
      </x:c>
      <x:c r="J2340" s="22" t="str">
        <x:v>农业生态</x:v>
      </x:c>
      <x:c r="K2340" s="32" t="str">
        <x:v>202</x:v>
      </x:c>
      <x:c r="L2340" s="22" t="str">
        <x:v>建制镇范围</x:v>
      </x:c>
      <x:c r="M2340" s="33" t="n">
        <x:v>22442.8</x:v>
      </x:c>
      <x:c r="N2340" s="33" t="n">
        <x:v>2.24428</x:v>
      </x:c>
      <x:c r="O2340" s="22" t="str">
        <x:v>公顷</x:v>
      </x:c>
      <x:c r="P2340" s="22" t="str">
        <x:v>未提供（单期横截面）</x:v>
      </x:c>
      <x:c r="Q2340" s="23" t="n">
        <x:v>5319</x:v>
      </x:c>
    </x:row>
    <x:row r="2341">
      <x:c r="A2341" s="30" t="n">
        <x:v>350600</x:v>
      </x:c>
      <x:c r="B2341" s="22" t="str">
        <x:v>漳州市</x:v>
      </x:c>
      <x:c r="C2341" s="31" t="n">
        <x:v>350623</x:v>
      </x:c>
      <x:c r="D2341" s="22" t="str">
        <x:v>漳浦县</x:v>
      </x:c>
      <x:c r="E2341" s="22" t="str">
        <x:v>农用地</x:v>
      </x:c>
      <x:c r="F2341" s="22" t="str">
        <x:v>耕地</x:v>
      </x:c>
      <x:c r="G2341" s="32" t="str">
        <x:v>103</x:v>
      </x:c>
      <x:c r="H2341" s="32" t="str">
        <x:v>103</x:v>
      </x:c>
      <x:c r="I2341" s="22" t="str">
        <x:v>旱地</x:v>
      </x:c>
      <x:c r="J2341" s="22" t="str">
        <x:v>农业生态</x:v>
      </x:c>
      <x:c r="K2341" s="32" t="str">
        <x:v>202</x:v>
      </x:c>
      <x:c r="L2341" s="22" t="str">
        <x:v>建制镇范围</x:v>
      </x:c>
      <x:c r="M2341" s="33" t="n">
        <x:v>124638.50999999998</x:v>
      </x:c>
      <x:c r="N2341" s="33" t="n">
        <x:v>12.463850999999998</x:v>
      </x:c>
      <x:c r="O2341" s="22" t="str">
        <x:v>公顷</x:v>
      </x:c>
      <x:c r="P2341" s="22" t="str">
        <x:v>未提供（单期横截面）</x:v>
      </x:c>
      <x:c r="Q2341" s="23" t="n">
        <x:v>5320</x:v>
      </x:c>
    </x:row>
    <x:row r="2342">
      <x:c r="A2342" s="30" t="n">
        <x:v>350600</x:v>
      </x:c>
      <x:c r="B2342" s="22" t="str">
        <x:v>漳州市</x:v>
      </x:c>
      <x:c r="C2342" s="31" t="n">
        <x:v>350623</x:v>
      </x:c>
      <x:c r="D2342" s="22" t="str">
        <x:v>漳浦县</x:v>
      </x:c>
      <x:c r="E2342" s="22" t="str">
        <x:v>农用地</x:v>
      </x:c>
      <x:c r="F2342" s="22" t="str">
        <x:v>园地</x:v>
      </x:c>
      <x:c r="G2342" s="32" t="str">
        <x:v>201</x:v>
      </x:c>
      <x:c r="H2342" s="32" t="str">
        <x:v>201</x:v>
      </x:c>
      <x:c r="I2342" s="22" t="str">
        <x:v>果园</x:v>
      </x:c>
      <x:c r="J2342" s="22" t="str">
        <x:v>农业生态</x:v>
      </x:c>
      <x:c r="K2342" s="32" t="str">
        <x:v>202</x:v>
      </x:c>
      <x:c r="L2342" s="22" t="str">
        <x:v>建制镇范围</x:v>
      </x:c>
      <x:c r="M2342" s="33" t="n">
        <x:v>146943.68</x:v>
      </x:c>
      <x:c r="N2342" s="33" t="n">
        <x:v>14.694367999999999</x:v>
      </x:c>
      <x:c r="O2342" s="22" t="str">
        <x:v>公顷</x:v>
      </x:c>
      <x:c r="P2342" s="22" t="str">
        <x:v>未提供（单期横截面）</x:v>
      </x:c>
      <x:c r="Q2342" s="23" t="n">
        <x:v>5321</x:v>
      </x:c>
    </x:row>
    <x:row r="2343">
      <x:c r="A2343" s="30" t="n">
        <x:v>350600</x:v>
      </x:c>
      <x:c r="B2343" s="22" t="str">
        <x:v>漳州市</x:v>
      </x:c>
      <x:c r="C2343" s="31" t="n">
        <x:v>350623</x:v>
      </x:c>
      <x:c r="D2343" s="22" t="str">
        <x:v>漳浦县</x:v>
      </x:c>
      <x:c r="E2343" s="22" t="str">
        <x:v>农用地</x:v>
      </x:c>
      <x:c r="F2343" s="22" t="str">
        <x:v>园地</x:v>
      </x:c>
      <x:c r="G2343" s="32" t="str">
        <x:v>204</x:v>
      </x:c>
      <x:c r="H2343" s="32" t="str">
        <x:v>204</x:v>
      </x:c>
      <x:c r="I2343" s="22" t="str">
        <x:v>其他园地</x:v>
      </x:c>
      <x:c r="J2343" s="22" t="str">
        <x:v>农业生态</x:v>
      </x:c>
      <x:c r="K2343" s="32" t="str">
        <x:v>202</x:v>
      </x:c>
      <x:c r="L2343" s="22" t="str">
        <x:v>建制镇范围</x:v>
      </x:c>
      <x:c r="M2343" s="33" t="n">
        <x:v>37750.12</x:v>
      </x:c>
      <x:c r="N2343" s="33" t="n">
        <x:v>3.7750120000000003</x:v>
      </x:c>
      <x:c r="O2343" s="22" t="str">
        <x:v>公顷</x:v>
      </x:c>
      <x:c r="P2343" s="22" t="str">
        <x:v>未提供（单期横截面）</x:v>
      </x:c>
      <x:c r="Q2343" s="23" t="n">
        <x:v>5322</x:v>
      </x:c>
    </x:row>
    <x:row r="2344">
      <x:c r="A2344" s="30" t="n">
        <x:v>350600</x:v>
      </x:c>
      <x:c r="B2344" s="22" t="str">
        <x:v>漳州市</x:v>
      </x:c>
      <x:c r="C2344" s="31" t="n">
        <x:v>350623</x:v>
      </x:c>
      <x:c r="D2344" s="22" t="str">
        <x:v>漳浦县</x:v>
      </x:c>
      <x:c r="E2344" s="22" t="str">
        <x:v>农用地</x:v>
      </x:c>
      <x:c r="F2344" s="22" t="str">
        <x:v>林地</x:v>
      </x:c>
      <x:c r="G2344" s="32" t="str">
        <x:v>301</x:v>
      </x:c>
      <x:c r="H2344" s="32" t="str">
        <x:v>301</x:v>
      </x:c>
      <x:c r="I2344" s="22" t="str">
        <x:v>乔木林地</x:v>
      </x:c>
      <x:c r="J2344" s="22" t="str">
        <x:v>农业生态</x:v>
      </x:c>
      <x:c r="K2344" s="32" t="str">
        <x:v>202</x:v>
      </x:c>
      <x:c r="L2344" s="22" t="str">
        <x:v>建制镇范围</x:v>
      </x:c>
      <x:c r="M2344" s="33" t="n">
        <x:v>76794.26999999999</x:v>
      </x:c>
      <x:c r="N2344" s="33" t="n">
        <x:v>7.679426999999999</x:v>
      </x:c>
      <x:c r="O2344" s="22" t="str">
        <x:v>公顷</x:v>
      </x:c>
      <x:c r="P2344" s="22" t="str">
        <x:v>未提供（单期横截面）</x:v>
      </x:c>
      <x:c r="Q2344" s="23" t="n">
        <x:v>5323</x:v>
      </x:c>
    </x:row>
    <x:row r="2345">
      <x:c r="A2345" s="30" t="n">
        <x:v>350600</x:v>
      </x:c>
      <x:c r="B2345" s="22" t="str">
        <x:v>漳州市</x:v>
      </x:c>
      <x:c r="C2345" s="31" t="n">
        <x:v>350623</x:v>
      </x:c>
      <x:c r="D2345" s="22" t="str">
        <x:v>漳浦县</x:v>
      </x:c>
      <x:c r="E2345" s="22" t="str">
        <x:v>农用地</x:v>
      </x:c>
      <x:c r="F2345" s="22" t="str">
        <x:v>林地</x:v>
      </x:c>
      <x:c r="G2345" s="32" t="str">
        <x:v>305</x:v>
      </x:c>
      <x:c r="H2345" s="32" t="str">
        <x:v>305</x:v>
      </x:c>
      <x:c r="I2345" s="22" t="str">
        <x:v>灌木林地</x:v>
      </x:c>
      <x:c r="J2345" s="22" t="str">
        <x:v>农业生态</x:v>
      </x:c>
      <x:c r="K2345" s="32" t="str">
        <x:v>202</x:v>
      </x:c>
      <x:c r="L2345" s="22" t="str">
        <x:v>建制镇范围</x:v>
      </x:c>
      <x:c r="M2345" s="33" t="n">
        <x:v>45875.759999999995</x:v>
      </x:c>
      <x:c r="N2345" s="33" t="n">
        <x:v>4.587575999999999</x:v>
      </x:c>
      <x:c r="O2345" s="22" t="str">
        <x:v>公顷</x:v>
      </x:c>
      <x:c r="P2345" s="22" t="str">
        <x:v>未提供（单期横截面）</x:v>
      </x:c>
      <x:c r="Q2345" s="23" t="n">
        <x:v>5324</x:v>
      </x:c>
    </x:row>
    <x:row r="2346">
      <x:c r="A2346" s="30" t="n">
        <x:v>350600</x:v>
      </x:c>
      <x:c r="B2346" s="22" t="str">
        <x:v>漳州市</x:v>
      </x:c>
      <x:c r="C2346" s="31" t="n">
        <x:v>350623</x:v>
      </x:c>
      <x:c r="D2346" s="22" t="str">
        <x:v>漳浦县</x:v>
      </x:c>
      <x:c r="E2346" s="22" t="str">
        <x:v>农用地</x:v>
      </x:c>
      <x:c r="F2346" s="22" t="str">
        <x:v>林地</x:v>
      </x:c>
      <x:c r="G2346" s="32" t="str">
        <x:v>307</x:v>
      </x:c>
      <x:c r="H2346" s="32" t="str">
        <x:v>307</x:v>
      </x:c>
      <x:c r="I2346" s="22" t="str">
        <x:v>其他林地</x:v>
      </x:c>
      <x:c r="J2346" s="22" t="str">
        <x:v>农业生态</x:v>
      </x:c>
      <x:c r="K2346" s="32" t="str">
        <x:v>202</x:v>
      </x:c>
      <x:c r="L2346" s="22" t="str">
        <x:v>建制镇范围</x:v>
      </x:c>
      <x:c r="M2346" s="33" t="n">
        <x:v>35878.8</x:v>
      </x:c>
      <x:c r="N2346" s="33" t="n">
        <x:v>3.58788</x:v>
      </x:c>
      <x:c r="O2346" s="22" t="str">
        <x:v>公顷</x:v>
      </x:c>
      <x:c r="P2346" s="22" t="str">
        <x:v>未提供（单期横截面）</x:v>
      </x:c>
      <x:c r="Q2346" s="23" t="n">
        <x:v>5325</x:v>
      </x:c>
    </x:row>
    <x:row r="2347">
      <x:c r="A2347" s="30" t="n">
        <x:v>350600</x:v>
      </x:c>
      <x:c r="B2347" s="22" t="str">
        <x:v>漳州市</x:v>
      </x:c>
      <x:c r="C2347" s="31" t="n">
        <x:v>350623</x:v>
      </x:c>
      <x:c r="D2347" s="22" t="str">
        <x:v>漳浦县</x:v>
      </x:c>
      <x:c r="E2347" s="22" t="str">
        <x:v>农用地</x:v>
      </x:c>
      <x:c r="F2347" s="22" t="str">
        <x:v>水域及水利设施</x:v>
      </x:c>
      <x:c r="G2347" s="32" t="str">
        <x:v>1104</x:v>
      </x:c>
      <x:c r="H2347" s="32" t="str">
        <x:v>1104</x:v>
      </x:c>
      <x:c r="I2347" s="22" t="str">
        <x:v>坑塘水面</x:v>
      </x:c>
      <x:c r="J2347" s="22" t="str">
        <x:v>农业生态</x:v>
      </x:c>
      <x:c r="K2347" s="32" t="str">
        <x:v>202</x:v>
      </x:c>
      <x:c r="L2347" s="22" t="str">
        <x:v>建制镇范围</x:v>
      </x:c>
      <x:c r="M2347" s="33" t="n">
        <x:v>37216.38</x:v>
      </x:c>
      <x:c r="N2347" s="33" t="n">
        <x:v>3.7216379999999996</x:v>
      </x:c>
      <x:c r="O2347" s="22" t="str">
        <x:v>公顷</x:v>
      </x:c>
      <x:c r="P2347" s="22" t="str">
        <x:v>未提供（单期横截面）</x:v>
      </x:c>
      <x:c r="Q2347" s="23" t="n">
        <x:v>5326</x:v>
      </x:c>
    </x:row>
    <x:row r="2348">
      <x:c r="A2348" s="30" t="n">
        <x:v>350600</x:v>
      </x:c>
      <x:c r="B2348" s="22" t="str">
        <x:v>漳州市</x:v>
      </x:c>
      <x:c r="C2348" s="31" t="n">
        <x:v>350623</x:v>
      </x:c>
      <x:c r="D2348" s="22" t="str">
        <x:v>漳浦县</x:v>
      </x:c>
      <x:c r="E2348" s="22" t="str">
        <x:v>农用地</x:v>
      </x:c>
      <x:c r="F2348" s="22" t="str">
        <x:v>水域及水利设施</x:v>
      </x:c>
      <x:c r="G2348" s="32" t="str">
        <x:v>1104A</x:v>
      </x:c>
      <x:c r="H2348" s="32" t="str">
        <x:v>1104</x:v>
      </x:c>
      <x:c r="I2348" s="22" t="str">
        <x:v>养殖坑塘</x:v>
      </x:c>
      <x:c r="J2348" s="22" t="str">
        <x:v>农业生态</x:v>
      </x:c>
      <x:c r="K2348" s="32" t="str">
        <x:v>202</x:v>
      </x:c>
      <x:c r="L2348" s="22" t="str">
        <x:v>建制镇范围</x:v>
      </x:c>
      <x:c r="M2348" s="33" t="n">
        <x:v>1301.12</x:v>
      </x:c>
      <x:c r="N2348" s="33" t="n">
        <x:v>0.13011199999999998</x:v>
      </x:c>
      <x:c r="O2348" s="22" t="str">
        <x:v>公顷</x:v>
      </x:c>
      <x:c r="P2348" s="22" t="str">
        <x:v>未提供（单期横截面）</x:v>
      </x:c>
      <x:c r="Q2348" s="23" t="n">
        <x:v>5327</x:v>
      </x:c>
    </x:row>
    <x:row r="2349">
      <x:c r="A2349" s="30" t="n">
        <x:v>350600</x:v>
      </x:c>
      <x:c r="B2349" s="22" t="str">
        <x:v>漳州市</x:v>
      </x:c>
      <x:c r="C2349" s="31" t="n">
        <x:v>350623</x:v>
      </x:c>
      <x:c r="D2349" s="22" t="str">
        <x:v>漳浦县</x:v>
      </x:c>
      <x:c r="E2349" s="22" t="str">
        <x:v>农用地</x:v>
      </x:c>
      <x:c r="F2349" s="22" t="str">
        <x:v>其他农用地</x:v>
      </x:c>
      <x:c r="G2349" s="32" t="str">
        <x:v>1202</x:v>
      </x:c>
      <x:c r="H2349" s="32" t="str">
        <x:v>1202</x:v>
      </x:c>
      <x:c r="I2349" s="22" t="str">
        <x:v>设施农用地</x:v>
      </x:c>
      <x:c r="J2349" s="22" t="str">
        <x:v>农业生态</x:v>
      </x:c>
      <x:c r="K2349" s="32" t="str">
        <x:v>202</x:v>
      </x:c>
      <x:c r="L2349" s="22" t="str">
        <x:v>建制镇范围</x:v>
      </x:c>
      <x:c r="M2349" s="33" t="n">
        <x:v>2468.62</x:v>
      </x:c>
      <x:c r="N2349" s="33" t="n">
        <x:v>0.246862</x:v>
      </x:c>
      <x:c r="O2349" s="22" t="str">
        <x:v>公顷</x:v>
      </x:c>
      <x:c r="P2349" s="22" t="str">
        <x:v>未提供（单期横截面）</x:v>
      </x:c>
      <x:c r="Q2349" s="23" t="n">
        <x:v>5328</x:v>
      </x:c>
    </x:row>
    <x:row r="2350">
      <x:c r="A2350" s="30" t="n">
        <x:v>350600</x:v>
      </x:c>
      <x:c r="B2350" s="22" t="str">
        <x:v>漳州市</x:v>
      </x:c>
      <x:c r="C2350" s="31" t="n">
        <x:v>350623</x:v>
      </x:c>
      <x:c r="D2350" s="22" t="str">
        <x:v>漳浦县</x:v>
      </x:c>
      <x:c r="E2350" s="22" t="str">
        <x:v>农用地</x:v>
      </x:c>
      <x:c r="F2350" s="22" t="str">
        <x:v>耕地</x:v>
      </x:c>
      <x:c r="G2350" s="32" t="str">
        <x:v>101</x:v>
      </x:c>
      <x:c r="H2350" s="32" t="str">
        <x:v>101</x:v>
      </x:c>
      <x:c r="I2350" s="22" t="str">
        <x:v>水田</x:v>
      </x:c>
      <x:c r="J2350" s="22" t="str">
        <x:v>农业生态</x:v>
      </x:c>
      <x:c r="K2350" s="32" t="str">
        <x:v>203</x:v>
      </x:c>
      <x:c r="L2350" s="22" t="str">
        <x:v>村庄范围</x:v>
      </x:c>
      <x:c r="M2350" s="33" t="n">
        <x:v>58851.55</x:v>
      </x:c>
      <x:c r="N2350" s="33" t="n">
        <x:v>5.885155</x:v>
      </x:c>
      <x:c r="O2350" s="22" t="str">
        <x:v>公顷</x:v>
      </x:c>
      <x:c r="P2350" s="22" t="str">
        <x:v>未提供（单期横截面）</x:v>
      </x:c>
      <x:c r="Q2350" s="23" t="n">
        <x:v>5329</x:v>
      </x:c>
    </x:row>
    <x:row r="2351">
      <x:c r="A2351" s="30" t="n">
        <x:v>350600</x:v>
      </x:c>
      <x:c r="B2351" s="22" t="str">
        <x:v>漳州市</x:v>
      </x:c>
      <x:c r="C2351" s="31" t="n">
        <x:v>350623</x:v>
      </x:c>
      <x:c r="D2351" s="22" t="str">
        <x:v>漳浦县</x:v>
      </x:c>
      <x:c r="E2351" s="22" t="str">
        <x:v>农用地</x:v>
      </x:c>
      <x:c r="F2351" s="22" t="str">
        <x:v>耕地</x:v>
      </x:c>
      <x:c r="G2351" s="32" t="str">
        <x:v>102</x:v>
      </x:c>
      <x:c r="H2351" s="32" t="str">
        <x:v>102</x:v>
      </x:c>
      <x:c r="I2351" s="22" t="str">
        <x:v>水浇地</x:v>
      </x:c>
      <x:c r="J2351" s="22" t="str">
        <x:v>农业生态</x:v>
      </x:c>
      <x:c r="K2351" s="32" t="str">
        <x:v>203</x:v>
      </x:c>
      <x:c r="L2351" s="22" t="str">
        <x:v>村庄范围</x:v>
      </x:c>
      <x:c r="M2351" s="33" t="n">
        <x:v>17451.89</x:v>
      </x:c>
      <x:c r="N2351" s="33" t="n">
        <x:v>1.7451889999999999</x:v>
      </x:c>
      <x:c r="O2351" s="22" t="str">
        <x:v>公顷</x:v>
      </x:c>
      <x:c r="P2351" s="22" t="str">
        <x:v>未提供（单期横截面）</x:v>
      </x:c>
      <x:c r="Q2351" s="23" t="n">
        <x:v>5330</x:v>
      </x:c>
    </x:row>
    <x:row r="2352">
      <x:c r="A2352" s="30" t="n">
        <x:v>350600</x:v>
      </x:c>
      <x:c r="B2352" s="22" t="str">
        <x:v>漳州市</x:v>
      </x:c>
      <x:c r="C2352" s="31" t="n">
        <x:v>350623</x:v>
      </x:c>
      <x:c r="D2352" s="22" t="str">
        <x:v>漳浦县</x:v>
      </x:c>
      <x:c r="E2352" s="22" t="str">
        <x:v>农用地</x:v>
      </x:c>
      <x:c r="F2352" s="22" t="str">
        <x:v>耕地</x:v>
      </x:c>
      <x:c r="G2352" s="32" t="str">
        <x:v>103</x:v>
      </x:c>
      <x:c r="H2352" s="32" t="str">
        <x:v>103</x:v>
      </x:c>
      <x:c r="I2352" s="22" t="str">
        <x:v>旱地</x:v>
      </x:c>
      <x:c r="J2352" s="22" t="str">
        <x:v>农业生态</x:v>
      </x:c>
      <x:c r="K2352" s="32" t="str">
        <x:v>203</x:v>
      </x:c>
      <x:c r="L2352" s="22" t="str">
        <x:v>村庄范围</x:v>
      </x:c>
      <x:c r="M2352" s="33" t="n">
        <x:v>83349.08</x:v>
      </x:c>
      <x:c r="N2352" s="33" t="n">
        <x:v>8.334908</x:v>
      </x:c>
      <x:c r="O2352" s="22" t="str">
        <x:v>公顷</x:v>
      </x:c>
      <x:c r="P2352" s="22" t="str">
        <x:v>未提供（单期横截面）</x:v>
      </x:c>
      <x:c r="Q2352" s="23" t="n">
        <x:v>5331</x:v>
      </x:c>
    </x:row>
    <x:row r="2353">
      <x:c r="A2353" s="30" t="n">
        <x:v>350600</x:v>
      </x:c>
      <x:c r="B2353" s="22" t="str">
        <x:v>漳州市</x:v>
      </x:c>
      <x:c r="C2353" s="31" t="n">
        <x:v>350623</x:v>
      </x:c>
      <x:c r="D2353" s="22" t="str">
        <x:v>漳浦县</x:v>
      </x:c>
      <x:c r="E2353" s="22" t="str">
        <x:v>农用地</x:v>
      </x:c>
      <x:c r="F2353" s="22" t="str">
        <x:v>园地</x:v>
      </x:c>
      <x:c r="G2353" s="32" t="str">
        <x:v>201</x:v>
      </x:c>
      <x:c r="H2353" s="32" t="str">
        <x:v>201</x:v>
      </x:c>
      <x:c r="I2353" s="22" t="str">
        <x:v>果园</x:v>
      </x:c>
      <x:c r="J2353" s="22" t="str">
        <x:v>农业生态</x:v>
      </x:c>
      <x:c r="K2353" s="32" t="str">
        <x:v>203</x:v>
      </x:c>
      <x:c r="L2353" s="22" t="str">
        <x:v>村庄范围</x:v>
      </x:c>
      <x:c r="M2353" s="33" t="n">
        <x:v>226921.47999999995</x:v>
      </x:c>
      <x:c r="N2353" s="33" t="n">
        <x:v>22.692147999999996</x:v>
      </x:c>
      <x:c r="O2353" s="22" t="str">
        <x:v>公顷</x:v>
      </x:c>
      <x:c r="P2353" s="22" t="str">
        <x:v>未提供（单期横截面）</x:v>
      </x:c>
      <x:c r="Q2353" s="23" t="n">
        <x:v>5332</x:v>
      </x:c>
    </x:row>
    <x:row r="2354">
      <x:c r="A2354" s="30" t="n">
        <x:v>350600</x:v>
      </x:c>
      <x:c r="B2354" s="22" t="str">
        <x:v>漳州市</x:v>
      </x:c>
      <x:c r="C2354" s="31" t="n">
        <x:v>350623</x:v>
      </x:c>
      <x:c r="D2354" s="22" t="str">
        <x:v>漳浦县</x:v>
      </x:c>
      <x:c r="E2354" s="22" t="str">
        <x:v>农用地</x:v>
      </x:c>
      <x:c r="F2354" s="22" t="str">
        <x:v>园地</x:v>
      </x:c>
      <x:c r="G2354" s="32" t="str">
        <x:v>0201K</x:v>
      </x:c>
      <x:c r="H2354" s="32" t="str">
        <x:v>201</x:v>
      </x:c>
      <x:c r="I2354" s="22" t="str">
        <x:v>可调整果园</x:v>
      </x:c>
      <x:c r="J2354" s="22" t="str">
        <x:v>农业生态</x:v>
      </x:c>
      <x:c r="K2354" s="32" t="str">
        <x:v>203</x:v>
      </x:c>
      <x:c r="L2354" s="22" t="str">
        <x:v>村庄范围</x:v>
      </x:c>
      <x:c r="M2354" s="33" t="n">
        <x:v>837</x:v>
      </x:c>
      <x:c r="N2354" s="33" t="n">
        <x:v>0.0837</x:v>
      </x:c>
      <x:c r="O2354" s="22" t="str">
        <x:v>公顷</x:v>
      </x:c>
      <x:c r="P2354" s="22" t="str">
        <x:v>未提供（单期横截面）</x:v>
      </x:c>
      <x:c r="Q2354" s="23" t="n">
        <x:v>5333</x:v>
      </x:c>
    </x:row>
    <x:row r="2355">
      <x:c r="A2355" s="30" t="n">
        <x:v>350600</x:v>
      </x:c>
      <x:c r="B2355" s="22" t="str">
        <x:v>漳州市</x:v>
      </x:c>
      <x:c r="C2355" s="31" t="n">
        <x:v>350623</x:v>
      </x:c>
      <x:c r="D2355" s="22" t="str">
        <x:v>漳浦县</x:v>
      </x:c>
      <x:c r="E2355" s="22" t="str">
        <x:v>农用地</x:v>
      </x:c>
      <x:c r="F2355" s="22" t="str">
        <x:v>园地</x:v>
      </x:c>
      <x:c r="G2355" s="32" t="str">
        <x:v>204</x:v>
      </x:c>
      <x:c r="H2355" s="32" t="str">
        <x:v>204</x:v>
      </x:c>
      <x:c r="I2355" s="22" t="str">
        <x:v>其他园地</x:v>
      </x:c>
      <x:c r="J2355" s="22" t="str">
        <x:v>农业生态</x:v>
      </x:c>
      <x:c r="K2355" s="32" t="str">
        <x:v>203</x:v>
      </x:c>
      <x:c r="L2355" s="22" t="str">
        <x:v>村庄范围</x:v>
      </x:c>
      <x:c r="M2355" s="33" t="n">
        <x:v>8990.2</x:v>
      </x:c>
      <x:c r="N2355" s="33" t="n">
        <x:v>0.89902</x:v>
      </x:c>
      <x:c r="O2355" s="22" t="str">
        <x:v>公顷</x:v>
      </x:c>
      <x:c r="P2355" s="22" t="str">
        <x:v>未提供（单期横截面）</x:v>
      </x:c>
      <x:c r="Q2355" s="23" t="n">
        <x:v>5334</x:v>
      </x:c>
    </x:row>
    <x:row r="2356">
      <x:c r="A2356" s="30" t="n">
        <x:v>350600</x:v>
      </x:c>
      <x:c r="B2356" s="22" t="str">
        <x:v>漳州市</x:v>
      </x:c>
      <x:c r="C2356" s="31" t="n">
        <x:v>350623</x:v>
      </x:c>
      <x:c r="D2356" s="22" t="str">
        <x:v>漳浦县</x:v>
      </x:c>
      <x:c r="E2356" s="22" t="str">
        <x:v>农用地</x:v>
      </x:c>
      <x:c r="F2356" s="22" t="str">
        <x:v>园地</x:v>
      </x:c>
      <x:c r="G2356" s="32" t="str">
        <x:v>0204K</x:v>
      </x:c>
      <x:c r="H2356" s="32" t="str">
        <x:v>0204</x:v>
      </x:c>
      <x:c r="I2356" s="22" t="str">
        <x:v>可调整其他园地</x:v>
      </x:c>
      <x:c r="J2356" s="22" t="str">
        <x:v>农业生态</x:v>
      </x:c>
      <x:c r="K2356" s="32" t="str">
        <x:v>203</x:v>
      </x:c>
      <x:c r="L2356" s="22" t="str">
        <x:v>村庄范围</x:v>
      </x:c>
      <x:c r="M2356" s="33" t="n">
        <x:v>3155.5699999999997</x:v>
      </x:c>
      <x:c r="N2356" s="33" t="n">
        <x:v>0.315557</x:v>
      </x:c>
      <x:c r="O2356" s="22" t="str">
        <x:v>公顷</x:v>
      </x:c>
      <x:c r="P2356" s="22" t="str">
        <x:v>未提供（单期横截面）</x:v>
      </x:c>
      <x:c r="Q2356" s="23" t="n">
        <x:v>5335</x:v>
      </x:c>
    </x:row>
    <x:row r="2357">
      <x:c r="A2357" s="30" t="n">
        <x:v>350600</x:v>
      </x:c>
      <x:c r="B2357" s="22" t="str">
        <x:v>漳州市</x:v>
      </x:c>
      <x:c r="C2357" s="31" t="n">
        <x:v>350623</x:v>
      </x:c>
      <x:c r="D2357" s="22" t="str">
        <x:v>漳浦县</x:v>
      </x:c>
      <x:c r="E2357" s="22" t="str">
        <x:v>农用地</x:v>
      </x:c>
      <x:c r="F2357" s="22" t="str">
        <x:v>林地</x:v>
      </x:c>
      <x:c r="G2357" s="32" t="str">
        <x:v>301</x:v>
      </x:c>
      <x:c r="H2357" s="32" t="str">
        <x:v>301</x:v>
      </x:c>
      <x:c r="I2357" s="22" t="str">
        <x:v>乔木林地</x:v>
      </x:c>
      <x:c r="J2357" s="22" t="str">
        <x:v>农业生态</x:v>
      </x:c>
      <x:c r="K2357" s="32" t="str">
        <x:v>203</x:v>
      </x:c>
      <x:c r="L2357" s="22" t="str">
        <x:v>村庄范围</x:v>
      </x:c>
      <x:c r="M2357" s="33" t="n">
        <x:v>62015.84000000002</x:v>
      </x:c>
      <x:c r="N2357" s="33" t="n">
        <x:v>6.201584000000002</x:v>
      </x:c>
      <x:c r="O2357" s="22" t="str">
        <x:v>公顷</x:v>
      </x:c>
      <x:c r="P2357" s="22" t="str">
        <x:v>未提供（单期横截面）</x:v>
      </x:c>
      <x:c r="Q2357" s="23" t="n">
        <x:v>5336</x:v>
      </x:c>
    </x:row>
    <x:row r="2358">
      <x:c r="A2358" s="30" t="n">
        <x:v>350600</x:v>
      </x:c>
      <x:c r="B2358" s="22" t="str">
        <x:v>漳州市</x:v>
      </x:c>
      <x:c r="C2358" s="31" t="n">
        <x:v>350623</x:v>
      </x:c>
      <x:c r="D2358" s="22" t="str">
        <x:v>漳浦县</x:v>
      </x:c>
      <x:c r="E2358" s="22" t="str">
        <x:v>农用地</x:v>
      </x:c>
      <x:c r="F2358" s="22" t="str">
        <x:v>林地</x:v>
      </x:c>
      <x:c r="G2358" s="32" t="str">
        <x:v>302</x:v>
      </x:c>
      <x:c r="H2358" s="32" t="str">
        <x:v>302</x:v>
      </x:c>
      <x:c r="I2358" s="22" t="str">
        <x:v>竹林地</x:v>
      </x:c>
      <x:c r="J2358" s="22" t="str">
        <x:v>农业生态</x:v>
      </x:c>
      <x:c r="K2358" s="32" t="str">
        <x:v>203</x:v>
      </x:c>
      <x:c r="L2358" s="22" t="str">
        <x:v>村庄范围</x:v>
      </x:c>
      <x:c r="M2358" s="33" t="n">
        <x:v>2190.69</x:v>
      </x:c>
      <x:c r="N2358" s="33" t="n">
        <x:v>0.219069</x:v>
      </x:c>
      <x:c r="O2358" s="22" t="str">
        <x:v>公顷</x:v>
      </x:c>
      <x:c r="P2358" s="22" t="str">
        <x:v>未提供（单期横截面）</x:v>
      </x:c>
      <x:c r="Q2358" s="23" t="n">
        <x:v>5337</x:v>
      </x:c>
    </x:row>
    <x:row r="2359">
      <x:c r="A2359" s="30" t="n">
        <x:v>350600</x:v>
      </x:c>
      <x:c r="B2359" s="22" t="str">
        <x:v>漳州市</x:v>
      </x:c>
      <x:c r="C2359" s="31" t="n">
        <x:v>350623</x:v>
      </x:c>
      <x:c r="D2359" s="22" t="str">
        <x:v>漳浦县</x:v>
      </x:c>
      <x:c r="E2359" s="22" t="str">
        <x:v>农用地</x:v>
      </x:c>
      <x:c r="F2359" s="22" t="str">
        <x:v>林地</x:v>
      </x:c>
      <x:c r="G2359" s="32" t="str">
        <x:v>305</x:v>
      </x:c>
      <x:c r="H2359" s="32" t="str">
        <x:v>305</x:v>
      </x:c>
      <x:c r="I2359" s="22" t="str">
        <x:v>灌木林地</x:v>
      </x:c>
      <x:c r="J2359" s="22" t="str">
        <x:v>农业生态</x:v>
      </x:c>
      <x:c r="K2359" s="32" t="str">
        <x:v>203</x:v>
      </x:c>
      <x:c r="L2359" s="22" t="str">
        <x:v>村庄范围</x:v>
      </x:c>
      <x:c r="M2359" s="33" t="n">
        <x:v>6058.53</x:v>
      </x:c>
      <x:c r="N2359" s="33" t="n">
        <x:v>0.605853</x:v>
      </x:c>
      <x:c r="O2359" s="22" t="str">
        <x:v>公顷</x:v>
      </x:c>
      <x:c r="P2359" s="22" t="str">
        <x:v>未提供（单期横截面）</x:v>
      </x:c>
      <x:c r="Q2359" s="23" t="n">
        <x:v>5338</x:v>
      </x:c>
    </x:row>
    <x:row r="2360">
      <x:c r="A2360" s="30" t="n">
        <x:v>350600</x:v>
      </x:c>
      <x:c r="B2360" s="22" t="str">
        <x:v>漳州市</x:v>
      </x:c>
      <x:c r="C2360" s="31" t="n">
        <x:v>350623</x:v>
      </x:c>
      <x:c r="D2360" s="22" t="str">
        <x:v>漳浦县</x:v>
      </x:c>
      <x:c r="E2360" s="22" t="str">
        <x:v>农用地</x:v>
      </x:c>
      <x:c r="F2360" s="22" t="str">
        <x:v>林地</x:v>
      </x:c>
      <x:c r="G2360" s="32" t="str">
        <x:v>307</x:v>
      </x:c>
      <x:c r="H2360" s="32" t="str">
        <x:v>307</x:v>
      </x:c>
      <x:c r="I2360" s="22" t="str">
        <x:v>其他林地</x:v>
      </x:c>
      <x:c r="J2360" s="22" t="str">
        <x:v>农业生态</x:v>
      </x:c>
      <x:c r="K2360" s="32" t="str">
        <x:v>203</x:v>
      </x:c>
      <x:c r="L2360" s="22" t="str">
        <x:v>村庄范围</x:v>
      </x:c>
      <x:c r="M2360" s="33" t="n">
        <x:v>16058.999999999996</x:v>
      </x:c>
      <x:c r="N2360" s="33" t="n">
        <x:v>1.6058999999999997</x:v>
      </x:c>
      <x:c r="O2360" s="22" t="str">
        <x:v>公顷</x:v>
      </x:c>
      <x:c r="P2360" s="22" t="str">
        <x:v>未提供（单期横截面）</x:v>
      </x:c>
      <x:c r="Q2360" s="23" t="n">
        <x:v>5339</x:v>
      </x:c>
    </x:row>
    <x:row r="2361">
      <x:c r="A2361" s="30" t="n">
        <x:v>350600</x:v>
      </x:c>
      <x:c r="B2361" s="22" t="str">
        <x:v>漳州市</x:v>
      </x:c>
      <x:c r="C2361" s="31" t="n">
        <x:v>350623</x:v>
      </x:c>
      <x:c r="D2361" s="22" t="str">
        <x:v>漳浦县</x:v>
      </x:c>
      <x:c r="E2361" s="22" t="str">
        <x:v>农用地</x:v>
      </x:c>
      <x:c r="F2361" s="22" t="str">
        <x:v>水域及水利设施</x:v>
      </x:c>
      <x:c r="G2361" s="32" t="str">
        <x:v>1104</x:v>
      </x:c>
      <x:c r="H2361" s="32" t="str">
        <x:v>1104</x:v>
      </x:c>
      <x:c r="I2361" s="22" t="str">
        <x:v>坑塘水面</x:v>
      </x:c>
      <x:c r="J2361" s="22" t="str">
        <x:v>农业生态</x:v>
      </x:c>
      <x:c r="K2361" s="32" t="str">
        <x:v>203</x:v>
      </x:c>
      <x:c r="L2361" s="22" t="str">
        <x:v>村庄范围</x:v>
      </x:c>
      <x:c r="M2361" s="33" t="n">
        <x:v>10359.01</x:v>
      </x:c>
      <x:c r="N2361" s="33" t="n">
        <x:v>1.035901</x:v>
      </x:c>
      <x:c r="O2361" s="22" t="str">
        <x:v>公顷</x:v>
      </x:c>
      <x:c r="P2361" s="22" t="str">
        <x:v>未提供（单期横截面）</x:v>
      </x:c>
      <x:c r="Q2361" s="23" t="n">
        <x:v>5340</x:v>
      </x:c>
    </x:row>
    <x:row r="2362">
      <x:c r="A2362" s="30" t="n">
        <x:v>350600</x:v>
      </x:c>
      <x:c r="B2362" s="22" t="str">
        <x:v>漳州市</x:v>
      </x:c>
      <x:c r="C2362" s="31" t="n">
        <x:v>350623</x:v>
      </x:c>
      <x:c r="D2362" s="22" t="str">
        <x:v>漳浦县</x:v>
      </x:c>
      <x:c r="E2362" s="22" t="str">
        <x:v>农用地</x:v>
      </x:c>
      <x:c r="F2362" s="22" t="str">
        <x:v>水域及水利设施</x:v>
      </x:c>
      <x:c r="G2362" s="32" t="str">
        <x:v>1104A</x:v>
      </x:c>
      <x:c r="H2362" s="32" t="str">
        <x:v>1104</x:v>
      </x:c>
      <x:c r="I2362" s="22" t="str">
        <x:v>养殖坑塘</x:v>
      </x:c>
      <x:c r="J2362" s="22" t="str">
        <x:v>农业生态</x:v>
      </x:c>
      <x:c r="K2362" s="32" t="str">
        <x:v>203</x:v>
      </x:c>
      <x:c r="L2362" s="22" t="str">
        <x:v>村庄范围</x:v>
      </x:c>
      <x:c r="M2362" s="33" t="n">
        <x:v>2102.37</x:v>
      </x:c>
      <x:c r="N2362" s="33" t="n">
        <x:v>0.21023699999999998</x:v>
      </x:c>
      <x:c r="O2362" s="22" t="str">
        <x:v>公顷</x:v>
      </x:c>
      <x:c r="P2362" s="22" t="str">
        <x:v>未提供（单期横截面）</x:v>
      </x:c>
      <x:c r="Q2362" s="23" t="n">
        <x:v>5341</x:v>
      </x:c>
    </x:row>
    <x:row r="2363">
      <x:c r="A2363" s="30" t="n">
        <x:v>350600</x:v>
      </x:c>
      <x:c r="B2363" s="22" t="str">
        <x:v>漳州市</x:v>
      </x:c>
      <x:c r="C2363" s="31" t="n">
        <x:v>350623</x:v>
      </x:c>
      <x:c r="D2363" s="22" t="str">
        <x:v>漳浦县</x:v>
      </x:c>
      <x:c r="E2363" s="22" t="str">
        <x:v>农用地</x:v>
      </x:c>
      <x:c r="F2363" s="22" t="str">
        <x:v>水域及水利设施</x:v>
      </x:c>
      <x:c r="G2363" s="32" t="str">
        <x:v>1107</x:v>
      </x:c>
      <x:c r="H2363" s="32" t="str">
        <x:v>1107</x:v>
      </x:c>
      <x:c r="I2363" s="22" t="str">
        <x:v>沟渠</x:v>
      </x:c>
      <x:c r="J2363" s="22" t="str">
        <x:v>农业生态</x:v>
      </x:c>
      <x:c r="K2363" s="32" t="str">
        <x:v>203</x:v>
      </x:c>
      <x:c r="L2363" s="22" t="str">
        <x:v>村庄范围</x:v>
      </x:c>
      <x:c r="M2363" s="33" t="n">
        <x:v>1037.4</x:v>
      </x:c>
      <x:c r="N2363" s="33" t="n">
        <x:v>0.10374000000000001</x:v>
      </x:c>
      <x:c r="O2363" s="22" t="str">
        <x:v>公顷</x:v>
      </x:c>
      <x:c r="P2363" s="22" t="str">
        <x:v>未提供（单期横截面）</x:v>
      </x:c>
      <x:c r="Q2363" s="23" t="n">
        <x:v>5342</x:v>
      </x:c>
    </x:row>
    <x:row r="2364">
      <x:c r="A2364" s="30" t="n">
        <x:v>350600</x:v>
      </x:c>
      <x:c r="B2364" s="22" t="str">
        <x:v>漳州市</x:v>
      </x:c>
      <x:c r="C2364" s="31" t="n">
        <x:v>350623</x:v>
      </x:c>
      <x:c r="D2364" s="22" t="str">
        <x:v>漳浦县</x:v>
      </x:c>
      <x:c r="E2364" s="22" t="str">
        <x:v>农用地</x:v>
      </x:c>
      <x:c r="F2364" s="22" t="str">
        <x:v>其他农用地</x:v>
      </x:c>
      <x:c r="G2364" s="32" t="str">
        <x:v>1202</x:v>
      </x:c>
      <x:c r="H2364" s="32" t="str">
        <x:v>1202</x:v>
      </x:c>
      <x:c r="I2364" s="22" t="str">
        <x:v>设施农用地</x:v>
      </x:c>
      <x:c r="J2364" s="22" t="str">
        <x:v>农业生态</x:v>
      </x:c>
      <x:c r="K2364" s="32" t="str">
        <x:v>203</x:v>
      </x:c>
      <x:c r="L2364" s="22" t="str">
        <x:v>村庄范围</x:v>
      </x:c>
      <x:c r="M2364" s="33" t="n">
        <x:v>9324.929999999998</x:v>
      </x:c>
      <x:c r="N2364" s="33" t="n">
        <x:v>0.9324929999999998</x:v>
      </x:c>
      <x:c r="O2364" s="22" t="str">
        <x:v>公顷</x:v>
      </x:c>
      <x:c r="P2364" s="22" t="str">
        <x:v>未提供（单期横截面）</x:v>
      </x:c>
      <x:c r="Q2364" s="23" t="n">
        <x:v>5343</x:v>
      </x:c>
    </x:row>
    <x:row r="2365">
      <x:c r="A2365" s="30" t="n">
        <x:v>350600</x:v>
      </x:c>
      <x:c r="B2365" s="22" t="str">
        <x:v>漳州市</x:v>
      </x:c>
      <x:c r="C2365" s="31" t="n">
        <x:v>350623</x:v>
      </x:c>
      <x:c r="D2365" s="22" t="str">
        <x:v>漳浦县</x:v>
      </x:c>
      <x:c r="E2365" s="22" t="str">
        <x:v>未利用地</x:v>
      </x:c>
      <x:c r="F2365" s="22" t="str">
        <x:v>草地</x:v>
      </x:c>
      <x:c r="G2365" s="32" t="str">
        <x:v>404</x:v>
      </x:c>
      <x:c r="H2365" s="32" t="str">
        <x:v>404</x:v>
      </x:c>
      <x:c r="I2365" s="22" t="str">
        <x:v>其他草地</x:v>
      </x:c>
      <x:c r="J2365" s="22" t="str">
        <x:v>农业生态</x:v>
      </x:c>
      <x:c r="K2365" s="32" t="str"/>
      <x:c r="L2365" s="22" t="str">
        <x:v>不适用/未标注</x:v>
      </x:c>
      <x:c r="M2365" s="33" t="n">
        <x:v>15298869.280000007</x:v>
      </x:c>
      <x:c r="N2365" s="33" t="n">
        <x:v>1529.8869280000006</x:v>
      </x:c>
      <x:c r="O2365" s="22" t="str">
        <x:v>公顷</x:v>
      </x:c>
      <x:c r="P2365" s="22" t="str">
        <x:v>未提供（单期横截面）</x:v>
      </x:c>
      <x:c r="Q2365" s="23" t="n">
        <x:v>5344</x:v>
      </x:c>
    </x:row>
    <x:row r="2366">
      <x:c r="A2366" s="30" t="n">
        <x:v>350600</x:v>
      </x:c>
      <x:c r="B2366" s="22" t="str">
        <x:v>漳州市</x:v>
      </x:c>
      <x:c r="C2366" s="31" t="n">
        <x:v>350623</x:v>
      </x:c>
      <x:c r="D2366" s="22" t="str">
        <x:v>漳浦县</x:v>
      </x:c>
      <x:c r="E2366" s="22" t="str">
        <x:v>未利用地</x:v>
      </x:c>
      <x:c r="F2366" s="22" t="str">
        <x:v>水域及水利设施</x:v>
      </x:c>
      <x:c r="G2366" s="32" t="str">
        <x:v>1101</x:v>
      </x:c>
      <x:c r="H2366" s="32" t="str">
        <x:v>1101</x:v>
      </x:c>
      <x:c r="I2366" s="22" t="str">
        <x:v>河流水面</x:v>
      </x:c>
      <x:c r="J2366" s="22" t="str">
        <x:v>农业生态</x:v>
      </x:c>
      <x:c r="K2366" s="32" t="str"/>
      <x:c r="L2366" s="22" t="str">
        <x:v>不适用/未标注</x:v>
      </x:c>
      <x:c r="M2366" s="33" t="n">
        <x:v>23931607.709999956</x:v>
      </x:c>
      <x:c r="N2366" s="33" t="n">
        <x:v>2393.1607709999957</x:v>
      </x:c>
      <x:c r="O2366" s="22" t="str">
        <x:v>公顷</x:v>
      </x:c>
      <x:c r="P2366" s="22" t="str">
        <x:v>未提供（单期横截面）</x:v>
      </x:c>
      <x:c r="Q2366" s="23" t="n">
        <x:v>5345</x:v>
      </x:c>
    </x:row>
    <x:row r="2367">
      <x:c r="A2367" s="30" t="n">
        <x:v>350600</x:v>
      </x:c>
      <x:c r="B2367" s="22" t="str">
        <x:v>漳州市</x:v>
      </x:c>
      <x:c r="C2367" s="31" t="n">
        <x:v>350623</x:v>
      </x:c>
      <x:c r="D2367" s="22" t="str">
        <x:v>漳浦县</x:v>
      </x:c>
      <x:c r="E2367" s="22" t="str">
        <x:v>未利用地</x:v>
      </x:c>
      <x:c r="F2367" s="22" t="str">
        <x:v>水域及水利设施</x:v>
      </x:c>
      <x:c r="G2367" s="32" t="str">
        <x:v>1105</x:v>
      </x:c>
      <x:c r="H2367" s="32" t="str">
        <x:v>1105</x:v>
      </x:c>
      <x:c r="I2367" s="22" t="str">
        <x:v>沿海滩涂</x:v>
      </x:c>
      <x:c r="J2367" s="22" t="str">
        <x:v>农业生态</x:v>
      </x:c>
      <x:c r="K2367" s="32" t="str"/>
      <x:c r="L2367" s="22" t="str">
        <x:v>不适用/未标注</x:v>
      </x:c>
      <x:c r="M2367" s="33" t="n">
        <x:v>125812142.04</x:v>
      </x:c>
      <x:c r="N2367" s="33" t="n">
        <x:v>12581.214204</x:v>
      </x:c>
      <x:c r="O2367" s="22" t="str">
        <x:v>公顷</x:v>
      </x:c>
      <x:c r="P2367" s="22" t="str">
        <x:v>未提供（单期横截面）</x:v>
      </x:c>
      <x:c r="Q2367" s="23" t="n">
        <x:v>5346</x:v>
      </x:c>
    </x:row>
    <x:row r="2368">
      <x:c r="A2368" s="30" t="n">
        <x:v>350600</x:v>
      </x:c>
      <x:c r="B2368" s="22" t="str">
        <x:v>漳州市</x:v>
      </x:c>
      <x:c r="C2368" s="31" t="n">
        <x:v>350623</x:v>
      </x:c>
      <x:c r="D2368" s="22" t="str">
        <x:v>漳浦县</x:v>
      </x:c>
      <x:c r="E2368" s="22" t="str">
        <x:v>未利用地</x:v>
      </x:c>
      <x:c r="F2368" s="22" t="str">
        <x:v>水域及水利设施</x:v>
      </x:c>
      <x:c r="G2368" s="32" t="str">
        <x:v>1106</x:v>
      </x:c>
      <x:c r="H2368" s="32" t="str">
        <x:v>1106</x:v>
      </x:c>
      <x:c r="I2368" s="22" t="str">
        <x:v>内陆滩涂</x:v>
      </x:c>
      <x:c r="J2368" s="22" t="str">
        <x:v>农业生态</x:v>
      </x:c>
      <x:c r="K2368" s="32" t="str"/>
      <x:c r="L2368" s="22" t="str">
        <x:v>不适用/未标注</x:v>
      </x:c>
      <x:c r="M2368" s="33" t="n">
        <x:v>1133683.7600000005</x:v>
      </x:c>
      <x:c r="N2368" s="33" t="n">
        <x:v>113.36837600000004</x:v>
      </x:c>
      <x:c r="O2368" s="22" t="str">
        <x:v>公顷</x:v>
      </x:c>
      <x:c r="P2368" s="22" t="str">
        <x:v>未提供（单期横截面）</x:v>
      </x:c>
      <x:c r="Q2368" s="23" t="n">
        <x:v>5347</x:v>
      </x:c>
    </x:row>
    <x:row r="2369">
      <x:c r="A2369" s="30" t="n">
        <x:v>350600</x:v>
      </x:c>
      <x:c r="B2369" s="22" t="str">
        <x:v>漳州市</x:v>
      </x:c>
      <x:c r="C2369" s="31" t="n">
        <x:v>350623</x:v>
      </x:c>
      <x:c r="D2369" s="22" t="str">
        <x:v>漳浦县</x:v>
      </x:c>
      <x:c r="E2369" s="22" t="str">
        <x:v>未利用地</x:v>
      </x:c>
      <x:c r="F2369" s="22" t="str">
        <x:v>未利用地</x:v>
      </x:c>
      <x:c r="G2369" s="32" t="str">
        <x:v>1205</x:v>
      </x:c>
      <x:c r="H2369" s="32" t="str">
        <x:v>1205</x:v>
      </x:c>
      <x:c r="I2369" s="22" t="str">
        <x:v>沙地</x:v>
      </x:c>
      <x:c r="J2369" s="22" t="str">
        <x:v>未利用地</x:v>
      </x:c>
      <x:c r="K2369" s="32" t="str"/>
      <x:c r="L2369" s="22" t="str">
        <x:v>不适用/未标注</x:v>
      </x:c>
      <x:c r="M2369" s="33" t="n">
        <x:v>1234000.1499999997</x:v>
      </x:c>
      <x:c r="N2369" s="33" t="n">
        <x:v>123.40001499999997</x:v>
      </x:c>
      <x:c r="O2369" s="22" t="str">
        <x:v>公顷</x:v>
      </x:c>
      <x:c r="P2369" s="22" t="str">
        <x:v>未提供（单期横截面）</x:v>
      </x:c>
      <x:c r="Q2369" s="23" t="n">
        <x:v>5348</x:v>
      </x:c>
    </x:row>
    <x:row r="2370">
      <x:c r="A2370" s="30" t="n">
        <x:v>350600</x:v>
      </x:c>
      <x:c r="B2370" s="22" t="str">
        <x:v>漳州市</x:v>
      </x:c>
      <x:c r="C2370" s="31" t="n">
        <x:v>350623</x:v>
      </x:c>
      <x:c r="D2370" s="22" t="str">
        <x:v>漳浦县</x:v>
      </x:c>
      <x:c r="E2370" s="22" t="str">
        <x:v>未利用地</x:v>
      </x:c>
      <x:c r="F2370" s="22" t="str">
        <x:v>未利用地</x:v>
      </x:c>
      <x:c r="G2370" s="32" t="str">
        <x:v>1206</x:v>
      </x:c>
      <x:c r="H2370" s="32" t="str">
        <x:v>1206</x:v>
      </x:c>
      <x:c r="I2370" s="22" t="str">
        <x:v>裸土地</x:v>
      </x:c>
      <x:c r="J2370" s="22" t="str">
        <x:v>未利用地</x:v>
      </x:c>
      <x:c r="K2370" s="32" t="str"/>
      <x:c r="L2370" s="22" t="str">
        <x:v>不适用/未标注</x:v>
      </x:c>
      <x:c r="M2370" s="33" t="n">
        <x:v>818709.78</x:v>
      </x:c>
      <x:c r="N2370" s="33" t="n">
        <x:v>81.87097800000001</x:v>
      </x:c>
      <x:c r="O2370" s="22" t="str">
        <x:v>公顷</x:v>
      </x:c>
      <x:c r="P2370" s="22" t="str">
        <x:v>未提供（单期横截面）</x:v>
      </x:c>
      <x:c r="Q2370" s="23" t="n">
        <x:v>5349</x:v>
      </x:c>
    </x:row>
    <x:row r="2371">
      <x:c r="A2371" s="30" t="n">
        <x:v>350600</x:v>
      </x:c>
      <x:c r="B2371" s="22" t="str">
        <x:v>漳州市</x:v>
      </x:c>
      <x:c r="C2371" s="31" t="n">
        <x:v>350623</x:v>
      </x:c>
      <x:c r="D2371" s="22" t="str">
        <x:v>漳浦县</x:v>
      </x:c>
      <x:c r="E2371" s="22" t="str">
        <x:v>未利用地</x:v>
      </x:c>
      <x:c r="F2371" s="22" t="str">
        <x:v>未利用地</x:v>
      </x:c>
      <x:c r="G2371" s="32" t="str">
        <x:v>1207</x:v>
      </x:c>
      <x:c r="H2371" s="32" t="str">
        <x:v>1207</x:v>
      </x:c>
      <x:c r="I2371" s="22" t="str">
        <x:v>裸岩石砾地</x:v>
      </x:c>
      <x:c r="J2371" s="22" t="str">
        <x:v>未利用地</x:v>
      </x:c>
      <x:c r="K2371" s="32" t="str"/>
      <x:c r="L2371" s="22" t="str">
        <x:v>不适用/未标注</x:v>
      </x:c>
      <x:c r="M2371" s="33" t="n">
        <x:v>43915097.55000003</x:v>
      </x:c>
      <x:c r="N2371" s="33" t="n">
        <x:v>4391.509755000003</x:v>
      </x:c>
      <x:c r="O2371" s="22" t="str">
        <x:v>公顷</x:v>
      </x:c>
      <x:c r="P2371" s="22" t="str">
        <x:v>未提供（单期横截面）</x:v>
      </x:c>
      <x:c r="Q2371" s="23" t="n">
        <x:v>5350</x:v>
      </x:c>
    </x:row>
    <x:row r="2372">
      <x:c r="A2372" s="30" t="n">
        <x:v>350600</x:v>
      </x:c>
      <x:c r="B2372" s="22" t="str">
        <x:v>漳州市</x:v>
      </x:c>
      <x:c r="C2372" s="31" t="n">
        <x:v>350623</x:v>
      </x:c>
      <x:c r="D2372" s="22" t="str">
        <x:v>漳浦县</x:v>
      </x:c>
      <x:c r="E2372" s="22" t="str">
        <x:v>未利用地</x:v>
      </x:c>
      <x:c r="F2372" s="22" t="str">
        <x:v>草地</x:v>
      </x:c>
      <x:c r="G2372" s="32" t="str">
        <x:v>404</x:v>
      </x:c>
      <x:c r="H2372" s="32" t="str">
        <x:v>404</x:v>
      </x:c>
      <x:c r="I2372" s="22" t="str">
        <x:v>其他草地</x:v>
      </x:c>
      <x:c r="J2372" s="22" t="str">
        <x:v>农业生态</x:v>
      </x:c>
      <x:c r="K2372" s="32" t="str">
        <x:v>202</x:v>
      </x:c>
      <x:c r="L2372" s="22" t="str">
        <x:v>建制镇范围</x:v>
      </x:c>
      <x:c r="M2372" s="33" t="n">
        <x:v>157895.19999999998</x:v>
      </x:c>
      <x:c r="N2372" s="33" t="n">
        <x:v>15.789519999999998</x:v>
      </x:c>
      <x:c r="O2372" s="22" t="str">
        <x:v>公顷</x:v>
      </x:c>
      <x:c r="P2372" s="22" t="str">
        <x:v>未提供（单期横截面）</x:v>
      </x:c>
      <x:c r="Q2372" s="23" t="n">
        <x:v>5351</x:v>
      </x:c>
    </x:row>
    <x:row r="2373">
      <x:c r="A2373" s="30" t="n">
        <x:v>350600</x:v>
      </x:c>
      <x:c r="B2373" s="22" t="str">
        <x:v>漳州市</x:v>
      </x:c>
      <x:c r="C2373" s="31" t="n">
        <x:v>350623</x:v>
      </x:c>
      <x:c r="D2373" s="22" t="str">
        <x:v>漳浦县</x:v>
      </x:c>
      <x:c r="E2373" s="22" t="str">
        <x:v>未利用地</x:v>
      </x:c>
      <x:c r="F2373" s="22" t="str">
        <x:v>草地</x:v>
      </x:c>
      <x:c r="G2373" s="32" t="str">
        <x:v>404</x:v>
      </x:c>
      <x:c r="H2373" s="32" t="str">
        <x:v>404</x:v>
      </x:c>
      <x:c r="I2373" s="22" t="str">
        <x:v>其他草地</x:v>
      </x:c>
      <x:c r="J2373" s="22" t="str">
        <x:v>农业生态</x:v>
      </x:c>
      <x:c r="K2373" s="32" t="str">
        <x:v>203</x:v>
      </x:c>
      <x:c r="L2373" s="22" t="str">
        <x:v>村庄范围</x:v>
      </x:c>
      <x:c r="M2373" s="33" t="n">
        <x:v>52281.99</x:v>
      </x:c>
      <x:c r="N2373" s="33" t="n">
        <x:v>5.228199</x:v>
      </x:c>
      <x:c r="O2373" s="22" t="str">
        <x:v>公顷</x:v>
      </x:c>
      <x:c r="P2373" s="22" t="str">
        <x:v>未提供（单期横截面）</x:v>
      </x:c>
      <x:c r="Q2373" s="23" t="n">
        <x:v>5352</x:v>
      </x:c>
    </x:row>
    <x:row r="2374">
      <x:c r="A2374" s="30" t="n">
        <x:v>350600</x:v>
      </x:c>
      <x:c r="B2374" s="22" t="str">
        <x:v>漳州市</x:v>
      </x:c>
      <x:c r="C2374" s="31" t="n">
        <x:v>350624</x:v>
      </x:c>
      <x:c r="D2374" s="22" t="str">
        <x:v>诏安县</x:v>
      </x:c>
      <x:c r="E2374" s="22" t="str">
        <x:v>建设用地</x:v>
      </x:c>
      <x:c r="F2374" s="22" t="str">
        <x:v>交通运输用地</x:v>
      </x:c>
      <x:c r="G2374" s="32" t="str">
        <x:v>1001</x:v>
      </x:c>
      <x:c r="H2374" s="32" t="str">
        <x:v>1001</x:v>
      </x:c>
      <x:c r="I2374" s="22" t="str">
        <x:v>铁路用地</x:v>
      </x:c>
      <x:c r="J2374" s="22" t="str">
        <x:v>交通门户</x:v>
      </x:c>
      <x:c r="K2374" s="32" t="str"/>
      <x:c r="L2374" s="22" t="str">
        <x:v>不适用/未标注</x:v>
      </x:c>
      <x:c r="M2374" s="33" t="n">
        <x:v>1126764.8</x:v>
      </x:c>
      <x:c r="N2374" s="33" t="n">
        <x:v>112.67648</x:v>
      </x:c>
      <x:c r="O2374" s="22" t="str">
        <x:v>公顷</x:v>
      </x:c>
      <x:c r="P2374" s="22" t="str">
        <x:v>未提供（单期横截面）</x:v>
      </x:c>
      <x:c r="Q2374" s="23" t="n">
        <x:v>5353</x:v>
      </x:c>
    </x:row>
    <x:row r="2375">
      <x:c r="A2375" s="30" t="n">
        <x:v>350600</x:v>
      </x:c>
      <x:c r="B2375" s="22" t="str">
        <x:v>漳州市</x:v>
      </x:c>
      <x:c r="C2375" s="31" t="n">
        <x:v>350624</x:v>
      </x:c>
      <x:c r="D2375" s="22" t="str">
        <x:v>诏安县</x:v>
      </x:c>
      <x:c r="E2375" s="22" t="str">
        <x:v>建设用地</x:v>
      </x:c>
      <x:c r="F2375" s="22" t="str">
        <x:v>交通运输用地</x:v>
      </x:c>
      <x:c r="G2375" s="32" t="str">
        <x:v>1003</x:v>
      </x:c>
      <x:c r="H2375" s="32" t="str">
        <x:v>1003</x:v>
      </x:c>
      <x:c r="I2375" s="22" t="str">
        <x:v>公路用地</x:v>
      </x:c>
      <x:c r="J2375" s="22" t="str">
        <x:v>交通门户</x:v>
      </x:c>
      <x:c r="K2375" s="32" t="str"/>
      <x:c r="L2375" s="22" t="str">
        <x:v>不适用/未标注</x:v>
      </x:c>
      <x:c r="M2375" s="33" t="n">
        <x:v>13571148.249999998</x:v>
      </x:c>
      <x:c r="N2375" s="33" t="n">
        <x:v>1357.1148249999999</x:v>
      </x:c>
      <x:c r="O2375" s="22" t="str">
        <x:v>公顷</x:v>
      </x:c>
      <x:c r="P2375" s="22" t="str">
        <x:v>未提供（单期横截面）</x:v>
      </x:c>
      <x:c r="Q2375" s="23" t="n">
        <x:v>5354</x:v>
      </x:c>
    </x:row>
    <x:row r="2376">
      <x:c r="A2376" s="30" t="n">
        <x:v>350600</x:v>
      </x:c>
      <x:c r="B2376" s="22" t="str">
        <x:v>漳州市</x:v>
      </x:c>
      <x:c r="C2376" s="31" t="n">
        <x:v>350624</x:v>
      </x:c>
      <x:c r="D2376" s="22" t="str">
        <x:v>诏安县</x:v>
      </x:c>
      <x:c r="E2376" s="22" t="str">
        <x:v>建设用地</x:v>
      </x:c>
      <x:c r="F2376" s="22" t="str">
        <x:v>交通运输用地</x:v>
      </x:c>
      <x:c r="G2376" s="32" t="str">
        <x:v>1008</x:v>
      </x:c>
      <x:c r="H2376" s="32" t="str">
        <x:v>1008</x:v>
      </x:c>
      <x:c r="I2376" s="22" t="str">
        <x:v>港口码头用地</x:v>
      </x:c>
      <x:c r="J2376" s="22" t="str">
        <x:v>交通门户</x:v>
      </x:c>
      <x:c r="K2376" s="32" t="str"/>
      <x:c r="L2376" s="22" t="str">
        <x:v>不适用/未标注</x:v>
      </x:c>
      <x:c r="M2376" s="33" t="n">
        <x:v>43883.12999999999</x:v>
      </x:c>
      <x:c r="N2376" s="33" t="n">
        <x:v>4.388312999999999</x:v>
      </x:c>
      <x:c r="O2376" s="22" t="str">
        <x:v>公顷</x:v>
      </x:c>
      <x:c r="P2376" s="22" t="str">
        <x:v>未提供（单期横截面）</x:v>
      </x:c>
      <x:c r="Q2376" s="23" t="n">
        <x:v>5355</x:v>
      </x:c>
    </x:row>
    <x:row r="2377">
      <x:c r="A2377" s="30" t="n">
        <x:v>350600</x:v>
      </x:c>
      <x:c r="B2377" s="22" t="str">
        <x:v>漳州市</x:v>
      </x:c>
      <x:c r="C2377" s="31" t="n">
        <x:v>350624</x:v>
      </x:c>
      <x:c r="D2377" s="22" t="str">
        <x:v>诏安县</x:v>
      </x:c>
      <x:c r="E2377" s="22" t="str">
        <x:v>建设用地</x:v>
      </x:c>
      <x:c r="F2377" s="22" t="str">
        <x:v>交通运输用地</x:v>
      </x:c>
      <x:c r="G2377" s="32" t="str">
        <x:v>1009</x:v>
      </x:c>
      <x:c r="H2377" s="32" t="str">
        <x:v>1009</x:v>
      </x:c>
      <x:c r="I2377" s="22" t="str">
        <x:v>管道运输用地</x:v>
      </x:c>
      <x:c r="J2377" s="22" t="str">
        <x:v>交通门户</x:v>
      </x:c>
      <x:c r="K2377" s="32" t="str"/>
      <x:c r="L2377" s="22" t="str">
        <x:v>不适用/未标注</x:v>
      </x:c>
      <x:c r="M2377" s="33" t="n">
        <x:v>9076.04</x:v>
      </x:c>
      <x:c r="N2377" s="33" t="n">
        <x:v>0.9076040000000001</x:v>
      </x:c>
      <x:c r="O2377" s="22" t="str">
        <x:v>公顷</x:v>
      </x:c>
      <x:c r="P2377" s="22" t="str">
        <x:v>未提供（单期横截面）</x:v>
      </x:c>
      <x:c r="Q2377" s="23" t="n">
        <x:v>5356</x:v>
      </x:c>
    </x:row>
    <x:row r="2378">
      <x:c r="A2378" s="30" t="n">
        <x:v>350600</x:v>
      </x:c>
      <x:c r="B2378" s="22" t="str">
        <x:v>漳州市</x:v>
      </x:c>
      <x:c r="C2378" s="31" t="n">
        <x:v>350624</x:v>
      </x:c>
      <x:c r="D2378" s="22" t="str">
        <x:v>诏安县</x:v>
      </x:c>
      <x:c r="E2378" s="22" t="str">
        <x:v>建设用地</x:v>
      </x:c>
      <x:c r="F2378" s="22" t="str">
        <x:v>水域及水利设施</x:v>
      </x:c>
      <x:c r="G2378" s="32" t="str">
        <x:v>1109</x:v>
      </x:c>
      <x:c r="H2378" s="32" t="str">
        <x:v>1109</x:v>
      </x:c>
      <x:c r="I2378" s="22" t="str">
        <x:v>水工建筑用地</x:v>
      </x:c>
      <x:c r="J2378" s="22" t="str">
        <x:v>其他建设</x:v>
      </x:c>
      <x:c r="K2378" s="32" t="str"/>
      <x:c r="L2378" s="22" t="str">
        <x:v>不适用/未标注</x:v>
      </x:c>
      <x:c r="M2378" s="33" t="n">
        <x:v>2344576.2800000007</x:v>
      </x:c>
      <x:c r="N2378" s="33" t="n">
        <x:v>234.45762800000008</x:v>
      </x:c>
      <x:c r="O2378" s="22" t="str">
        <x:v>公顷</x:v>
      </x:c>
      <x:c r="P2378" s="22" t="str">
        <x:v>未提供（单期横截面）</x:v>
      </x:c>
      <x:c r="Q2378" s="23" t="n">
        <x:v>5357</x:v>
      </x:c>
    </x:row>
    <x:row r="2379">
      <x:c r="A2379" s="30" t="n">
        <x:v>350600</x:v>
      </x:c>
      <x:c r="B2379" s="22" t="str">
        <x:v>漳州市</x:v>
      </x:c>
      <x:c r="C2379" s="31" t="n">
        <x:v>350624</x:v>
      </x:c>
      <x:c r="D2379" s="22" t="str">
        <x:v>诏安县</x:v>
      </x:c>
      <x:c r="E2379" s="22" t="str">
        <x:v>建设用地</x:v>
      </x:c>
      <x:c r="F2379" s="22" t="str">
        <x:v>工矿仓储用地</x:v>
      </x:c>
      <x:c r="G2379" s="32" t="str">
        <x:v>508</x:v>
      </x:c>
      <x:c r="H2379" s="32" t="str">
        <x:v>508</x:v>
      </x:c>
      <x:c r="I2379" s="22" t="str">
        <x:v>物流仓储用地</x:v>
      </x:c>
      <x:c r="J2379" s="22" t="str">
        <x:v>产业功能</x:v>
      </x:c>
      <x:c r="K2379" s="32" t="str">
        <x:v>202</x:v>
      </x:c>
      <x:c r="L2379" s="22" t="str">
        <x:v>建制镇范围</x:v>
      </x:c>
      <x:c r="M2379" s="33" t="n">
        <x:v>10506.32</x:v>
      </x:c>
      <x:c r="N2379" s="33" t="n">
        <x:v>1.050632</x:v>
      </x:c>
      <x:c r="O2379" s="22" t="str">
        <x:v>公顷</x:v>
      </x:c>
      <x:c r="P2379" s="22" t="str">
        <x:v>未提供（单期横截面）</x:v>
      </x:c>
      <x:c r="Q2379" s="23" t="n">
        <x:v>5358</x:v>
      </x:c>
    </x:row>
    <x:row r="2380">
      <x:c r="A2380" s="30" t="n">
        <x:v>350600</x:v>
      </x:c>
      <x:c r="B2380" s="22" t="str">
        <x:v>漳州市</x:v>
      </x:c>
      <x:c r="C2380" s="31" t="n">
        <x:v>350624</x:v>
      </x:c>
      <x:c r="D2380" s="22" t="str">
        <x:v>诏安县</x:v>
      </x:c>
      <x:c r="E2380" s="22" t="str">
        <x:v>建设用地</x:v>
      </x:c>
      <x:c r="F2380" s="22" t="str">
        <x:v>商业服务业用地</x:v>
      </x:c>
      <x:c r="G2380" s="32" t="str">
        <x:v>05H1</x:v>
      </x:c>
      <x:c r="H2380" s="32" t="str">
        <x:v>05H1</x:v>
      </x:c>
      <x:c r="I2380" s="22" t="str">
        <x:v>商业服务业设施用地</x:v>
      </x:c>
      <x:c r="J2380" s="22" t="str">
        <x:v>商业服务</x:v>
      </x:c>
      <x:c r="K2380" s="32" t="str">
        <x:v>202</x:v>
      </x:c>
      <x:c r="L2380" s="22" t="str">
        <x:v>建制镇范围</x:v>
      </x:c>
      <x:c r="M2380" s="33" t="n">
        <x:v>283440.37</x:v>
      </x:c>
      <x:c r="N2380" s="33" t="n">
        <x:v>28.344037</x:v>
      </x:c>
      <x:c r="O2380" s="22" t="str">
        <x:v>公顷</x:v>
      </x:c>
      <x:c r="P2380" s="22" t="str">
        <x:v>未提供（单期横截面）</x:v>
      </x:c>
      <x:c r="Q2380" s="23" t="n">
        <x:v>5359</x:v>
      </x:c>
    </x:row>
    <x:row r="2381">
      <x:c r="A2381" s="30" t="n">
        <x:v>350600</x:v>
      </x:c>
      <x:c r="B2381" s="22" t="str">
        <x:v>漳州市</x:v>
      </x:c>
      <x:c r="C2381" s="31" t="n">
        <x:v>350624</x:v>
      </x:c>
      <x:c r="D2381" s="22" t="str">
        <x:v>诏安县</x:v>
      </x:c>
      <x:c r="E2381" s="22" t="str">
        <x:v>建设用地</x:v>
      </x:c>
      <x:c r="F2381" s="22" t="str">
        <x:v>工矿仓储用地</x:v>
      </x:c>
      <x:c r="G2381" s="32" t="str">
        <x:v>601</x:v>
      </x:c>
      <x:c r="H2381" s="32" t="str">
        <x:v>601</x:v>
      </x:c>
      <x:c r="I2381" s="22" t="str">
        <x:v>工业用地</x:v>
      </x:c>
      <x:c r="J2381" s="22" t="str">
        <x:v>产业功能</x:v>
      </x:c>
      <x:c r="K2381" s="32" t="str">
        <x:v>202</x:v>
      </x:c>
      <x:c r="L2381" s="22" t="str">
        <x:v>建制镇范围</x:v>
      </x:c>
      <x:c r="M2381" s="33" t="n">
        <x:v>1592027.9100000004</x:v>
      </x:c>
      <x:c r="N2381" s="33" t="n">
        <x:v>159.20279100000005</x:v>
      </x:c>
      <x:c r="O2381" s="22" t="str">
        <x:v>公顷</x:v>
      </x:c>
      <x:c r="P2381" s="22" t="str">
        <x:v>未提供（单期横截面）</x:v>
      </x:c>
      <x:c r="Q2381" s="23" t="n">
        <x:v>5360</x:v>
      </x:c>
    </x:row>
    <x:row r="2382">
      <x:c r="A2382" s="30" t="n">
        <x:v>350600</x:v>
      </x:c>
      <x:c r="B2382" s="22" t="str">
        <x:v>漳州市</x:v>
      </x:c>
      <x:c r="C2382" s="31" t="n">
        <x:v>350624</x:v>
      </x:c>
      <x:c r="D2382" s="22" t="str">
        <x:v>诏安县</x:v>
      </x:c>
      <x:c r="E2382" s="22" t="str">
        <x:v>建设用地</x:v>
      </x:c>
      <x:c r="F2382" s="22" t="str">
        <x:v>工矿仓储用地</x:v>
      </x:c>
      <x:c r="G2382" s="32" t="str">
        <x:v>602</x:v>
      </x:c>
      <x:c r="H2382" s="32" t="str">
        <x:v>602</x:v>
      </x:c>
      <x:c r="I2382" s="22" t="str">
        <x:v>采矿用地</x:v>
      </x:c>
      <x:c r="J2382" s="22" t="str">
        <x:v>产业功能</x:v>
      </x:c>
      <x:c r="K2382" s="32" t="str">
        <x:v>202</x:v>
      </x:c>
      <x:c r="L2382" s="22" t="str">
        <x:v>建制镇范围</x:v>
      </x:c>
      <x:c r="M2382" s="33" t="n">
        <x:v>16090.21</x:v>
      </x:c>
      <x:c r="N2382" s="33" t="n">
        <x:v>1.6090209999999998</x:v>
      </x:c>
      <x:c r="O2382" s="22" t="str">
        <x:v>公顷</x:v>
      </x:c>
      <x:c r="P2382" s="22" t="str">
        <x:v>未提供（单期横截面）</x:v>
      </x:c>
      <x:c r="Q2382" s="23" t="n">
        <x:v>5361</x:v>
      </x:c>
    </x:row>
    <x:row r="2383">
      <x:c r="A2383" s="30" t="n">
        <x:v>350600</x:v>
      </x:c>
      <x:c r="B2383" s="22" t="str">
        <x:v>漳州市</x:v>
      </x:c>
      <x:c r="C2383" s="31" t="n">
        <x:v>350624</x:v>
      </x:c>
      <x:c r="D2383" s="22" t="str">
        <x:v>诏安县</x:v>
      </x:c>
      <x:c r="E2383" s="22" t="str">
        <x:v>建设用地</x:v>
      </x:c>
      <x:c r="F2383" s="22" t="str">
        <x:v>居住用地</x:v>
      </x:c>
      <x:c r="G2383" s="32" t="str">
        <x:v>701</x:v>
      </x:c>
      <x:c r="H2383" s="32" t="str">
        <x:v>701</x:v>
      </x:c>
      <x:c r="I2383" s="22" t="str">
        <x:v>城镇住宅用地</x:v>
      </x:c>
      <x:c r="J2383" s="22" t="str">
        <x:v>居住功能</x:v>
      </x:c>
      <x:c r="K2383" s="32" t="str">
        <x:v>202</x:v>
      </x:c>
      <x:c r="L2383" s="22" t="str">
        <x:v>建制镇范围</x:v>
      </x:c>
      <x:c r="M2383" s="33" t="n">
        <x:v>6698250.240000001</x:v>
      </x:c>
      <x:c r="N2383" s="33" t="n">
        <x:v>669.8250240000001</x:v>
      </x:c>
      <x:c r="O2383" s="22" t="str">
        <x:v>公顷</x:v>
      </x:c>
      <x:c r="P2383" s="22" t="str">
        <x:v>未提供（单期横截面）</x:v>
      </x:c>
      <x:c r="Q2383" s="23" t="n">
        <x:v>5362</x:v>
      </x:c>
    </x:row>
    <x:row r="2384">
      <x:c r="A2384" s="30" t="n">
        <x:v>350600</x:v>
      </x:c>
      <x:c r="B2384" s="22" t="str">
        <x:v>漳州市</x:v>
      </x:c>
      <x:c r="C2384" s="31" t="n">
        <x:v>350624</x:v>
      </x:c>
      <x:c r="D2384" s="22" t="str">
        <x:v>诏安县</x:v>
      </x:c>
      <x:c r="E2384" s="22" t="str">
        <x:v>建设用地</x:v>
      </x:c>
      <x:c r="F2384" s="22" t="str">
        <x:v>公用设施用地</x:v>
      </x:c>
      <x:c r="G2384" s="32" t="str">
        <x:v>809</x:v>
      </x:c>
      <x:c r="H2384" s="32" t="str">
        <x:v>809</x:v>
      </x:c>
      <x:c r="I2384" s="22" t="str">
        <x:v>公用设施用地</x:v>
      </x:c>
      <x:c r="J2384" s="22" t="str">
        <x:v>其他建设</x:v>
      </x:c>
      <x:c r="K2384" s="32" t="str">
        <x:v>202</x:v>
      </x:c>
      <x:c r="L2384" s="22" t="str">
        <x:v>建制镇范围</x:v>
      </x:c>
      <x:c r="M2384" s="33" t="n">
        <x:v>37874.97</x:v>
      </x:c>
      <x:c r="N2384" s="33" t="n">
        <x:v>3.787497</x:v>
      </x:c>
      <x:c r="O2384" s="22" t="str">
        <x:v>公顷</x:v>
      </x:c>
      <x:c r="P2384" s="22" t="str">
        <x:v>未提供（单期横截面）</x:v>
      </x:c>
      <x:c r="Q2384" s="23" t="n">
        <x:v>5363</x:v>
      </x:c>
    </x:row>
    <x:row r="2385">
      <x:c r="A2385" s="30" t="n">
        <x:v>350600</x:v>
      </x:c>
      <x:c r="B2385" s="22" t="str">
        <x:v>漳州市</x:v>
      </x:c>
      <x:c r="C2385" s="31" t="n">
        <x:v>350624</x:v>
      </x:c>
      <x:c r="D2385" s="22" t="str">
        <x:v>诏安县</x:v>
      </x:c>
      <x:c r="E2385" s="22" t="str">
        <x:v>建设用地</x:v>
      </x:c>
      <x:c r="F2385" s="22" t="str">
        <x:v>绿地与广场用地</x:v>
      </x:c>
      <x:c r="G2385" s="32" t="str">
        <x:v>810</x:v>
      </x:c>
      <x:c r="H2385" s="32" t="str">
        <x:v>810</x:v>
      </x:c>
      <x:c r="I2385" s="22" t="str">
        <x:v>公园与绿地</x:v>
      </x:c>
      <x:c r="J2385" s="22" t="str">
        <x:v>公共空间</x:v>
      </x:c>
      <x:c r="K2385" s="32" t="str">
        <x:v>202</x:v>
      </x:c>
      <x:c r="L2385" s="22" t="str">
        <x:v>建制镇范围</x:v>
      </x:c>
      <x:c r="M2385" s="33" t="n">
        <x:v>127007.52</x:v>
      </x:c>
      <x:c r="N2385" s="33" t="n">
        <x:v>12.700752</x:v>
      </x:c>
      <x:c r="O2385" s="22" t="str">
        <x:v>公顷</x:v>
      </x:c>
      <x:c r="P2385" s="22" t="str">
        <x:v>未提供（单期横截面）</x:v>
      </x:c>
      <x:c r="Q2385" s="23" t="n">
        <x:v>5364</x:v>
      </x:c>
    </x:row>
    <x:row r="2386">
      <x:c r="A2386" s="30" t="n">
        <x:v>350600</x:v>
      </x:c>
      <x:c r="B2386" s="22" t="str">
        <x:v>漳州市</x:v>
      </x:c>
      <x:c r="C2386" s="31" t="n">
        <x:v>350624</x:v>
      </x:c>
      <x:c r="D2386" s="22" t="str">
        <x:v>诏安县</x:v>
      </x:c>
      <x:c r="E2386" s="22" t="str">
        <x:v>建设用地</x:v>
      </x:c>
      <x:c r="F2386" s="22" t="str">
        <x:v>绿地与广场用地</x:v>
      </x:c>
      <x:c r="G2386" s="32" t="str">
        <x:v>0810A</x:v>
      </x:c>
      <x:c r="H2386" s="32" t="str">
        <x:v>0810</x:v>
      </x:c>
      <x:c r="I2386" s="22" t="str">
        <x:v>广场用地</x:v>
      </x:c>
      <x:c r="J2386" s="22" t="str">
        <x:v>公共空间</x:v>
      </x:c>
      <x:c r="K2386" s="32" t="str">
        <x:v>202</x:v>
      </x:c>
      <x:c r="L2386" s="22" t="str">
        <x:v>建制镇范围</x:v>
      </x:c>
      <x:c r="M2386" s="33" t="n">
        <x:v>20711.93</x:v>
      </x:c>
      <x:c r="N2386" s="33" t="n">
        <x:v>2.071193</x:v>
      </x:c>
      <x:c r="O2386" s="22" t="str">
        <x:v>公顷</x:v>
      </x:c>
      <x:c r="P2386" s="22" t="str">
        <x:v>未提供（单期横截面）</x:v>
      </x:c>
      <x:c r="Q2386" s="23" t="n">
        <x:v>5365</x:v>
      </x:c>
    </x:row>
    <x:row r="2387">
      <x:c r="A2387" s="30" t="n">
        <x:v>350600</x:v>
      </x:c>
      <x:c r="B2387" s="22" t="str">
        <x:v>漳州市</x:v>
      </x:c>
      <x:c r="C2387" s="31" t="n">
        <x:v>350624</x:v>
      </x:c>
      <x:c r="D2387" s="22" t="str">
        <x:v>诏安县</x:v>
      </x:c>
      <x:c r="E2387" s="22" t="str">
        <x:v>建设用地</x:v>
      </x:c>
      <x:c r="F2387" s="22" t="str">
        <x:v>公共管理与公共服务用地</x:v>
      </x:c>
      <x:c r="G2387" s="32" t="str">
        <x:v>08H1</x:v>
      </x:c>
      <x:c r="H2387" s="32" t="str">
        <x:v>08H1</x:v>
      </x:c>
      <x:c r="I2387" s="22" t="str">
        <x:v>机关团体新闻出版用地</x:v>
      </x:c>
      <x:c r="J2387" s="22" t="str">
        <x:v>公共服务</x:v>
      </x:c>
      <x:c r="K2387" s="32" t="str">
        <x:v>202</x:v>
      </x:c>
      <x:c r="L2387" s="22" t="str">
        <x:v>建制镇范围</x:v>
      </x:c>
      <x:c r="M2387" s="33" t="n">
        <x:v>331292.1199999999</x:v>
      </x:c>
      <x:c r="N2387" s="33" t="n">
        <x:v>33.12921199999999</x:v>
      </x:c>
      <x:c r="O2387" s="22" t="str">
        <x:v>公顷</x:v>
      </x:c>
      <x:c r="P2387" s="22" t="str">
        <x:v>未提供（单期横截面）</x:v>
      </x:c>
      <x:c r="Q2387" s="23" t="n">
        <x:v>5366</x:v>
      </x:c>
    </x:row>
    <x:row r="2388">
      <x:c r="A2388" s="30" t="n">
        <x:v>350600</x:v>
      </x:c>
      <x:c r="B2388" s="22" t="str">
        <x:v>漳州市</x:v>
      </x:c>
      <x:c r="C2388" s="31" t="n">
        <x:v>350624</x:v>
      </x:c>
      <x:c r="D2388" s="22" t="str">
        <x:v>诏安县</x:v>
      </x:c>
      <x:c r="E2388" s="22" t="str">
        <x:v>建设用地</x:v>
      </x:c>
      <x:c r="F2388" s="22" t="str">
        <x:v>公共管理与公共服务用地</x:v>
      </x:c>
      <x:c r="G2388" s="32" t="str">
        <x:v>08H2</x:v>
      </x:c>
      <x:c r="H2388" s="32" t="str">
        <x:v>08H2</x:v>
      </x:c>
      <x:c r="I2388" s="22" t="str">
        <x:v>科教文卫用地</x:v>
      </x:c>
      <x:c r="J2388" s="22" t="str">
        <x:v>公共服务</x:v>
      </x:c>
      <x:c r="K2388" s="32" t="str">
        <x:v>202</x:v>
      </x:c>
      <x:c r="L2388" s="22" t="str">
        <x:v>建制镇范围</x:v>
      </x:c>
      <x:c r="M2388" s="33" t="n">
        <x:v>788698.6199999996</x:v>
      </x:c>
      <x:c r="N2388" s="33" t="n">
        <x:v>78.86986199999997</x:v>
      </x:c>
      <x:c r="O2388" s="22" t="str">
        <x:v>公顷</x:v>
      </x:c>
      <x:c r="P2388" s="22" t="str">
        <x:v>未提供（单期横截面）</x:v>
      </x:c>
      <x:c r="Q2388" s="23" t="n">
        <x:v>5367</x:v>
      </x:c>
    </x:row>
    <x:row r="2389">
      <x:c r="A2389" s="30" t="n">
        <x:v>350600</x:v>
      </x:c>
      <x:c r="B2389" s="22" t="str">
        <x:v>漳州市</x:v>
      </x:c>
      <x:c r="C2389" s="31" t="n">
        <x:v>350624</x:v>
      </x:c>
      <x:c r="D2389" s="22" t="str">
        <x:v>诏安县</x:v>
      </x:c>
      <x:c r="E2389" s="22" t="str">
        <x:v>建设用地</x:v>
      </x:c>
      <x:c r="F2389" s="22" t="str">
        <x:v>特殊用地</x:v>
      </x:c>
      <x:c r="G2389" s="32" t="str">
        <x:v>9</x:v>
      </x:c>
      <x:c r="H2389" s="32" t="str">
        <x:v>9</x:v>
      </x:c>
      <x:c r="I2389" s="22" t="str">
        <x:v>特殊用地</x:v>
      </x:c>
      <x:c r="J2389" s="22" t="str">
        <x:v>其他建设</x:v>
      </x:c>
      <x:c r="K2389" s="32" t="str">
        <x:v>202</x:v>
      </x:c>
      <x:c r="L2389" s="22" t="str">
        <x:v>建制镇范围</x:v>
      </x:c>
      <x:c r="M2389" s="33" t="n">
        <x:v>24288.82</x:v>
      </x:c>
      <x:c r="N2389" s="33" t="n">
        <x:v>2.4288819999999998</x:v>
      </x:c>
      <x:c r="O2389" s="22" t="str">
        <x:v>公顷</x:v>
      </x:c>
      <x:c r="P2389" s="22" t="str">
        <x:v>未提供（单期横截面）</x:v>
      </x:c>
      <x:c r="Q2389" s="23" t="n">
        <x:v>5368</x:v>
      </x:c>
    </x:row>
    <x:row r="2390">
      <x:c r="A2390" s="30" t="n">
        <x:v>350600</x:v>
      </x:c>
      <x:c r="B2390" s="22" t="str">
        <x:v>漳州市</x:v>
      </x:c>
      <x:c r="C2390" s="31" t="n">
        <x:v>350624</x:v>
      </x:c>
      <x:c r="D2390" s="22" t="str">
        <x:v>诏安县</x:v>
      </x:c>
      <x:c r="E2390" s="22" t="str">
        <x:v>建设用地</x:v>
      </x:c>
      <x:c r="F2390" s="22" t="str">
        <x:v>交通运输用地</x:v>
      </x:c>
      <x:c r="G2390" s="32" t="str">
        <x:v>1004</x:v>
      </x:c>
      <x:c r="H2390" s="32" t="str">
        <x:v>1004</x:v>
      </x:c>
      <x:c r="I2390" s="22" t="str">
        <x:v>城镇村道路用地</x:v>
      </x:c>
      <x:c r="J2390" s="22" t="str">
        <x:v>交通门户</x:v>
      </x:c>
      <x:c r="K2390" s="32" t="str">
        <x:v>202</x:v>
      </x:c>
      <x:c r="L2390" s="22" t="str">
        <x:v>建制镇范围</x:v>
      </x:c>
      <x:c r="M2390" s="33" t="n">
        <x:v>608928.0899999996</x:v>
      </x:c>
      <x:c r="N2390" s="33" t="n">
        <x:v>60.892808999999964</x:v>
      </x:c>
      <x:c r="O2390" s="22" t="str">
        <x:v>公顷</x:v>
      </x:c>
      <x:c r="P2390" s="22" t="str">
        <x:v>未提供（单期横截面）</x:v>
      </x:c>
      <x:c r="Q2390" s="23" t="n">
        <x:v>5369</x:v>
      </x:c>
    </x:row>
    <x:row r="2391">
      <x:c r="A2391" s="30" t="n">
        <x:v>350600</x:v>
      </x:c>
      <x:c r="B2391" s="22" t="str">
        <x:v>漳州市</x:v>
      </x:c>
      <x:c r="C2391" s="31" t="n">
        <x:v>350624</x:v>
      </x:c>
      <x:c r="D2391" s="22" t="str">
        <x:v>诏安县</x:v>
      </x:c>
      <x:c r="E2391" s="22" t="str">
        <x:v>建设用地</x:v>
      </x:c>
      <x:c r="F2391" s="22" t="str">
        <x:v>交通运输用地</x:v>
      </x:c>
      <x:c r="G2391" s="32" t="str">
        <x:v>1005</x:v>
      </x:c>
      <x:c r="H2391" s="32" t="str">
        <x:v>1005</x:v>
      </x:c>
      <x:c r="I2391" s="22" t="str">
        <x:v>交通服务场站用地</x:v>
      </x:c>
      <x:c r="J2391" s="22" t="str">
        <x:v>交通门户</x:v>
      </x:c>
      <x:c r="K2391" s="32" t="str">
        <x:v>202</x:v>
      </x:c>
      <x:c r="L2391" s="22" t="str">
        <x:v>建制镇范围</x:v>
      </x:c>
      <x:c r="M2391" s="33" t="n">
        <x:v>16421.670000000002</x:v>
      </x:c>
      <x:c r="N2391" s="33" t="n">
        <x:v>1.6421670000000002</x:v>
      </x:c>
      <x:c r="O2391" s="22" t="str">
        <x:v>公顷</x:v>
      </x:c>
      <x:c r="P2391" s="22" t="str">
        <x:v>未提供（单期横截面）</x:v>
      </x:c>
      <x:c r="Q2391" s="23" t="n">
        <x:v>5370</x:v>
      </x:c>
    </x:row>
    <x:row r="2392">
      <x:c r="A2392" s="30" t="n">
        <x:v>350600</x:v>
      </x:c>
      <x:c r="B2392" s="22" t="str">
        <x:v>漳州市</x:v>
      </x:c>
      <x:c r="C2392" s="31" t="n">
        <x:v>350624</x:v>
      </x:c>
      <x:c r="D2392" s="22" t="str">
        <x:v>诏安县</x:v>
      </x:c>
      <x:c r="E2392" s="22" t="str">
        <x:v>建设用地</x:v>
      </x:c>
      <x:c r="F2392" s="22" t="str">
        <x:v>其他建设用地</x:v>
      </x:c>
      <x:c r="G2392" s="32" t="str">
        <x:v>1201</x:v>
      </x:c>
      <x:c r="H2392" s="32" t="str">
        <x:v>1201</x:v>
      </x:c>
      <x:c r="I2392" s="22" t="str">
        <x:v>空闲地</x:v>
      </x:c>
      <x:c r="J2392" s="22" t="str">
        <x:v>其他建设</x:v>
      </x:c>
      <x:c r="K2392" s="32" t="str">
        <x:v>202</x:v>
      </x:c>
      <x:c r="L2392" s="22" t="str">
        <x:v>建制镇范围</x:v>
      </x:c>
      <x:c r="M2392" s="33" t="n">
        <x:v>14219.15</x:v>
      </x:c>
      <x:c r="N2392" s="33" t="n">
        <x:v>1.421915</x:v>
      </x:c>
      <x:c r="O2392" s="22" t="str">
        <x:v>公顷</x:v>
      </x:c>
      <x:c r="P2392" s="22" t="str">
        <x:v>未提供（单期横截面）</x:v>
      </x:c>
      <x:c r="Q2392" s="23" t="n">
        <x:v>5371</x:v>
      </x:c>
    </x:row>
    <x:row r="2393">
      <x:c r="A2393" s="30" t="n">
        <x:v>350600</x:v>
      </x:c>
      <x:c r="B2393" s="22" t="str">
        <x:v>漳州市</x:v>
      </x:c>
      <x:c r="C2393" s="31" t="n">
        <x:v>350624</x:v>
      </x:c>
      <x:c r="D2393" s="22" t="str">
        <x:v>诏安县</x:v>
      </x:c>
      <x:c r="E2393" s="22" t="str">
        <x:v>建设用地</x:v>
      </x:c>
      <x:c r="F2393" s="22" t="str">
        <x:v>工矿仓储用地</x:v>
      </x:c>
      <x:c r="G2393" s="32" t="str">
        <x:v>601</x:v>
      </x:c>
      <x:c r="H2393" s="32" t="str">
        <x:v>601</x:v>
      </x:c>
      <x:c r="I2393" s="22" t="str">
        <x:v>工业用地</x:v>
      </x:c>
      <x:c r="J2393" s="22" t="str">
        <x:v>产业功能</x:v>
      </x:c>
      <x:c r="K2393" s="32" t="str">
        <x:v>202A</x:v>
      </x:c>
      <x:c r="L2393" s="22" t="str">
        <x:v>建制镇独立工业用地</x:v>
      </x:c>
      <x:c r="M2393" s="33" t="n">
        <x:v>749631.9099999999</x:v>
      </x:c>
      <x:c r="N2393" s="33" t="n">
        <x:v>74.963191</x:v>
      </x:c>
      <x:c r="O2393" s="22" t="str">
        <x:v>公顷</x:v>
      </x:c>
      <x:c r="P2393" s="22" t="str">
        <x:v>未提供（单期横截面）</x:v>
      </x:c>
      <x:c r="Q2393" s="23" t="n">
        <x:v>5372</x:v>
      </x:c>
    </x:row>
    <x:row r="2394">
      <x:c r="A2394" s="30" t="n">
        <x:v>350600</x:v>
      </x:c>
      <x:c r="B2394" s="22" t="str">
        <x:v>漳州市</x:v>
      </x:c>
      <x:c r="C2394" s="31" t="n">
        <x:v>350624</x:v>
      </x:c>
      <x:c r="D2394" s="22" t="str">
        <x:v>诏安县</x:v>
      </x:c>
      <x:c r="E2394" s="22" t="str">
        <x:v>建设用地</x:v>
      </x:c>
      <x:c r="F2394" s="22" t="str">
        <x:v>工矿仓储用地</x:v>
      </x:c>
      <x:c r="G2394" s="32" t="str">
        <x:v>508</x:v>
      </x:c>
      <x:c r="H2394" s="32" t="str">
        <x:v>508</x:v>
      </x:c>
      <x:c r="I2394" s="22" t="str">
        <x:v>物流仓储用地</x:v>
      </x:c>
      <x:c r="J2394" s="22" t="str">
        <x:v>产业功能</x:v>
      </x:c>
      <x:c r="K2394" s="32" t="str">
        <x:v>203</x:v>
      </x:c>
      <x:c r="L2394" s="22" t="str">
        <x:v>村庄范围</x:v>
      </x:c>
      <x:c r="M2394" s="33" t="n">
        <x:v>274054.05000000005</x:v>
      </x:c>
      <x:c r="N2394" s="33" t="n">
        <x:v>27.405405000000005</x:v>
      </x:c>
      <x:c r="O2394" s="22" t="str">
        <x:v>公顷</x:v>
      </x:c>
      <x:c r="P2394" s="22" t="str">
        <x:v>未提供（单期横截面）</x:v>
      </x:c>
      <x:c r="Q2394" s="23" t="n">
        <x:v>5373</x:v>
      </x:c>
    </x:row>
    <x:row r="2395">
      <x:c r="A2395" s="30" t="n">
        <x:v>350600</x:v>
      </x:c>
      <x:c r="B2395" s="22" t="str">
        <x:v>漳州市</x:v>
      </x:c>
      <x:c r="C2395" s="31" t="n">
        <x:v>350624</x:v>
      </x:c>
      <x:c r="D2395" s="22" t="str">
        <x:v>诏安县</x:v>
      </x:c>
      <x:c r="E2395" s="22" t="str">
        <x:v>建设用地</x:v>
      </x:c>
      <x:c r="F2395" s="22" t="str">
        <x:v>商业服务业用地</x:v>
      </x:c>
      <x:c r="G2395" s="32" t="str">
        <x:v>05H1</x:v>
      </x:c>
      <x:c r="H2395" s="32" t="str">
        <x:v>05H1</x:v>
      </x:c>
      <x:c r="I2395" s="22" t="str">
        <x:v>商业服务业设施用地</x:v>
      </x:c>
      <x:c r="J2395" s="22" t="str">
        <x:v>商业服务</x:v>
      </x:c>
      <x:c r="K2395" s="32" t="str">
        <x:v>203</x:v>
      </x:c>
      <x:c r="L2395" s="22" t="str">
        <x:v>村庄范围</x:v>
      </x:c>
      <x:c r="M2395" s="33" t="n">
        <x:v>556032.4000000004</x:v>
      </x:c>
      <x:c r="N2395" s="33" t="n">
        <x:v>55.603240000000035</x:v>
      </x:c>
      <x:c r="O2395" s="22" t="str">
        <x:v>公顷</x:v>
      </x:c>
      <x:c r="P2395" s="22" t="str">
        <x:v>未提供（单期横截面）</x:v>
      </x:c>
      <x:c r="Q2395" s="23" t="n">
        <x:v>5374</x:v>
      </x:c>
    </x:row>
    <x:row r="2396">
      <x:c r="A2396" s="30" t="n">
        <x:v>350600</x:v>
      </x:c>
      <x:c r="B2396" s="22" t="str">
        <x:v>漳州市</x:v>
      </x:c>
      <x:c r="C2396" s="31" t="n">
        <x:v>350624</x:v>
      </x:c>
      <x:c r="D2396" s="22" t="str">
        <x:v>诏安县</x:v>
      </x:c>
      <x:c r="E2396" s="22" t="str">
        <x:v>建设用地</x:v>
      </x:c>
      <x:c r="F2396" s="22" t="str">
        <x:v>工矿仓储用地</x:v>
      </x:c>
      <x:c r="G2396" s="32" t="str">
        <x:v>601</x:v>
      </x:c>
      <x:c r="H2396" s="32" t="str">
        <x:v>601</x:v>
      </x:c>
      <x:c r="I2396" s="22" t="str">
        <x:v>工业用地</x:v>
      </x:c>
      <x:c r="J2396" s="22" t="str">
        <x:v>产业功能</x:v>
      </x:c>
      <x:c r="K2396" s="32" t="str">
        <x:v>203</x:v>
      </x:c>
      <x:c r="L2396" s="22" t="str">
        <x:v>村庄范围</x:v>
      </x:c>
      <x:c r="M2396" s="33" t="n">
        <x:v>4641874.060000001</x:v>
      </x:c>
      <x:c r="N2396" s="33" t="n">
        <x:v>464.1874060000001</x:v>
      </x:c>
      <x:c r="O2396" s="22" t="str">
        <x:v>公顷</x:v>
      </x:c>
      <x:c r="P2396" s="22" t="str">
        <x:v>未提供（单期横截面）</x:v>
      </x:c>
      <x:c r="Q2396" s="23" t="n">
        <x:v>5375</x:v>
      </x:c>
    </x:row>
    <x:row r="2397">
      <x:c r="A2397" s="30" t="n">
        <x:v>350600</x:v>
      </x:c>
      <x:c r="B2397" s="22" t="str">
        <x:v>漳州市</x:v>
      </x:c>
      <x:c r="C2397" s="31" t="n">
        <x:v>350624</x:v>
      </x:c>
      <x:c r="D2397" s="22" t="str">
        <x:v>诏安县</x:v>
      </x:c>
      <x:c r="E2397" s="22" t="str">
        <x:v>建设用地</x:v>
      </x:c>
      <x:c r="F2397" s="22" t="str">
        <x:v>居住用地</x:v>
      </x:c>
      <x:c r="G2397" s="32" t="str">
        <x:v>702</x:v>
      </x:c>
      <x:c r="H2397" s="32" t="str">
        <x:v>702</x:v>
      </x:c>
      <x:c r="I2397" s="22" t="str">
        <x:v>农村宅基地</x:v>
      </x:c>
      <x:c r="J2397" s="22" t="str">
        <x:v>居住功能</x:v>
      </x:c>
      <x:c r="K2397" s="32" t="str">
        <x:v>203</x:v>
      </x:c>
      <x:c r="L2397" s="22" t="str">
        <x:v>村庄范围</x:v>
      </x:c>
      <x:c r="M2397" s="33" t="n">
        <x:v>38051806.93999991</x:v>
      </x:c>
      <x:c r="N2397" s="33" t="n">
        <x:v>3805.180693999991</x:v>
      </x:c>
      <x:c r="O2397" s="22" t="str">
        <x:v>公顷</x:v>
      </x:c>
      <x:c r="P2397" s="22" t="str">
        <x:v>未提供（单期横截面）</x:v>
      </x:c>
      <x:c r="Q2397" s="23" t="n">
        <x:v>5376</x:v>
      </x:c>
    </x:row>
    <x:row r="2398">
      <x:c r="A2398" s="30" t="n">
        <x:v>350600</x:v>
      </x:c>
      <x:c r="B2398" s="22" t="str">
        <x:v>漳州市</x:v>
      </x:c>
      <x:c r="C2398" s="31" t="n">
        <x:v>350624</x:v>
      </x:c>
      <x:c r="D2398" s="22" t="str">
        <x:v>诏安县</x:v>
      </x:c>
      <x:c r="E2398" s="22" t="str">
        <x:v>建设用地</x:v>
      </x:c>
      <x:c r="F2398" s="22" t="str">
        <x:v>公用设施用地</x:v>
      </x:c>
      <x:c r="G2398" s="32" t="str">
        <x:v>809</x:v>
      </x:c>
      <x:c r="H2398" s="32" t="str">
        <x:v>809</x:v>
      </x:c>
      <x:c r="I2398" s="22" t="str">
        <x:v>公用设施用地</x:v>
      </x:c>
      <x:c r="J2398" s="22" t="str">
        <x:v>其他建设</x:v>
      </x:c>
      <x:c r="K2398" s="32" t="str">
        <x:v>203</x:v>
      </x:c>
      <x:c r="L2398" s="22" t="str">
        <x:v>村庄范围</x:v>
      </x:c>
      <x:c r="M2398" s="33" t="n">
        <x:v>387443.09000000014</x:v>
      </x:c>
      <x:c r="N2398" s="33" t="n">
        <x:v>38.744309000000015</x:v>
      </x:c>
      <x:c r="O2398" s="22" t="str">
        <x:v>公顷</x:v>
      </x:c>
      <x:c r="P2398" s="22" t="str">
        <x:v>未提供（单期横截面）</x:v>
      </x:c>
      <x:c r="Q2398" s="23" t="n">
        <x:v>5377</x:v>
      </x:c>
    </x:row>
    <x:row r="2399">
      <x:c r="A2399" s="30" t="n">
        <x:v>350600</x:v>
      </x:c>
      <x:c r="B2399" s="22" t="str">
        <x:v>漳州市</x:v>
      </x:c>
      <x:c r="C2399" s="31" t="n">
        <x:v>350624</x:v>
      </x:c>
      <x:c r="D2399" s="22" t="str">
        <x:v>诏安县</x:v>
      </x:c>
      <x:c r="E2399" s="22" t="str">
        <x:v>建设用地</x:v>
      </x:c>
      <x:c r="F2399" s="22" t="str">
        <x:v>绿地与广场用地</x:v>
      </x:c>
      <x:c r="G2399" s="32" t="str">
        <x:v>810</x:v>
      </x:c>
      <x:c r="H2399" s="32" t="str">
        <x:v>810</x:v>
      </x:c>
      <x:c r="I2399" s="22" t="str">
        <x:v>公园与绿地</x:v>
      </x:c>
      <x:c r="J2399" s="22" t="str">
        <x:v>公共空间</x:v>
      </x:c>
      <x:c r="K2399" s="32" t="str">
        <x:v>203</x:v>
      </x:c>
      <x:c r="L2399" s="22" t="str">
        <x:v>村庄范围</x:v>
      </x:c>
      <x:c r="M2399" s="33" t="n">
        <x:v>721287.06</x:v>
      </x:c>
      <x:c r="N2399" s="33" t="n">
        <x:v>72.12870600000001</x:v>
      </x:c>
      <x:c r="O2399" s="22" t="str">
        <x:v>公顷</x:v>
      </x:c>
      <x:c r="P2399" s="22" t="str">
        <x:v>未提供（单期横截面）</x:v>
      </x:c>
      <x:c r="Q2399" s="23" t="n">
        <x:v>5378</x:v>
      </x:c>
    </x:row>
    <x:row r="2400">
      <x:c r="A2400" s="30" t="n">
        <x:v>350600</x:v>
      </x:c>
      <x:c r="B2400" s="22" t="str">
        <x:v>漳州市</x:v>
      </x:c>
      <x:c r="C2400" s="31" t="n">
        <x:v>350624</x:v>
      </x:c>
      <x:c r="D2400" s="22" t="str">
        <x:v>诏安县</x:v>
      </x:c>
      <x:c r="E2400" s="22" t="str">
        <x:v>建设用地</x:v>
      </x:c>
      <x:c r="F2400" s="22" t="str">
        <x:v>绿地与广场用地</x:v>
      </x:c>
      <x:c r="G2400" s="32" t="str">
        <x:v>0810A</x:v>
      </x:c>
      <x:c r="H2400" s="32" t="str">
        <x:v>0810</x:v>
      </x:c>
      <x:c r="I2400" s="22" t="str">
        <x:v>广场用地</x:v>
      </x:c>
      <x:c r="J2400" s="22" t="str">
        <x:v>公共空间</x:v>
      </x:c>
      <x:c r="K2400" s="32" t="str">
        <x:v>203</x:v>
      </x:c>
      <x:c r="L2400" s="22" t="str">
        <x:v>村庄范围</x:v>
      </x:c>
      <x:c r="M2400" s="33" t="n">
        <x:v>77711.75999999998</x:v>
      </x:c>
      <x:c r="N2400" s="33" t="n">
        <x:v>7.771175999999998</x:v>
      </x:c>
      <x:c r="O2400" s="22" t="str">
        <x:v>公顷</x:v>
      </x:c>
      <x:c r="P2400" s="22" t="str">
        <x:v>未提供（单期横截面）</x:v>
      </x:c>
      <x:c r="Q2400" s="23" t="n">
        <x:v>5379</x:v>
      </x:c>
    </x:row>
    <x:row r="2401">
      <x:c r="A2401" s="30" t="n">
        <x:v>350600</x:v>
      </x:c>
      <x:c r="B2401" s="22" t="str">
        <x:v>漳州市</x:v>
      </x:c>
      <x:c r="C2401" s="31" t="n">
        <x:v>350624</x:v>
      </x:c>
      <x:c r="D2401" s="22" t="str">
        <x:v>诏安县</x:v>
      </x:c>
      <x:c r="E2401" s="22" t="str">
        <x:v>建设用地</x:v>
      </x:c>
      <x:c r="F2401" s="22" t="str">
        <x:v>公共管理与公共服务用地</x:v>
      </x:c>
      <x:c r="G2401" s="32" t="str">
        <x:v>08H1</x:v>
      </x:c>
      <x:c r="H2401" s="32" t="str">
        <x:v>08H1</x:v>
      </x:c>
      <x:c r="I2401" s="22" t="str">
        <x:v>机关团体新闻出版用地</x:v>
      </x:c>
      <x:c r="J2401" s="22" t="str">
        <x:v>公共服务</x:v>
      </x:c>
      <x:c r="K2401" s="32" t="str">
        <x:v>203</x:v>
      </x:c>
      <x:c r="L2401" s="22" t="str">
        <x:v>村庄范围</x:v>
      </x:c>
      <x:c r="M2401" s="33" t="n">
        <x:v>500156.25</x:v>
      </x:c>
      <x:c r="N2401" s="33" t="n">
        <x:v>50.015625</x:v>
      </x:c>
      <x:c r="O2401" s="22" t="str">
        <x:v>公顷</x:v>
      </x:c>
      <x:c r="P2401" s="22" t="str">
        <x:v>未提供（单期横截面）</x:v>
      </x:c>
      <x:c r="Q2401" s="23" t="n">
        <x:v>5380</x:v>
      </x:c>
    </x:row>
    <x:row r="2402">
      <x:c r="A2402" s="30" t="n">
        <x:v>350600</x:v>
      </x:c>
      <x:c r="B2402" s="22" t="str">
        <x:v>漳州市</x:v>
      </x:c>
      <x:c r="C2402" s="31" t="n">
        <x:v>350624</x:v>
      </x:c>
      <x:c r="D2402" s="22" t="str">
        <x:v>诏安县</x:v>
      </x:c>
      <x:c r="E2402" s="22" t="str">
        <x:v>建设用地</x:v>
      </x:c>
      <x:c r="F2402" s="22" t="str">
        <x:v>公共管理与公共服务用地</x:v>
      </x:c>
      <x:c r="G2402" s="32" t="str">
        <x:v>08H2</x:v>
      </x:c>
      <x:c r="H2402" s="32" t="str">
        <x:v>08H2</x:v>
      </x:c>
      <x:c r="I2402" s="22" t="str">
        <x:v>科教文卫用地</x:v>
      </x:c>
      <x:c r="J2402" s="22" t="str">
        <x:v>公共服务</x:v>
      </x:c>
      <x:c r="K2402" s="32" t="str">
        <x:v>203</x:v>
      </x:c>
      <x:c r="L2402" s="22" t="str">
        <x:v>村庄范围</x:v>
      </x:c>
      <x:c r="M2402" s="33" t="n">
        <x:v>1535170.3799999987</x:v>
      </x:c>
      <x:c r="N2402" s="33" t="n">
        <x:v>153.51703799999987</x:v>
      </x:c>
      <x:c r="O2402" s="22" t="str">
        <x:v>公顷</x:v>
      </x:c>
      <x:c r="P2402" s="22" t="str">
        <x:v>未提供（单期横截面）</x:v>
      </x:c>
      <x:c r="Q2402" s="23" t="n">
        <x:v>5381</x:v>
      </x:c>
    </x:row>
    <x:row r="2403">
      <x:c r="A2403" s="30" t="n">
        <x:v>350600</x:v>
      </x:c>
      <x:c r="B2403" s="22" t="str">
        <x:v>漳州市</x:v>
      </x:c>
      <x:c r="C2403" s="31" t="n">
        <x:v>350624</x:v>
      </x:c>
      <x:c r="D2403" s="22" t="str">
        <x:v>诏安县</x:v>
      </x:c>
      <x:c r="E2403" s="22" t="str">
        <x:v>建设用地</x:v>
      </x:c>
      <x:c r="F2403" s="22" t="str">
        <x:v>特殊用地</x:v>
      </x:c>
      <x:c r="G2403" s="32" t="str">
        <x:v>9</x:v>
      </x:c>
      <x:c r="H2403" s="32" t="str">
        <x:v>9</x:v>
      </x:c>
      <x:c r="I2403" s="22" t="str">
        <x:v>特殊用地</x:v>
      </x:c>
      <x:c r="J2403" s="22" t="str">
        <x:v>其他建设</x:v>
      </x:c>
      <x:c r="K2403" s="32" t="str">
        <x:v>203</x:v>
      </x:c>
      <x:c r="L2403" s="22" t="str">
        <x:v>村庄范围</x:v>
      </x:c>
      <x:c r="M2403" s="33" t="n">
        <x:v>213329.75</x:v>
      </x:c>
      <x:c r="N2403" s="33" t="n">
        <x:v>21.332975</x:v>
      </x:c>
      <x:c r="O2403" s="22" t="str">
        <x:v>公顷</x:v>
      </x:c>
      <x:c r="P2403" s="22" t="str">
        <x:v>未提供（单期横截面）</x:v>
      </x:c>
      <x:c r="Q2403" s="23" t="n">
        <x:v>5382</x:v>
      </x:c>
    </x:row>
    <x:row r="2404">
      <x:c r="A2404" s="30" t="n">
        <x:v>350600</x:v>
      </x:c>
      <x:c r="B2404" s="22" t="str">
        <x:v>漳州市</x:v>
      </x:c>
      <x:c r="C2404" s="31" t="n">
        <x:v>350624</x:v>
      </x:c>
      <x:c r="D2404" s="22" t="str">
        <x:v>诏安县</x:v>
      </x:c>
      <x:c r="E2404" s="22" t="str">
        <x:v>建设用地</x:v>
      </x:c>
      <x:c r="F2404" s="22" t="str">
        <x:v>交通运输用地</x:v>
      </x:c>
      <x:c r="G2404" s="32" t="str">
        <x:v>1004</x:v>
      </x:c>
      <x:c r="H2404" s="32" t="str">
        <x:v>1004</x:v>
      </x:c>
      <x:c r="I2404" s="22" t="str">
        <x:v>城镇村道路用地</x:v>
      </x:c>
      <x:c r="J2404" s="22" t="str">
        <x:v>交通门户</x:v>
      </x:c>
      <x:c r="K2404" s="32" t="str">
        <x:v>203</x:v>
      </x:c>
      <x:c r="L2404" s="22" t="str">
        <x:v>村庄范围</x:v>
      </x:c>
      <x:c r="M2404" s="33" t="n">
        <x:v>971339.7799999998</x:v>
      </x:c>
      <x:c r="N2404" s="33" t="n">
        <x:v>97.13397799999998</x:v>
      </x:c>
      <x:c r="O2404" s="22" t="str">
        <x:v>公顷</x:v>
      </x:c>
      <x:c r="P2404" s="22" t="str">
        <x:v>未提供（单期横截面）</x:v>
      </x:c>
      <x:c r="Q2404" s="23" t="n">
        <x:v>5383</x:v>
      </x:c>
    </x:row>
    <x:row r="2405">
      <x:c r="A2405" s="30" t="n">
        <x:v>350600</x:v>
      </x:c>
      <x:c r="B2405" s="22" t="str">
        <x:v>漳州市</x:v>
      </x:c>
      <x:c r="C2405" s="31" t="n">
        <x:v>350624</x:v>
      </x:c>
      <x:c r="D2405" s="22" t="str">
        <x:v>诏安县</x:v>
      </x:c>
      <x:c r="E2405" s="22" t="str">
        <x:v>建设用地</x:v>
      </x:c>
      <x:c r="F2405" s="22" t="str">
        <x:v>交通运输用地</x:v>
      </x:c>
      <x:c r="G2405" s="32" t="str">
        <x:v>1005</x:v>
      </x:c>
      <x:c r="H2405" s="32" t="str">
        <x:v>1005</x:v>
      </x:c>
      <x:c r="I2405" s="22" t="str">
        <x:v>交通服务场站用地</x:v>
      </x:c>
      <x:c r="J2405" s="22" t="str">
        <x:v>交通门户</x:v>
      </x:c>
      <x:c r="K2405" s="32" t="str">
        <x:v>203</x:v>
      </x:c>
      <x:c r="L2405" s="22" t="str">
        <x:v>村庄范围</x:v>
      </x:c>
      <x:c r="M2405" s="33" t="n">
        <x:v>205245.75999999998</x:v>
      </x:c>
      <x:c r="N2405" s="33" t="n">
        <x:v>20.524576</x:v>
      </x:c>
      <x:c r="O2405" s="22" t="str">
        <x:v>公顷</x:v>
      </x:c>
      <x:c r="P2405" s="22" t="str">
        <x:v>未提供（单期横截面）</x:v>
      </x:c>
      <x:c r="Q2405" s="23" t="n">
        <x:v>5384</x:v>
      </x:c>
    </x:row>
    <x:row r="2406">
      <x:c r="A2406" s="30" t="n">
        <x:v>350600</x:v>
      </x:c>
      <x:c r="B2406" s="22" t="str">
        <x:v>漳州市</x:v>
      </x:c>
      <x:c r="C2406" s="31" t="n">
        <x:v>350624</x:v>
      </x:c>
      <x:c r="D2406" s="22" t="str">
        <x:v>诏安县</x:v>
      </x:c>
      <x:c r="E2406" s="22" t="str">
        <x:v>建设用地</x:v>
      </x:c>
      <x:c r="F2406" s="22" t="str">
        <x:v>水域及水利设施</x:v>
      </x:c>
      <x:c r="G2406" s="32" t="str">
        <x:v>1109</x:v>
      </x:c>
      <x:c r="H2406" s="32" t="str">
        <x:v>1109</x:v>
      </x:c>
      <x:c r="I2406" s="22" t="str">
        <x:v>水工建筑用地</x:v>
      </x:c>
      <x:c r="J2406" s="22" t="str">
        <x:v>其他建设</x:v>
      </x:c>
      <x:c r="K2406" s="32" t="str">
        <x:v>203</x:v>
      </x:c>
      <x:c r="L2406" s="22" t="str">
        <x:v>村庄范围</x:v>
      </x:c>
      <x:c r="M2406" s="33" t="n">
        <x:v>340.78</x:v>
      </x:c>
      <x:c r="N2406" s="33" t="n">
        <x:v>0.034078</x:v>
      </x:c>
      <x:c r="O2406" s="22" t="str">
        <x:v>公顷</x:v>
      </x:c>
      <x:c r="P2406" s="22" t="str">
        <x:v>未提供（单期横截面）</x:v>
      </x:c>
      <x:c r="Q2406" s="23" t="n">
        <x:v>5385</x:v>
      </x:c>
    </x:row>
    <x:row r="2407">
      <x:c r="A2407" s="30" t="n">
        <x:v>350600</x:v>
      </x:c>
      <x:c r="B2407" s="22" t="str">
        <x:v>漳州市</x:v>
      </x:c>
      <x:c r="C2407" s="31" t="n">
        <x:v>350624</x:v>
      </x:c>
      <x:c r="D2407" s="22" t="str">
        <x:v>诏安县</x:v>
      </x:c>
      <x:c r="E2407" s="22" t="str">
        <x:v>建设用地</x:v>
      </x:c>
      <x:c r="F2407" s="22" t="str">
        <x:v>其他建设用地</x:v>
      </x:c>
      <x:c r="G2407" s="32" t="str">
        <x:v>1201</x:v>
      </x:c>
      <x:c r="H2407" s="32" t="str">
        <x:v>1201</x:v>
      </x:c>
      <x:c r="I2407" s="22" t="str">
        <x:v>空闲地</x:v>
      </x:c>
      <x:c r="J2407" s="22" t="str">
        <x:v>其他建设</x:v>
      </x:c>
      <x:c r="K2407" s="32" t="str">
        <x:v>203</x:v>
      </x:c>
      <x:c r="L2407" s="22" t="str">
        <x:v>村庄范围</x:v>
      </x:c>
      <x:c r="M2407" s="33" t="n">
        <x:v>16141.38</x:v>
      </x:c>
      <x:c r="N2407" s="33" t="n">
        <x:v>1.6141379999999999</x:v>
      </x:c>
      <x:c r="O2407" s="22" t="str">
        <x:v>公顷</x:v>
      </x:c>
      <x:c r="P2407" s="22" t="str">
        <x:v>未提供（单期横截面）</x:v>
      </x:c>
      <x:c r="Q2407" s="23" t="n">
        <x:v>5386</x:v>
      </x:c>
    </x:row>
    <x:row r="2408">
      <x:c r="A2408" s="30" t="n">
        <x:v>350600</x:v>
      </x:c>
      <x:c r="B2408" s="22" t="str">
        <x:v>漳州市</x:v>
      </x:c>
      <x:c r="C2408" s="31" t="n">
        <x:v>350624</x:v>
      </x:c>
      <x:c r="D2408" s="22" t="str">
        <x:v>诏安县</x:v>
      </x:c>
      <x:c r="E2408" s="22" t="str">
        <x:v>建设用地</x:v>
      </x:c>
      <x:c r="F2408" s="22" t="str">
        <x:v>工矿仓储用地</x:v>
      </x:c>
      <x:c r="G2408" s="32" t="str">
        <x:v>601</x:v>
      </x:c>
      <x:c r="H2408" s="32" t="str">
        <x:v>601</x:v>
      </x:c>
      <x:c r="I2408" s="22" t="str">
        <x:v>工业用地</x:v>
      </x:c>
      <x:c r="J2408" s="22" t="str">
        <x:v>产业功能</x:v>
      </x:c>
      <x:c r="K2408" s="32" t="str">
        <x:v>203A</x:v>
      </x:c>
      <x:c r="L2408" s="22" t="str">
        <x:v>村庄独立工业用地</x:v>
      </x:c>
      <x:c r="M2408" s="33" t="n">
        <x:v>2280787.58</x:v>
      </x:c>
      <x:c r="N2408" s="33" t="n">
        <x:v>228.078758</x:v>
      </x:c>
      <x:c r="O2408" s="22" t="str">
        <x:v>公顷</x:v>
      </x:c>
      <x:c r="P2408" s="22" t="str">
        <x:v>未提供（单期横截面）</x:v>
      </x:c>
      <x:c r="Q2408" s="23" t="n">
        <x:v>5387</x:v>
      </x:c>
    </x:row>
    <x:row r="2409">
      <x:c r="A2409" s="30" t="n">
        <x:v>350600</x:v>
      </x:c>
      <x:c r="B2409" s="22" t="str">
        <x:v>漳州市</x:v>
      </x:c>
      <x:c r="C2409" s="31" t="n">
        <x:v>350624</x:v>
      </x:c>
      <x:c r="D2409" s="22" t="str">
        <x:v>诏安县</x:v>
      </x:c>
      <x:c r="E2409" s="22" t="str">
        <x:v>建设用地</x:v>
      </x:c>
      <x:c r="F2409" s="22" t="str">
        <x:v>工矿仓储用地</x:v>
      </x:c>
      <x:c r="G2409" s="32" t="str">
        <x:v>602</x:v>
      </x:c>
      <x:c r="H2409" s="32" t="str">
        <x:v>602</x:v>
      </x:c>
      <x:c r="I2409" s="22" t="str">
        <x:v>采矿用地</x:v>
      </x:c>
      <x:c r="J2409" s="22" t="str">
        <x:v>产业功能</x:v>
      </x:c>
      <x:c r="K2409" s="32" t="str">
        <x:v>204</x:v>
      </x:c>
      <x:c r="L2409" s="22" t="str">
        <x:v>盐田及采矿用地</x:v>
      </x:c>
      <x:c r="M2409" s="33" t="n">
        <x:v>3842063.8699999982</x:v>
      </x:c>
      <x:c r="N2409" s="33" t="n">
        <x:v>384.20638699999984</x:v>
      </x:c>
      <x:c r="O2409" s="22" t="str">
        <x:v>公顷</x:v>
      </x:c>
      <x:c r="P2409" s="22" t="str">
        <x:v>未提供（单期横截面）</x:v>
      </x:c>
      <x:c r="Q2409" s="23" t="n">
        <x:v>5388</x:v>
      </x:c>
    </x:row>
    <x:row r="2410">
      <x:c r="A2410" s="30" t="n">
        <x:v>350600</x:v>
      </x:c>
      <x:c r="B2410" s="22" t="str">
        <x:v>漳州市</x:v>
      </x:c>
      <x:c r="C2410" s="31" t="n">
        <x:v>350624</x:v>
      </x:c>
      <x:c r="D2410" s="22" t="str">
        <x:v>诏安县</x:v>
      </x:c>
      <x:c r="E2410" s="22" t="str">
        <x:v>建设用地</x:v>
      </x:c>
      <x:c r="F2410" s="22" t="str">
        <x:v>特殊用地</x:v>
      </x:c>
      <x:c r="G2410" s="32" t="str">
        <x:v>9</x:v>
      </x:c>
      <x:c r="H2410" s="32" t="str">
        <x:v>9</x:v>
      </x:c>
      <x:c r="I2410" s="22" t="str">
        <x:v>特殊用地</x:v>
      </x:c>
      <x:c r="J2410" s="22" t="str">
        <x:v>其他建设</x:v>
      </x:c>
      <x:c r="K2410" s="32" t="str">
        <x:v>205</x:v>
      </x:c>
      <x:c r="L2410" s="22" t="str">
        <x:v>特殊用地</x:v>
      </x:c>
      <x:c r="M2410" s="33" t="n">
        <x:v>865546.4300000007</x:v>
      </x:c>
      <x:c r="N2410" s="33" t="n">
        <x:v>86.55464300000007</x:v>
      </x:c>
      <x:c r="O2410" s="22" t="str">
        <x:v>公顷</x:v>
      </x:c>
      <x:c r="P2410" s="22" t="str">
        <x:v>未提供（单期横截面）</x:v>
      </x:c>
      <x:c r="Q2410" s="23" t="n">
        <x:v>5389</x:v>
      </x:c>
    </x:row>
    <x:row r="2411">
      <x:c r="A2411" s="30" t="n">
        <x:v>350600</x:v>
      </x:c>
      <x:c r="B2411" s="22" t="str">
        <x:v>漳州市</x:v>
      </x:c>
      <x:c r="C2411" s="31" t="n">
        <x:v>350624</x:v>
      </x:c>
      <x:c r="D2411" s="22" t="str">
        <x:v>诏安县</x:v>
      </x:c>
      <x:c r="E2411" s="22" t="str">
        <x:v>农用地</x:v>
      </x:c>
      <x:c r="F2411" s="22" t="str">
        <x:v>耕地</x:v>
      </x:c>
      <x:c r="G2411" s="32" t="str">
        <x:v>101</x:v>
      </x:c>
      <x:c r="H2411" s="32" t="str">
        <x:v>101</x:v>
      </x:c>
      <x:c r="I2411" s="22" t="str">
        <x:v>水田</x:v>
      </x:c>
      <x:c r="J2411" s="22" t="str">
        <x:v>农业生态</x:v>
      </x:c>
      <x:c r="K2411" s="32" t="str"/>
      <x:c r="L2411" s="22" t="str">
        <x:v>不适用/未标注</x:v>
      </x:c>
      <x:c r="M2411" s="33" t="n">
        <x:v>84461495.05000024</x:v>
      </x:c>
      <x:c r="N2411" s="33" t="n">
        <x:v>8446.149505000023</x:v>
      </x:c>
      <x:c r="O2411" s="22" t="str">
        <x:v>公顷</x:v>
      </x:c>
      <x:c r="P2411" s="22" t="str">
        <x:v>未提供（单期横截面）</x:v>
      </x:c>
      <x:c r="Q2411" s="23" t="n">
        <x:v>5390</x:v>
      </x:c>
    </x:row>
    <x:row r="2412">
      <x:c r="A2412" s="30" t="n">
        <x:v>350600</x:v>
      </x:c>
      <x:c r="B2412" s="22" t="str">
        <x:v>漳州市</x:v>
      </x:c>
      <x:c r="C2412" s="31" t="n">
        <x:v>350624</x:v>
      </x:c>
      <x:c r="D2412" s="22" t="str">
        <x:v>诏安县</x:v>
      </x:c>
      <x:c r="E2412" s="22" t="str">
        <x:v>农用地</x:v>
      </x:c>
      <x:c r="F2412" s="22" t="str">
        <x:v>耕地</x:v>
      </x:c>
      <x:c r="G2412" s="32" t="str">
        <x:v>102</x:v>
      </x:c>
      <x:c r="H2412" s="32" t="str">
        <x:v>102</x:v>
      </x:c>
      <x:c r="I2412" s="22" t="str">
        <x:v>水浇地</x:v>
      </x:c>
      <x:c r="J2412" s="22" t="str">
        <x:v>农业生态</x:v>
      </x:c>
      <x:c r="K2412" s="32" t="str"/>
      <x:c r="L2412" s="22" t="str">
        <x:v>不适用/未标注</x:v>
      </x:c>
      <x:c r="M2412" s="33" t="n">
        <x:v>3298668.6700000004</x:v>
      </x:c>
      <x:c r="N2412" s="33" t="n">
        <x:v>329.866867</x:v>
      </x:c>
      <x:c r="O2412" s="22" t="str">
        <x:v>公顷</x:v>
      </x:c>
      <x:c r="P2412" s="22" t="str">
        <x:v>未提供（单期横截面）</x:v>
      </x:c>
      <x:c r="Q2412" s="23" t="n">
        <x:v>5391</x:v>
      </x:c>
    </x:row>
    <x:row r="2413">
      <x:c r="A2413" s="30" t="n">
        <x:v>350600</x:v>
      </x:c>
      <x:c r="B2413" s="22" t="str">
        <x:v>漳州市</x:v>
      </x:c>
      <x:c r="C2413" s="31" t="n">
        <x:v>350624</x:v>
      </x:c>
      <x:c r="D2413" s="22" t="str">
        <x:v>诏安县</x:v>
      </x:c>
      <x:c r="E2413" s="22" t="str">
        <x:v>农用地</x:v>
      </x:c>
      <x:c r="F2413" s="22" t="str">
        <x:v>耕地</x:v>
      </x:c>
      <x:c r="G2413" s="32" t="str">
        <x:v>103</x:v>
      </x:c>
      <x:c r="H2413" s="32" t="str">
        <x:v>103</x:v>
      </x:c>
      <x:c r="I2413" s="22" t="str">
        <x:v>旱地</x:v>
      </x:c>
      <x:c r="J2413" s="22" t="str">
        <x:v>农业生态</x:v>
      </x:c>
      <x:c r="K2413" s="32" t="str"/>
      <x:c r="L2413" s="22" t="str">
        <x:v>不适用/未标注</x:v>
      </x:c>
      <x:c r="M2413" s="33" t="n">
        <x:v>16958777.830000002</x:v>
      </x:c>
      <x:c r="N2413" s="33" t="n">
        <x:v>1695.8777830000001</x:v>
      </x:c>
      <x:c r="O2413" s="22" t="str">
        <x:v>公顷</x:v>
      </x:c>
      <x:c r="P2413" s="22" t="str">
        <x:v>未提供（单期横截面）</x:v>
      </x:c>
      <x:c r="Q2413" s="23" t="n">
        <x:v>5392</x:v>
      </x:c>
    </x:row>
    <x:row r="2414">
      <x:c r="A2414" s="30" t="n">
        <x:v>350600</x:v>
      </x:c>
      <x:c r="B2414" s="22" t="str">
        <x:v>漳州市</x:v>
      </x:c>
      <x:c r="C2414" s="31" t="n">
        <x:v>350624</x:v>
      </x:c>
      <x:c r="D2414" s="22" t="str">
        <x:v>诏安县</x:v>
      </x:c>
      <x:c r="E2414" s="22" t="str">
        <x:v>农用地</x:v>
      </x:c>
      <x:c r="F2414" s="22" t="str">
        <x:v>园地</x:v>
      </x:c>
      <x:c r="G2414" s="32" t="str">
        <x:v>201</x:v>
      </x:c>
      <x:c r="H2414" s="32" t="str">
        <x:v>201</x:v>
      </x:c>
      <x:c r="I2414" s="22" t="str">
        <x:v>果园</x:v>
      </x:c>
      <x:c r="J2414" s="22" t="str">
        <x:v>农业生态</x:v>
      </x:c>
      <x:c r="K2414" s="32" t="str"/>
      <x:c r="L2414" s="22" t="str">
        <x:v>不适用/未标注</x:v>
      </x:c>
      <x:c r="M2414" s="33" t="n">
        <x:v>336004214.50000083</x:v>
      </x:c>
      <x:c r="N2414" s="33" t="n">
        <x:v>33600.42145000008</x:v>
      </x:c>
      <x:c r="O2414" s="22" t="str">
        <x:v>公顷</x:v>
      </x:c>
      <x:c r="P2414" s="22" t="str">
        <x:v>未提供（单期横截面）</x:v>
      </x:c>
      <x:c r="Q2414" s="23" t="n">
        <x:v>5393</x:v>
      </x:c>
    </x:row>
    <x:row r="2415">
      <x:c r="A2415" s="30" t="n">
        <x:v>350600</x:v>
      </x:c>
      <x:c r="B2415" s="22" t="str">
        <x:v>漳州市</x:v>
      </x:c>
      <x:c r="C2415" s="31" t="n">
        <x:v>350624</x:v>
      </x:c>
      <x:c r="D2415" s="22" t="str">
        <x:v>诏安县</x:v>
      </x:c>
      <x:c r="E2415" s="22" t="str">
        <x:v>农用地</x:v>
      </x:c>
      <x:c r="F2415" s="22" t="str">
        <x:v>园地</x:v>
      </x:c>
      <x:c r="G2415" s="32" t="str">
        <x:v>0201K</x:v>
      </x:c>
      <x:c r="H2415" s="32" t="str">
        <x:v>201</x:v>
      </x:c>
      <x:c r="I2415" s="22" t="str">
        <x:v>可调整果园</x:v>
      </x:c>
      <x:c r="J2415" s="22" t="str">
        <x:v>农业生态</x:v>
      </x:c>
      <x:c r="K2415" s="32" t="str"/>
      <x:c r="L2415" s="22" t="str">
        <x:v>不适用/未标注</x:v>
      </x:c>
      <x:c r="M2415" s="33" t="n">
        <x:v>30543918.35999999</x:v>
      </x:c>
      <x:c r="N2415" s="33" t="n">
        <x:v>3054.391835999999</x:v>
      </x:c>
      <x:c r="O2415" s="22" t="str">
        <x:v>公顷</x:v>
      </x:c>
      <x:c r="P2415" s="22" t="str">
        <x:v>未提供（单期横截面）</x:v>
      </x:c>
      <x:c r="Q2415" s="23" t="n">
        <x:v>5394</x:v>
      </x:c>
    </x:row>
    <x:row r="2416">
      <x:c r="A2416" s="30" t="n">
        <x:v>350600</x:v>
      </x:c>
      <x:c r="B2416" s="22" t="str">
        <x:v>漳州市</x:v>
      </x:c>
      <x:c r="C2416" s="31" t="n">
        <x:v>350624</x:v>
      </x:c>
      <x:c r="D2416" s="22" t="str">
        <x:v>诏安县</x:v>
      </x:c>
      <x:c r="E2416" s="22" t="str">
        <x:v>农用地</x:v>
      </x:c>
      <x:c r="F2416" s="22" t="str">
        <x:v>园地</x:v>
      </x:c>
      <x:c r="G2416" s="32" t="str">
        <x:v>202</x:v>
      </x:c>
      <x:c r="H2416" s="32" t="str">
        <x:v>202</x:v>
      </x:c>
      <x:c r="I2416" s="22" t="str">
        <x:v>茶园</x:v>
      </x:c>
      <x:c r="J2416" s="22" t="str">
        <x:v>农业生态</x:v>
      </x:c>
      <x:c r="K2416" s="32" t="str"/>
      <x:c r="L2416" s="22" t="str">
        <x:v>不适用/未标注</x:v>
      </x:c>
      <x:c r="M2416" s="33" t="n">
        <x:v>11317596.790000008</x:v>
      </x:c>
      <x:c r="N2416" s="33" t="n">
        <x:v>1131.759679000001</x:v>
      </x:c>
      <x:c r="O2416" s="22" t="str">
        <x:v>公顷</x:v>
      </x:c>
      <x:c r="P2416" s="22" t="str">
        <x:v>未提供（单期横截面）</x:v>
      </x:c>
      <x:c r="Q2416" s="23" t="n">
        <x:v>5395</x:v>
      </x:c>
    </x:row>
    <x:row r="2417">
      <x:c r="A2417" s="30" t="n">
        <x:v>350600</x:v>
      </x:c>
      <x:c r="B2417" s="22" t="str">
        <x:v>漳州市</x:v>
      </x:c>
      <x:c r="C2417" s="31" t="n">
        <x:v>350624</x:v>
      </x:c>
      <x:c r="D2417" s="22" t="str">
        <x:v>诏安县</x:v>
      </x:c>
      <x:c r="E2417" s="22" t="str">
        <x:v>农用地</x:v>
      </x:c>
      <x:c r="F2417" s="22" t="str">
        <x:v>园地</x:v>
      </x:c>
      <x:c r="G2417" s="32" t="str">
        <x:v>0202K</x:v>
      </x:c>
      <x:c r="H2417" s="32" t="str">
        <x:v>0202</x:v>
      </x:c>
      <x:c r="I2417" s="22" t="str">
        <x:v>可调整茶园</x:v>
      </x:c>
      <x:c r="J2417" s="22" t="str">
        <x:v>农业生态</x:v>
      </x:c>
      <x:c r="K2417" s="32" t="str"/>
      <x:c r="L2417" s="22" t="str">
        <x:v>不适用/未标注</x:v>
      </x:c>
      <x:c r="M2417" s="33" t="n">
        <x:v>149775.72</x:v>
      </x:c>
      <x:c r="N2417" s="33" t="n">
        <x:v>14.977572</x:v>
      </x:c>
      <x:c r="O2417" s="22" t="str">
        <x:v>公顷</x:v>
      </x:c>
      <x:c r="P2417" s="22" t="str">
        <x:v>未提供（单期横截面）</x:v>
      </x:c>
      <x:c r="Q2417" s="23" t="n">
        <x:v>5396</x:v>
      </x:c>
    </x:row>
    <x:row r="2418">
      <x:c r="A2418" s="30" t="n">
        <x:v>350600</x:v>
      </x:c>
      <x:c r="B2418" s="22" t="str">
        <x:v>漳州市</x:v>
      </x:c>
      <x:c r="C2418" s="31" t="n">
        <x:v>350624</x:v>
      </x:c>
      <x:c r="D2418" s="22" t="str">
        <x:v>诏安县</x:v>
      </x:c>
      <x:c r="E2418" s="22" t="str">
        <x:v>农用地</x:v>
      </x:c>
      <x:c r="F2418" s="22" t="str">
        <x:v>园地</x:v>
      </x:c>
      <x:c r="G2418" s="32" t="str">
        <x:v>204</x:v>
      </x:c>
      <x:c r="H2418" s="32" t="str">
        <x:v>204</x:v>
      </x:c>
      <x:c r="I2418" s="22" t="str">
        <x:v>其他园地</x:v>
      </x:c>
      <x:c r="J2418" s="22" t="str">
        <x:v>农业生态</x:v>
      </x:c>
      <x:c r="K2418" s="32" t="str"/>
      <x:c r="L2418" s="22" t="str">
        <x:v>不适用/未标注</x:v>
      </x:c>
      <x:c r="M2418" s="33" t="n">
        <x:v>1098591.1999999997</x:v>
      </x:c>
      <x:c r="N2418" s="33" t="n">
        <x:v>109.85911999999998</x:v>
      </x:c>
      <x:c r="O2418" s="22" t="str">
        <x:v>公顷</x:v>
      </x:c>
      <x:c r="P2418" s="22" t="str">
        <x:v>未提供（单期横截面）</x:v>
      </x:c>
      <x:c r="Q2418" s="23" t="n">
        <x:v>5397</x:v>
      </x:c>
    </x:row>
    <x:row r="2419">
      <x:c r="A2419" s="30" t="n">
        <x:v>350600</x:v>
      </x:c>
      <x:c r="B2419" s="22" t="str">
        <x:v>漳州市</x:v>
      </x:c>
      <x:c r="C2419" s="31" t="n">
        <x:v>350624</x:v>
      </x:c>
      <x:c r="D2419" s="22" t="str">
        <x:v>诏安县</x:v>
      </x:c>
      <x:c r="E2419" s="22" t="str">
        <x:v>农用地</x:v>
      </x:c>
      <x:c r="F2419" s="22" t="str">
        <x:v>林地</x:v>
      </x:c>
      <x:c r="G2419" s="32" t="str">
        <x:v>301</x:v>
      </x:c>
      <x:c r="H2419" s="32" t="str">
        <x:v>301</x:v>
      </x:c>
      <x:c r="I2419" s="22" t="str">
        <x:v>乔木林地</x:v>
      </x:c>
      <x:c r="J2419" s="22" t="str">
        <x:v>农业生态</x:v>
      </x:c>
      <x:c r="K2419" s="32" t="str"/>
      <x:c r="L2419" s="22" t="str">
        <x:v>不适用/未标注</x:v>
      </x:c>
      <x:c r="M2419" s="33" t="n">
        <x:v>510124049.37000054</x:v>
      </x:c>
      <x:c r="N2419" s="33" t="n">
        <x:v>51012.40493700006</x:v>
      </x:c>
      <x:c r="O2419" s="22" t="str">
        <x:v>公顷</x:v>
      </x:c>
      <x:c r="P2419" s="22" t="str">
        <x:v>未提供（单期横截面）</x:v>
      </x:c>
      <x:c r="Q2419" s="23" t="n">
        <x:v>5398</x:v>
      </x:c>
    </x:row>
    <x:row r="2420">
      <x:c r="A2420" s="30" t="n">
        <x:v>350600</x:v>
      </x:c>
      <x:c r="B2420" s="22" t="str">
        <x:v>漳州市</x:v>
      </x:c>
      <x:c r="C2420" s="31" t="n">
        <x:v>350624</x:v>
      </x:c>
      <x:c r="D2420" s="22" t="str">
        <x:v>诏安县</x:v>
      </x:c>
      <x:c r="E2420" s="22" t="str">
        <x:v>农用地</x:v>
      </x:c>
      <x:c r="F2420" s="22" t="str">
        <x:v>林地</x:v>
      </x:c>
      <x:c r="G2420" s="32" t="str">
        <x:v>302</x:v>
      </x:c>
      <x:c r="H2420" s="32" t="str">
        <x:v>302</x:v>
      </x:c>
      <x:c r="I2420" s="22" t="str">
        <x:v>竹林地</x:v>
      </x:c>
      <x:c r="J2420" s="22" t="str">
        <x:v>农业生态</x:v>
      </x:c>
      <x:c r="K2420" s="32" t="str"/>
      <x:c r="L2420" s="22" t="str">
        <x:v>不适用/未标注</x:v>
      </x:c>
      <x:c r="M2420" s="33" t="n">
        <x:v>7141712.959999979</x:v>
      </x:c>
      <x:c r="N2420" s="33" t="n">
        <x:v>714.1712959999978</x:v>
      </x:c>
      <x:c r="O2420" s="22" t="str">
        <x:v>公顷</x:v>
      </x:c>
      <x:c r="P2420" s="22" t="str">
        <x:v>未提供（单期横截面）</x:v>
      </x:c>
      <x:c r="Q2420" s="23" t="n">
        <x:v>5399</x:v>
      </x:c>
    </x:row>
    <x:row r="2421">
      <x:c r="A2421" s="30" t="n">
        <x:v>350600</x:v>
      </x:c>
      <x:c r="B2421" s="22" t="str">
        <x:v>漳州市</x:v>
      </x:c>
      <x:c r="C2421" s="31" t="n">
        <x:v>350624</x:v>
      </x:c>
      <x:c r="D2421" s="22" t="str">
        <x:v>诏安县</x:v>
      </x:c>
      <x:c r="E2421" s="22" t="str">
        <x:v>农用地</x:v>
      </x:c>
      <x:c r="F2421" s="22" t="str">
        <x:v>林地</x:v>
      </x:c>
      <x:c r="G2421" s="32" t="str">
        <x:v>305</x:v>
      </x:c>
      <x:c r="H2421" s="32" t="str">
        <x:v>305</x:v>
      </x:c>
      <x:c r="I2421" s="22" t="str">
        <x:v>灌木林地</x:v>
      </x:c>
      <x:c r="J2421" s="22" t="str">
        <x:v>农业生态</x:v>
      </x:c>
      <x:c r="K2421" s="32" t="str"/>
      <x:c r="L2421" s="22" t="str">
        <x:v>不适用/未标注</x:v>
      </x:c>
      <x:c r="M2421" s="33" t="n">
        <x:v>3743510.670000002</x:v>
      </x:c>
      <x:c r="N2421" s="33" t="n">
        <x:v>374.35106700000017</x:v>
      </x:c>
      <x:c r="O2421" s="22" t="str">
        <x:v>公顷</x:v>
      </x:c>
      <x:c r="P2421" s="22" t="str">
        <x:v>未提供（单期横截面）</x:v>
      </x:c>
      <x:c r="Q2421" s="23" t="n">
        <x:v>5400</x:v>
      </x:c>
    </x:row>
    <x:row r="2422">
      <x:c r="A2422" s="30" t="n">
        <x:v>350600</x:v>
      </x:c>
      <x:c r="B2422" s="22" t="str">
        <x:v>漳州市</x:v>
      </x:c>
      <x:c r="C2422" s="31" t="n">
        <x:v>350624</x:v>
      </x:c>
      <x:c r="D2422" s="22" t="str">
        <x:v>诏安县</x:v>
      </x:c>
      <x:c r="E2422" s="22" t="str">
        <x:v>农用地</x:v>
      </x:c>
      <x:c r="F2422" s="22" t="str">
        <x:v>林地</x:v>
      </x:c>
      <x:c r="G2422" s="32" t="str">
        <x:v>307</x:v>
      </x:c>
      <x:c r="H2422" s="32" t="str">
        <x:v>307</x:v>
      </x:c>
      <x:c r="I2422" s="22" t="str">
        <x:v>其他林地</x:v>
      </x:c>
      <x:c r="J2422" s="22" t="str">
        <x:v>农业生态</x:v>
      </x:c>
      <x:c r="K2422" s="32" t="str"/>
      <x:c r="L2422" s="22" t="str">
        <x:v>不适用/未标注</x:v>
      </x:c>
      <x:c r="M2422" s="33" t="n">
        <x:v>67711884.47000001</x:v>
      </x:c>
      <x:c r="N2422" s="33" t="n">
        <x:v>6771.188447000001</x:v>
      </x:c>
      <x:c r="O2422" s="22" t="str">
        <x:v>公顷</x:v>
      </x:c>
      <x:c r="P2422" s="22" t="str">
        <x:v>未提供（单期横截面）</x:v>
      </x:c>
      <x:c r="Q2422" s="23" t="n">
        <x:v>5401</x:v>
      </x:c>
    </x:row>
    <x:row r="2423">
      <x:c r="A2423" s="30" t="n">
        <x:v>350600</x:v>
      </x:c>
      <x:c r="B2423" s="22" t="str">
        <x:v>漳州市</x:v>
      </x:c>
      <x:c r="C2423" s="31" t="n">
        <x:v>350624</x:v>
      </x:c>
      <x:c r="D2423" s="22" t="str">
        <x:v>诏安县</x:v>
      </x:c>
      <x:c r="E2423" s="22" t="str">
        <x:v>农用地</x:v>
      </x:c>
      <x:c r="F2423" s="22" t="str">
        <x:v>其他农用地</x:v>
      </x:c>
      <x:c r="G2423" s="32" t="str">
        <x:v>1006</x:v>
      </x:c>
      <x:c r="H2423" s="32" t="str">
        <x:v>1006</x:v>
      </x:c>
      <x:c r="I2423" s="22" t="str">
        <x:v>农村道路</x:v>
      </x:c>
      <x:c r="J2423" s="22" t="str">
        <x:v>农业生态</x:v>
      </x:c>
      <x:c r="K2423" s="32" t="str"/>
      <x:c r="L2423" s="22" t="str">
        <x:v>不适用/未标注</x:v>
      </x:c>
      <x:c r="M2423" s="33" t="n">
        <x:v>8313069.109999993</x:v>
      </x:c>
      <x:c r="N2423" s="33" t="n">
        <x:v>831.3069109999993</x:v>
      </x:c>
      <x:c r="O2423" s="22" t="str">
        <x:v>公顷</x:v>
      </x:c>
      <x:c r="P2423" s="22" t="str">
        <x:v>未提供（单期横截面）</x:v>
      </x:c>
      <x:c r="Q2423" s="23" t="n">
        <x:v>5402</x:v>
      </x:c>
    </x:row>
    <x:row r="2424">
      <x:c r="A2424" s="30" t="n">
        <x:v>350600</x:v>
      </x:c>
      <x:c r="B2424" s="22" t="str">
        <x:v>漳州市</x:v>
      </x:c>
      <x:c r="C2424" s="31" t="n">
        <x:v>350624</x:v>
      </x:c>
      <x:c r="D2424" s="22" t="str">
        <x:v>诏安县</x:v>
      </x:c>
      <x:c r="E2424" s="22" t="str">
        <x:v>农用地</x:v>
      </x:c>
      <x:c r="F2424" s="22" t="str">
        <x:v>水域及水利设施</x:v>
      </x:c>
      <x:c r="G2424" s="32" t="str">
        <x:v>1103</x:v>
      </x:c>
      <x:c r="H2424" s="32" t="str">
        <x:v>1103</x:v>
      </x:c>
      <x:c r="I2424" s="22" t="str">
        <x:v>水库水面</x:v>
      </x:c>
      <x:c r="J2424" s="22" t="str">
        <x:v>农业生态</x:v>
      </x:c>
      <x:c r="K2424" s="32" t="str"/>
      <x:c r="L2424" s="22" t="str">
        <x:v>不适用/未标注</x:v>
      </x:c>
      <x:c r="M2424" s="33" t="n">
        <x:v>8181022.050000003</x:v>
      </x:c>
      <x:c r="N2424" s="33" t="n">
        <x:v>818.1022050000003</x:v>
      </x:c>
      <x:c r="O2424" s="22" t="str">
        <x:v>公顷</x:v>
      </x:c>
      <x:c r="P2424" s="22" t="str">
        <x:v>未提供（单期横截面）</x:v>
      </x:c>
      <x:c r="Q2424" s="23" t="n">
        <x:v>5403</x:v>
      </x:c>
    </x:row>
    <x:row r="2425">
      <x:c r="A2425" s="30" t="n">
        <x:v>350600</x:v>
      </x:c>
      <x:c r="B2425" s="22" t="str">
        <x:v>漳州市</x:v>
      </x:c>
      <x:c r="C2425" s="31" t="n">
        <x:v>350624</x:v>
      </x:c>
      <x:c r="D2425" s="22" t="str">
        <x:v>诏安县</x:v>
      </x:c>
      <x:c r="E2425" s="22" t="str">
        <x:v>农用地</x:v>
      </x:c>
      <x:c r="F2425" s="22" t="str">
        <x:v>水域及水利设施</x:v>
      </x:c>
      <x:c r="G2425" s="32" t="str">
        <x:v>1104</x:v>
      </x:c>
      <x:c r="H2425" s="32" t="str">
        <x:v>1104</x:v>
      </x:c>
      <x:c r="I2425" s="22" t="str">
        <x:v>坑塘水面</x:v>
      </x:c>
      <x:c r="J2425" s="22" t="str">
        <x:v>农业生态</x:v>
      </x:c>
      <x:c r="K2425" s="32" t="str"/>
      <x:c r="L2425" s="22" t="str">
        <x:v>不适用/未标注</x:v>
      </x:c>
      <x:c r="M2425" s="33" t="n">
        <x:v>11692098.839999987</x:v>
      </x:c>
      <x:c r="N2425" s="33" t="n">
        <x:v>1169.2098839999987</x:v>
      </x:c>
      <x:c r="O2425" s="22" t="str">
        <x:v>公顷</x:v>
      </x:c>
      <x:c r="P2425" s="22" t="str">
        <x:v>未提供（单期横截面）</x:v>
      </x:c>
      <x:c r="Q2425" s="23" t="n">
        <x:v>5404</x:v>
      </x:c>
    </x:row>
    <x:row r="2426">
      <x:c r="A2426" s="30" t="n">
        <x:v>350600</x:v>
      </x:c>
      <x:c r="B2426" s="22" t="str">
        <x:v>漳州市</x:v>
      </x:c>
      <x:c r="C2426" s="31" t="n">
        <x:v>350624</x:v>
      </x:c>
      <x:c r="D2426" s="22" t="str">
        <x:v>诏安县</x:v>
      </x:c>
      <x:c r="E2426" s="22" t="str">
        <x:v>农用地</x:v>
      </x:c>
      <x:c r="F2426" s="22" t="str">
        <x:v>水域及水利设施</x:v>
      </x:c>
      <x:c r="G2426" s="32" t="str">
        <x:v>1104A</x:v>
      </x:c>
      <x:c r="H2426" s="32" t="str">
        <x:v>1104</x:v>
      </x:c>
      <x:c r="I2426" s="22" t="str">
        <x:v>养殖坑塘</x:v>
      </x:c>
      <x:c r="J2426" s="22" t="str">
        <x:v>农业生态</x:v>
      </x:c>
      <x:c r="K2426" s="32" t="str"/>
      <x:c r="L2426" s="22" t="str">
        <x:v>不适用/未标注</x:v>
      </x:c>
      <x:c r="M2426" s="33" t="n">
        <x:v>35620125.75000001</x:v>
      </x:c>
      <x:c r="N2426" s="33" t="n">
        <x:v>3562.0125750000007</x:v>
      </x:c>
      <x:c r="O2426" s="22" t="str">
        <x:v>公顷</x:v>
      </x:c>
      <x:c r="P2426" s="22" t="str">
        <x:v>未提供（单期横截面）</x:v>
      </x:c>
      <x:c r="Q2426" s="23" t="n">
        <x:v>5405</x:v>
      </x:c>
    </x:row>
    <x:row r="2427">
      <x:c r="A2427" s="30" t="n">
        <x:v>350600</x:v>
      </x:c>
      <x:c r="B2427" s="22" t="str">
        <x:v>漳州市</x:v>
      </x:c>
      <x:c r="C2427" s="31" t="n">
        <x:v>350624</x:v>
      </x:c>
      <x:c r="D2427" s="22" t="str">
        <x:v>诏安县</x:v>
      </x:c>
      <x:c r="E2427" s="22" t="str">
        <x:v>农用地</x:v>
      </x:c>
      <x:c r="F2427" s="22" t="str">
        <x:v>水域及水利设施</x:v>
      </x:c>
      <x:c r="G2427" s="32" t="str">
        <x:v>1104K</x:v>
      </x:c>
      <x:c r="H2427" s="32" t="str">
        <x:v>1104</x:v>
      </x:c>
      <x:c r="I2427" s="22" t="str">
        <x:v>可调整养殖坑塘</x:v>
      </x:c>
      <x:c r="J2427" s="22" t="str">
        <x:v>农业生态</x:v>
      </x:c>
      <x:c r="K2427" s="32" t="str"/>
      <x:c r="L2427" s="22" t="str">
        <x:v>不适用/未标注</x:v>
      </x:c>
      <x:c r="M2427" s="33" t="n">
        <x:v>86370.78</x:v>
      </x:c>
      <x:c r="N2427" s="33" t="n">
        <x:v>8.637078</x:v>
      </x:c>
      <x:c r="O2427" s="22" t="str">
        <x:v>公顷</x:v>
      </x:c>
      <x:c r="P2427" s="22" t="str">
        <x:v>未提供（单期横截面）</x:v>
      </x:c>
      <x:c r="Q2427" s="23" t="n">
        <x:v>5406</x:v>
      </x:c>
    </x:row>
    <x:row r="2428">
      <x:c r="A2428" s="30" t="n">
        <x:v>350600</x:v>
      </x:c>
      <x:c r="B2428" s="22" t="str">
        <x:v>漳州市</x:v>
      </x:c>
      <x:c r="C2428" s="31" t="n">
        <x:v>350624</x:v>
      </x:c>
      <x:c r="D2428" s="22" t="str">
        <x:v>诏安县</x:v>
      </x:c>
      <x:c r="E2428" s="22" t="str">
        <x:v>农用地</x:v>
      </x:c>
      <x:c r="F2428" s="22" t="str">
        <x:v>水域及水利设施</x:v>
      </x:c>
      <x:c r="G2428" s="32" t="str">
        <x:v>1107</x:v>
      </x:c>
      <x:c r="H2428" s="32" t="str">
        <x:v>1107</x:v>
      </x:c>
      <x:c r="I2428" s="22" t="str">
        <x:v>沟渠</x:v>
      </x:c>
      <x:c r="J2428" s="22" t="str">
        <x:v>农业生态</x:v>
      </x:c>
      <x:c r="K2428" s="32" t="str"/>
      <x:c r="L2428" s="22" t="str">
        <x:v>不适用/未标注</x:v>
      </x:c>
      <x:c r="M2428" s="33" t="n">
        <x:v>4136793.020000014</x:v>
      </x:c>
      <x:c r="N2428" s="33" t="n">
        <x:v>413.67930200000137</x:v>
      </x:c>
      <x:c r="O2428" s="22" t="str">
        <x:v>公顷</x:v>
      </x:c>
      <x:c r="P2428" s="22" t="str">
        <x:v>未提供（单期横截面）</x:v>
      </x:c>
      <x:c r="Q2428" s="23" t="n">
        <x:v>5407</x:v>
      </x:c>
    </x:row>
    <x:row r="2429">
      <x:c r="A2429" s="30" t="n">
        <x:v>350600</x:v>
      </x:c>
      <x:c r="B2429" s="22" t="str">
        <x:v>漳州市</x:v>
      </x:c>
      <x:c r="C2429" s="31" t="n">
        <x:v>350624</x:v>
      </x:c>
      <x:c r="D2429" s="22" t="str">
        <x:v>诏安县</x:v>
      </x:c>
      <x:c r="E2429" s="22" t="str">
        <x:v>农用地</x:v>
      </x:c>
      <x:c r="F2429" s="22" t="str">
        <x:v>其他农用地</x:v>
      </x:c>
      <x:c r="G2429" s="32" t="str">
        <x:v>1202</x:v>
      </x:c>
      <x:c r="H2429" s="32" t="str">
        <x:v>1202</x:v>
      </x:c>
      <x:c r="I2429" s="22" t="str">
        <x:v>设施农用地</x:v>
      </x:c>
      <x:c r="J2429" s="22" t="str">
        <x:v>农业生态</x:v>
      </x:c>
      <x:c r="K2429" s="32" t="str"/>
      <x:c r="L2429" s="22" t="str">
        <x:v>不适用/未标注</x:v>
      </x:c>
      <x:c r="M2429" s="33" t="n">
        <x:v>7524596.870000009</x:v>
      </x:c>
      <x:c r="N2429" s="33" t="n">
        <x:v>752.4596870000009</x:v>
      </x:c>
      <x:c r="O2429" s="22" t="str">
        <x:v>公顷</x:v>
      </x:c>
      <x:c r="P2429" s="22" t="str">
        <x:v>未提供（单期横截面）</x:v>
      </x:c>
      <x:c r="Q2429" s="23" t="n">
        <x:v>5408</x:v>
      </x:c>
    </x:row>
    <x:row r="2430">
      <x:c r="A2430" s="30" t="n">
        <x:v>350600</x:v>
      </x:c>
      <x:c r="B2430" s="22" t="str">
        <x:v>漳州市</x:v>
      </x:c>
      <x:c r="C2430" s="31" t="n">
        <x:v>350624</x:v>
      </x:c>
      <x:c r="D2430" s="22" t="str">
        <x:v>诏安县</x:v>
      </x:c>
      <x:c r="E2430" s="22" t="str">
        <x:v>农用地</x:v>
      </x:c>
      <x:c r="F2430" s="22" t="str">
        <x:v>耕地</x:v>
      </x:c>
      <x:c r="G2430" s="32" t="str">
        <x:v>101</x:v>
      </x:c>
      <x:c r="H2430" s="32" t="str">
        <x:v>101</x:v>
      </x:c>
      <x:c r="I2430" s="22" t="str">
        <x:v>水田</x:v>
      </x:c>
      <x:c r="J2430" s="22" t="str">
        <x:v>农业生态</x:v>
      </x:c>
      <x:c r="K2430" s="32" t="str">
        <x:v>202</x:v>
      </x:c>
      <x:c r="L2430" s="22" t="str">
        <x:v>建制镇范围</x:v>
      </x:c>
      <x:c r="M2430" s="33" t="n">
        <x:v>10691.25</x:v>
      </x:c>
      <x:c r="N2430" s="33" t="n">
        <x:v>1.069125</x:v>
      </x:c>
      <x:c r="O2430" s="22" t="str">
        <x:v>公顷</x:v>
      </x:c>
      <x:c r="P2430" s="22" t="str">
        <x:v>未提供（单期横截面）</x:v>
      </x:c>
      <x:c r="Q2430" s="23" t="n">
        <x:v>5409</x:v>
      </x:c>
    </x:row>
    <x:row r="2431">
      <x:c r="A2431" s="30" t="n">
        <x:v>350600</x:v>
      </x:c>
      <x:c r="B2431" s="22" t="str">
        <x:v>漳州市</x:v>
      </x:c>
      <x:c r="C2431" s="31" t="n">
        <x:v>350624</x:v>
      </x:c>
      <x:c r="D2431" s="22" t="str">
        <x:v>诏安县</x:v>
      </x:c>
      <x:c r="E2431" s="22" t="str">
        <x:v>农用地</x:v>
      </x:c>
      <x:c r="F2431" s="22" t="str">
        <x:v>耕地</x:v>
      </x:c>
      <x:c r="G2431" s="32" t="str">
        <x:v>103</x:v>
      </x:c>
      <x:c r="H2431" s="32" t="str">
        <x:v>103</x:v>
      </x:c>
      <x:c r="I2431" s="22" t="str">
        <x:v>旱地</x:v>
      </x:c>
      <x:c r="J2431" s="22" t="str">
        <x:v>农业生态</x:v>
      </x:c>
      <x:c r="K2431" s="32" t="str">
        <x:v>202</x:v>
      </x:c>
      <x:c r="L2431" s="22" t="str">
        <x:v>建制镇范围</x:v>
      </x:c>
      <x:c r="M2431" s="33" t="n">
        <x:v>25737.870000000003</x:v>
      </x:c>
      <x:c r="N2431" s="33" t="n">
        <x:v>2.5737870000000003</x:v>
      </x:c>
      <x:c r="O2431" s="22" t="str">
        <x:v>公顷</x:v>
      </x:c>
      <x:c r="P2431" s="22" t="str">
        <x:v>未提供（单期横截面）</x:v>
      </x:c>
      <x:c r="Q2431" s="23" t="n">
        <x:v>5410</x:v>
      </x:c>
    </x:row>
    <x:row r="2432">
      <x:c r="A2432" s="30" t="n">
        <x:v>350600</x:v>
      </x:c>
      <x:c r="B2432" s="22" t="str">
        <x:v>漳州市</x:v>
      </x:c>
      <x:c r="C2432" s="31" t="n">
        <x:v>350624</x:v>
      </x:c>
      <x:c r="D2432" s="22" t="str">
        <x:v>诏安县</x:v>
      </x:c>
      <x:c r="E2432" s="22" t="str">
        <x:v>农用地</x:v>
      </x:c>
      <x:c r="F2432" s="22" t="str">
        <x:v>园地</x:v>
      </x:c>
      <x:c r="G2432" s="32" t="str">
        <x:v>201</x:v>
      </x:c>
      <x:c r="H2432" s="32" t="str">
        <x:v>201</x:v>
      </x:c>
      <x:c r="I2432" s="22" t="str">
        <x:v>果园</x:v>
      </x:c>
      <x:c r="J2432" s="22" t="str">
        <x:v>农业生态</x:v>
      </x:c>
      <x:c r="K2432" s="32" t="str">
        <x:v>202</x:v>
      </x:c>
      <x:c r="L2432" s="22" t="str">
        <x:v>建制镇范围</x:v>
      </x:c>
      <x:c r="M2432" s="33" t="n">
        <x:v>33355.73</x:v>
      </x:c>
      <x:c r="N2432" s="33" t="n">
        <x:v>3.335573</x:v>
      </x:c>
      <x:c r="O2432" s="22" t="str">
        <x:v>公顷</x:v>
      </x:c>
      <x:c r="P2432" s="22" t="str">
        <x:v>未提供（单期横截面）</x:v>
      </x:c>
      <x:c r="Q2432" s="23" t="n">
        <x:v>5411</x:v>
      </x:c>
    </x:row>
    <x:row r="2433">
      <x:c r="A2433" s="30" t="n">
        <x:v>350600</x:v>
      </x:c>
      <x:c r="B2433" s="22" t="str">
        <x:v>漳州市</x:v>
      </x:c>
      <x:c r="C2433" s="31" t="n">
        <x:v>350624</x:v>
      </x:c>
      <x:c r="D2433" s="22" t="str">
        <x:v>诏安县</x:v>
      </x:c>
      <x:c r="E2433" s="22" t="str">
        <x:v>农用地</x:v>
      </x:c>
      <x:c r="F2433" s="22" t="str">
        <x:v>林地</x:v>
      </x:c>
      <x:c r="G2433" s="32" t="str">
        <x:v>301</x:v>
      </x:c>
      <x:c r="H2433" s="32" t="str">
        <x:v>301</x:v>
      </x:c>
      <x:c r="I2433" s="22" t="str">
        <x:v>乔木林地</x:v>
      </x:c>
      <x:c r="J2433" s="22" t="str">
        <x:v>农业生态</x:v>
      </x:c>
      <x:c r="K2433" s="32" t="str">
        <x:v>202</x:v>
      </x:c>
      <x:c r="L2433" s="22" t="str">
        <x:v>建制镇范围</x:v>
      </x:c>
      <x:c r="M2433" s="33" t="n">
        <x:v>49811.84</x:v>
      </x:c>
      <x:c r="N2433" s="33" t="n">
        <x:v>4.981184</x:v>
      </x:c>
      <x:c r="O2433" s="22" t="str">
        <x:v>公顷</x:v>
      </x:c>
      <x:c r="P2433" s="22" t="str">
        <x:v>未提供（单期横截面）</x:v>
      </x:c>
      <x:c r="Q2433" s="23" t="n">
        <x:v>5412</x:v>
      </x:c>
    </x:row>
    <x:row r="2434">
      <x:c r="A2434" s="30" t="n">
        <x:v>350600</x:v>
      </x:c>
      <x:c r="B2434" s="22" t="str">
        <x:v>漳州市</x:v>
      </x:c>
      <x:c r="C2434" s="31" t="n">
        <x:v>350624</x:v>
      </x:c>
      <x:c r="D2434" s="22" t="str">
        <x:v>诏安县</x:v>
      </x:c>
      <x:c r="E2434" s="22" t="str">
        <x:v>农用地</x:v>
      </x:c>
      <x:c r="F2434" s="22" t="str">
        <x:v>林地</x:v>
      </x:c>
      <x:c r="G2434" s="32" t="str">
        <x:v>305</x:v>
      </x:c>
      <x:c r="H2434" s="32" t="str">
        <x:v>305</x:v>
      </x:c>
      <x:c r="I2434" s="22" t="str">
        <x:v>灌木林地</x:v>
      </x:c>
      <x:c r="J2434" s="22" t="str">
        <x:v>农业生态</x:v>
      </x:c>
      <x:c r="K2434" s="32" t="str">
        <x:v>202</x:v>
      </x:c>
      <x:c r="L2434" s="22" t="str">
        <x:v>建制镇范围</x:v>
      </x:c>
      <x:c r="M2434" s="33" t="n">
        <x:v>4082.94</x:v>
      </x:c>
      <x:c r="N2434" s="33" t="n">
        <x:v>0.408294</x:v>
      </x:c>
      <x:c r="O2434" s="22" t="str">
        <x:v>公顷</x:v>
      </x:c>
      <x:c r="P2434" s="22" t="str">
        <x:v>未提供（单期横截面）</x:v>
      </x:c>
      <x:c r="Q2434" s="23" t="n">
        <x:v>5413</x:v>
      </x:c>
    </x:row>
    <x:row r="2435">
      <x:c r="A2435" s="30" t="n">
        <x:v>350600</x:v>
      </x:c>
      <x:c r="B2435" s="22" t="str">
        <x:v>漳州市</x:v>
      </x:c>
      <x:c r="C2435" s="31" t="n">
        <x:v>350624</x:v>
      </x:c>
      <x:c r="D2435" s="22" t="str">
        <x:v>诏安县</x:v>
      </x:c>
      <x:c r="E2435" s="22" t="str">
        <x:v>农用地</x:v>
      </x:c>
      <x:c r="F2435" s="22" t="str">
        <x:v>水域及水利设施</x:v>
      </x:c>
      <x:c r="G2435" s="32" t="str">
        <x:v>1104</x:v>
      </x:c>
      <x:c r="H2435" s="32" t="str">
        <x:v>1104</x:v>
      </x:c>
      <x:c r="I2435" s="22" t="str">
        <x:v>坑塘水面</x:v>
      </x:c>
      <x:c r="J2435" s="22" t="str">
        <x:v>农业生态</x:v>
      </x:c>
      <x:c r="K2435" s="32" t="str">
        <x:v>202</x:v>
      </x:c>
      <x:c r="L2435" s="22" t="str">
        <x:v>建制镇范围</x:v>
      </x:c>
      <x:c r="M2435" s="33" t="n">
        <x:v>50367.50000000001</x:v>
      </x:c>
      <x:c r="N2435" s="33" t="n">
        <x:v>5.0367500000000005</x:v>
      </x:c>
      <x:c r="O2435" s="22" t="str">
        <x:v>公顷</x:v>
      </x:c>
      <x:c r="P2435" s="22" t="str">
        <x:v>未提供（单期横截面）</x:v>
      </x:c>
      <x:c r="Q2435" s="23" t="n">
        <x:v>5414</x:v>
      </x:c>
    </x:row>
    <x:row r="2436">
      <x:c r="A2436" s="30" t="n">
        <x:v>350600</x:v>
      </x:c>
      <x:c r="B2436" s="22" t="str">
        <x:v>漳州市</x:v>
      </x:c>
      <x:c r="C2436" s="31" t="n">
        <x:v>350624</x:v>
      </x:c>
      <x:c r="D2436" s="22" t="str">
        <x:v>诏安县</x:v>
      </x:c>
      <x:c r="E2436" s="22" t="str">
        <x:v>农用地</x:v>
      </x:c>
      <x:c r="F2436" s="22" t="str">
        <x:v>水域及水利设施</x:v>
      </x:c>
      <x:c r="G2436" s="32" t="str">
        <x:v>1104A</x:v>
      </x:c>
      <x:c r="H2436" s="32" t="str">
        <x:v>1104</x:v>
      </x:c>
      <x:c r="I2436" s="22" t="str">
        <x:v>养殖坑塘</x:v>
      </x:c>
      <x:c r="J2436" s="22" t="str">
        <x:v>农业生态</x:v>
      </x:c>
      <x:c r="K2436" s="32" t="str">
        <x:v>202</x:v>
      </x:c>
      <x:c r="L2436" s="22" t="str">
        <x:v>建制镇范围</x:v>
      </x:c>
      <x:c r="M2436" s="33" t="n">
        <x:v>1591.23</x:v>
      </x:c>
      <x:c r="N2436" s="33" t="n">
        <x:v>0.15912300000000001</x:v>
      </x:c>
      <x:c r="O2436" s="22" t="str">
        <x:v>公顷</x:v>
      </x:c>
      <x:c r="P2436" s="22" t="str">
        <x:v>未提供（单期横截面）</x:v>
      </x:c>
      <x:c r="Q2436" s="23" t="n">
        <x:v>5415</x:v>
      </x:c>
    </x:row>
    <x:row r="2437">
      <x:c r="A2437" s="30" t="n">
        <x:v>350600</x:v>
      </x:c>
      <x:c r="B2437" s="22" t="str">
        <x:v>漳州市</x:v>
      </x:c>
      <x:c r="C2437" s="31" t="n">
        <x:v>350624</x:v>
      </x:c>
      <x:c r="D2437" s="22" t="str">
        <x:v>诏安县</x:v>
      </x:c>
      <x:c r="E2437" s="22" t="str">
        <x:v>农用地</x:v>
      </x:c>
      <x:c r="F2437" s="22" t="str">
        <x:v>水域及水利设施</x:v>
      </x:c>
      <x:c r="G2437" s="32" t="str">
        <x:v>1107</x:v>
      </x:c>
      <x:c r="H2437" s="32" t="str">
        <x:v>1107</x:v>
      </x:c>
      <x:c r="I2437" s="22" t="str">
        <x:v>沟渠</x:v>
      </x:c>
      <x:c r="J2437" s="22" t="str">
        <x:v>农业生态</x:v>
      </x:c>
      <x:c r="K2437" s="32" t="str">
        <x:v>202</x:v>
      </x:c>
      <x:c r="L2437" s="22" t="str">
        <x:v>建制镇范围</x:v>
      </x:c>
      <x:c r="M2437" s="33" t="n">
        <x:v>251.29</x:v>
      </x:c>
      <x:c r="N2437" s="33" t="n">
        <x:v>0.025129</x:v>
      </x:c>
      <x:c r="O2437" s="22" t="str">
        <x:v>公顷</x:v>
      </x:c>
      <x:c r="P2437" s="22" t="str">
        <x:v>未提供（单期横截面）</x:v>
      </x:c>
      <x:c r="Q2437" s="23" t="n">
        <x:v>5416</x:v>
      </x:c>
    </x:row>
    <x:row r="2438">
      <x:c r="A2438" s="30" t="n">
        <x:v>350600</x:v>
      </x:c>
      <x:c r="B2438" s="22" t="str">
        <x:v>漳州市</x:v>
      </x:c>
      <x:c r="C2438" s="31" t="n">
        <x:v>350624</x:v>
      </x:c>
      <x:c r="D2438" s="22" t="str">
        <x:v>诏安县</x:v>
      </x:c>
      <x:c r="E2438" s="22" t="str">
        <x:v>农用地</x:v>
      </x:c>
      <x:c r="F2438" s="22" t="str">
        <x:v>其他农用地</x:v>
      </x:c>
      <x:c r="G2438" s="32" t="str">
        <x:v>1202</x:v>
      </x:c>
      <x:c r="H2438" s="32" t="str">
        <x:v>1202</x:v>
      </x:c>
      <x:c r="I2438" s="22" t="str">
        <x:v>设施农用地</x:v>
      </x:c>
      <x:c r="J2438" s="22" t="str">
        <x:v>农业生态</x:v>
      </x:c>
      <x:c r="K2438" s="32" t="str">
        <x:v>202</x:v>
      </x:c>
      <x:c r="L2438" s="22" t="str">
        <x:v>建制镇范围</x:v>
      </x:c>
      <x:c r="M2438" s="33" t="n">
        <x:v>1336.64</x:v>
      </x:c>
      <x:c r="N2438" s="33" t="n">
        <x:v>0.133664</x:v>
      </x:c>
      <x:c r="O2438" s="22" t="str">
        <x:v>公顷</x:v>
      </x:c>
      <x:c r="P2438" s="22" t="str">
        <x:v>未提供（单期横截面）</x:v>
      </x:c>
      <x:c r="Q2438" s="23" t="n">
        <x:v>5417</x:v>
      </x:c>
    </x:row>
    <x:row r="2439">
      <x:c r="A2439" s="30" t="n">
        <x:v>350600</x:v>
      </x:c>
      <x:c r="B2439" s="22" t="str">
        <x:v>漳州市</x:v>
      </x:c>
      <x:c r="C2439" s="31" t="n">
        <x:v>350624</x:v>
      </x:c>
      <x:c r="D2439" s="22" t="str">
        <x:v>诏安县</x:v>
      </x:c>
      <x:c r="E2439" s="22" t="str">
        <x:v>农用地</x:v>
      </x:c>
      <x:c r="F2439" s="22" t="str">
        <x:v>耕地</x:v>
      </x:c>
      <x:c r="G2439" s="32" t="str">
        <x:v>101</x:v>
      </x:c>
      <x:c r="H2439" s="32" t="str">
        <x:v>101</x:v>
      </x:c>
      <x:c r="I2439" s="22" t="str">
        <x:v>水田</x:v>
      </x:c>
      <x:c r="J2439" s="22" t="str">
        <x:v>农业生态</x:v>
      </x:c>
      <x:c r="K2439" s="32" t="str">
        <x:v>203</x:v>
      </x:c>
      <x:c r="L2439" s="22" t="str">
        <x:v>村庄范围</x:v>
      </x:c>
      <x:c r="M2439" s="33" t="n">
        <x:v>101662.01999999999</x:v>
      </x:c>
      <x:c r="N2439" s="33" t="n">
        <x:v>10.166201999999998</x:v>
      </x:c>
      <x:c r="O2439" s="22" t="str">
        <x:v>公顷</x:v>
      </x:c>
      <x:c r="P2439" s="22" t="str">
        <x:v>未提供（单期横截面）</x:v>
      </x:c>
      <x:c r="Q2439" s="23" t="n">
        <x:v>5418</x:v>
      </x:c>
    </x:row>
    <x:row r="2440">
      <x:c r="A2440" s="30" t="n">
        <x:v>350600</x:v>
      </x:c>
      <x:c r="B2440" s="22" t="str">
        <x:v>漳州市</x:v>
      </x:c>
      <x:c r="C2440" s="31" t="n">
        <x:v>350624</x:v>
      </x:c>
      <x:c r="D2440" s="22" t="str">
        <x:v>诏安县</x:v>
      </x:c>
      <x:c r="E2440" s="22" t="str">
        <x:v>农用地</x:v>
      </x:c>
      <x:c r="F2440" s="22" t="str">
        <x:v>耕地</x:v>
      </x:c>
      <x:c r="G2440" s="32" t="str">
        <x:v>102</x:v>
      </x:c>
      <x:c r="H2440" s="32" t="str">
        <x:v>102</x:v>
      </x:c>
      <x:c r="I2440" s="22" t="str">
        <x:v>水浇地</x:v>
      </x:c>
      <x:c r="J2440" s="22" t="str">
        <x:v>农业生态</x:v>
      </x:c>
      <x:c r="K2440" s="32" t="str">
        <x:v>203</x:v>
      </x:c>
      <x:c r="L2440" s="22" t="str">
        <x:v>村庄范围</x:v>
      </x:c>
      <x:c r="M2440" s="33" t="n">
        <x:v>17234.809999999998</x:v>
      </x:c>
      <x:c r="N2440" s="33" t="n">
        <x:v>1.7234809999999998</x:v>
      </x:c>
      <x:c r="O2440" s="22" t="str">
        <x:v>公顷</x:v>
      </x:c>
      <x:c r="P2440" s="22" t="str">
        <x:v>未提供（单期横截面）</x:v>
      </x:c>
      <x:c r="Q2440" s="23" t="n">
        <x:v>5419</x:v>
      </x:c>
    </x:row>
    <x:row r="2441">
      <x:c r="A2441" s="30" t="n">
        <x:v>350600</x:v>
      </x:c>
      <x:c r="B2441" s="22" t="str">
        <x:v>漳州市</x:v>
      </x:c>
      <x:c r="C2441" s="31" t="n">
        <x:v>350624</x:v>
      </x:c>
      <x:c r="D2441" s="22" t="str">
        <x:v>诏安县</x:v>
      </x:c>
      <x:c r="E2441" s="22" t="str">
        <x:v>农用地</x:v>
      </x:c>
      <x:c r="F2441" s="22" t="str">
        <x:v>耕地</x:v>
      </x:c>
      <x:c r="G2441" s="32" t="str">
        <x:v>103</x:v>
      </x:c>
      <x:c r="H2441" s="32" t="str">
        <x:v>103</x:v>
      </x:c>
      <x:c r="I2441" s="22" t="str">
        <x:v>旱地</x:v>
      </x:c>
      <x:c r="J2441" s="22" t="str">
        <x:v>农业生态</x:v>
      </x:c>
      <x:c r="K2441" s="32" t="str">
        <x:v>203</x:v>
      </x:c>
      <x:c r="L2441" s="22" t="str">
        <x:v>村庄范围</x:v>
      </x:c>
      <x:c r="M2441" s="33" t="n">
        <x:v>150294.95</x:v>
      </x:c>
      <x:c r="N2441" s="33" t="n">
        <x:v>15.029495</x:v>
      </x:c>
      <x:c r="O2441" s="22" t="str">
        <x:v>公顷</x:v>
      </x:c>
      <x:c r="P2441" s="22" t="str">
        <x:v>未提供（单期横截面）</x:v>
      </x:c>
      <x:c r="Q2441" s="23" t="n">
        <x:v>5420</x:v>
      </x:c>
    </x:row>
    <x:row r="2442">
      <x:c r="A2442" s="30" t="n">
        <x:v>350600</x:v>
      </x:c>
      <x:c r="B2442" s="22" t="str">
        <x:v>漳州市</x:v>
      </x:c>
      <x:c r="C2442" s="31" t="n">
        <x:v>350624</x:v>
      </x:c>
      <x:c r="D2442" s="22" t="str">
        <x:v>诏安县</x:v>
      </x:c>
      <x:c r="E2442" s="22" t="str">
        <x:v>农用地</x:v>
      </x:c>
      <x:c r="F2442" s="22" t="str">
        <x:v>园地</x:v>
      </x:c>
      <x:c r="G2442" s="32" t="str">
        <x:v>201</x:v>
      </x:c>
      <x:c r="H2442" s="32" t="str">
        <x:v>201</x:v>
      </x:c>
      <x:c r="I2442" s="22" t="str">
        <x:v>果园</x:v>
      </x:c>
      <x:c r="J2442" s="22" t="str">
        <x:v>农业生态</x:v>
      </x:c>
      <x:c r="K2442" s="32" t="str">
        <x:v>203</x:v>
      </x:c>
      <x:c r="L2442" s="22" t="str">
        <x:v>村庄范围</x:v>
      </x:c>
      <x:c r="M2442" s="33" t="n">
        <x:v>213786.61000000002</x:v>
      </x:c>
      <x:c r="N2442" s="33" t="n">
        <x:v>21.378661</x:v>
      </x:c>
      <x:c r="O2442" s="22" t="str">
        <x:v>公顷</x:v>
      </x:c>
      <x:c r="P2442" s="22" t="str">
        <x:v>未提供（单期横截面）</x:v>
      </x:c>
      <x:c r="Q2442" s="23" t="n">
        <x:v>5421</x:v>
      </x:c>
    </x:row>
    <x:row r="2443">
      <x:c r="A2443" s="30" t="n">
        <x:v>350600</x:v>
      </x:c>
      <x:c r="B2443" s="22" t="str">
        <x:v>漳州市</x:v>
      </x:c>
      <x:c r="C2443" s="31" t="n">
        <x:v>350624</x:v>
      </x:c>
      <x:c r="D2443" s="22" t="str">
        <x:v>诏安县</x:v>
      </x:c>
      <x:c r="E2443" s="22" t="str">
        <x:v>农用地</x:v>
      </x:c>
      <x:c r="F2443" s="22" t="str">
        <x:v>园地</x:v>
      </x:c>
      <x:c r="G2443" s="32" t="str">
        <x:v>0201K</x:v>
      </x:c>
      <x:c r="H2443" s="32" t="str">
        <x:v>201</x:v>
      </x:c>
      <x:c r="I2443" s="22" t="str">
        <x:v>可调整果园</x:v>
      </x:c>
      <x:c r="J2443" s="22" t="str">
        <x:v>农业生态</x:v>
      </x:c>
      <x:c r="K2443" s="32" t="str">
        <x:v>203</x:v>
      </x:c>
      <x:c r="L2443" s="22" t="str">
        <x:v>村庄范围</x:v>
      </x:c>
      <x:c r="M2443" s="33" t="n">
        <x:v>10597.019999999999</x:v>
      </x:c>
      <x:c r="N2443" s="33" t="n">
        <x:v>1.059702</x:v>
      </x:c>
      <x:c r="O2443" s="22" t="str">
        <x:v>公顷</x:v>
      </x:c>
      <x:c r="P2443" s="22" t="str">
        <x:v>未提供（单期横截面）</x:v>
      </x:c>
      <x:c r="Q2443" s="23" t="n">
        <x:v>5422</x:v>
      </x:c>
    </x:row>
    <x:row r="2444">
      <x:c r="A2444" s="30" t="n">
        <x:v>350600</x:v>
      </x:c>
      <x:c r="B2444" s="22" t="str">
        <x:v>漳州市</x:v>
      </x:c>
      <x:c r="C2444" s="31" t="n">
        <x:v>350624</x:v>
      </x:c>
      <x:c r="D2444" s="22" t="str">
        <x:v>诏安县</x:v>
      </x:c>
      <x:c r="E2444" s="22" t="str">
        <x:v>农用地</x:v>
      </x:c>
      <x:c r="F2444" s="22" t="str">
        <x:v>园地</x:v>
      </x:c>
      <x:c r="G2444" s="32" t="str">
        <x:v>204</x:v>
      </x:c>
      <x:c r="H2444" s="32" t="str">
        <x:v>204</x:v>
      </x:c>
      <x:c r="I2444" s="22" t="str">
        <x:v>其他园地</x:v>
      </x:c>
      <x:c r="J2444" s="22" t="str">
        <x:v>农业生态</x:v>
      </x:c>
      <x:c r="K2444" s="32" t="str">
        <x:v>203</x:v>
      </x:c>
      <x:c r="L2444" s="22" t="str">
        <x:v>村庄范围</x:v>
      </x:c>
      <x:c r="M2444" s="33" t="n">
        <x:v>1225.43</x:v>
      </x:c>
      <x:c r="N2444" s="33" t="n">
        <x:v>0.12254300000000001</x:v>
      </x:c>
      <x:c r="O2444" s="22" t="str">
        <x:v>公顷</x:v>
      </x:c>
      <x:c r="P2444" s="22" t="str">
        <x:v>未提供（单期横截面）</x:v>
      </x:c>
      <x:c r="Q2444" s="23" t="n">
        <x:v>5423</x:v>
      </x:c>
    </x:row>
    <x:row r="2445">
      <x:c r="A2445" s="30" t="n">
        <x:v>350600</x:v>
      </x:c>
      <x:c r="B2445" s="22" t="str">
        <x:v>漳州市</x:v>
      </x:c>
      <x:c r="C2445" s="31" t="n">
        <x:v>350624</x:v>
      </x:c>
      <x:c r="D2445" s="22" t="str">
        <x:v>诏安县</x:v>
      </x:c>
      <x:c r="E2445" s="22" t="str">
        <x:v>农用地</x:v>
      </x:c>
      <x:c r="F2445" s="22" t="str">
        <x:v>林地</x:v>
      </x:c>
      <x:c r="G2445" s="32" t="str">
        <x:v>301</x:v>
      </x:c>
      <x:c r="H2445" s="32" t="str">
        <x:v>301</x:v>
      </x:c>
      <x:c r="I2445" s="22" t="str">
        <x:v>乔木林地</x:v>
      </x:c>
      <x:c r="J2445" s="22" t="str">
        <x:v>农业生态</x:v>
      </x:c>
      <x:c r="K2445" s="32" t="str">
        <x:v>203</x:v>
      </x:c>
      <x:c r="L2445" s="22" t="str">
        <x:v>村庄范围</x:v>
      </x:c>
      <x:c r="M2445" s="33" t="n">
        <x:v>74114.34999999999</x:v>
      </x:c>
      <x:c r="N2445" s="33" t="n">
        <x:v>7.411434999999999</x:v>
      </x:c>
      <x:c r="O2445" s="22" t="str">
        <x:v>公顷</x:v>
      </x:c>
      <x:c r="P2445" s="22" t="str">
        <x:v>未提供（单期横截面）</x:v>
      </x:c>
      <x:c r="Q2445" s="23" t="n">
        <x:v>5424</x:v>
      </x:c>
    </x:row>
    <x:row r="2446">
      <x:c r="A2446" s="30" t="n">
        <x:v>350600</x:v>
      </x:c>
      <x:c r="B2446" s="22" t="str">
        <x:v>漳州市</x:v>
      </x:c>
      <x:c r="C2446" s="31" t="n">
        <x:v>350624</x:v>
      </x:c>
      <x:c r="D2446" s="22" t="str">
        <x:v>诏安县</x:v>
      </x:c>
      <x:c r="E2446" s="22" t="str">
        <x:v>农用地</x:v>
      </x:c>
      <x:c r="F2446" s="22" t="str">
        <x:v>林地</x:v>
      </x:c>
      <x:c r="G2446" s="32" t="str">
        <x:v>302</x:v>
      </x:c>
      <x:c r="H2446" s="32" t="str">
        <x:v>302</x:v>
      </x:c>
      <x:c r="I2446" s="22" t="str">
        <x:v>竹林地</x:v>
      </x:c>
      <x:c r="J2446" s="22" t="str">
        <x:v>农业生态</x:v>
      </x:c>
      <x:c r="K2446" s="32" t="str">
        <x:v>203</x:v>
      </x:c>
      <x:c r="L2446" s="22" t="str">
        <x:v>村庄范围</x:v>
      </x:c>
      <x:c r="M2446" s="33" t="n">
        <x:v>1749.23</x:v>
      </x:c>
      <x:c r="N2446" s="33" t="n">
        <x:v>0.174923</x:v>
      </x:c>
      <x:c r="O2446" s="22" t="str">
        <x:v>公顷</x:v>
      </x:c>
      <x:c r="P2446" s="22" t="str">
        <x:v>未提供（单期横截面）</x:v>
      </x:c>
      <x:c r="Q2446" s="23" t="n">
        <x:v>5425</x:v>
      </x:c>
    </x:row>
    <x:row r="2447">
      <x:c r="A2447" s="30" t="n">
        <x:v>350600</x:v>
      </x:c>
      <x:c r="B2447" s="22" t="str">
        <x:v>漳州市</x:v>
      </x:c>
      <x:c r="C2447" s="31" t="n">
        <x:v>350624</x:v>
      </x:c>
      <x:c r="D2447" s="22" t="str">
        <x:v>诏安县</x:v>
      </x:c>
      <x:c r="E2447" s="22" t="str">
        <x:v>农用地</x:v>
      </x:c>
      <x:c r="F2447" s="22" t="str">
        <x:v>水域及水利设施</x:v>
      </x:c>
      <x:c r="G2447" s="32" t="str">
        <x:v>1104</x:v>
      </x:c>
      <x:c r="H2447" s="32" t="str">
        <x:v>1104</x:v>
      </x:c>
      <x:c r="I2447" s="22" t="str">
        <x:v>坑塘水面</x:v>
      </x:c>
      <x:c r="J2447" s="22" t="str">
        <x:v>农业生态</x:v>
      </x:c>
      <x:c r="K2447" s="32" t="str">
        <x:v>203</x:v>
      </x:c>
      <x:c r="L2447" s="22" t="str">
        <x:v>村庄范围</x:v>
      </x:c>
      <x:c r="M2447" s="33" t="n">
        <x:v>200507.53000000003</x:v>
      </x:c>
      <x:c r="N2447" s="33" t="n">
        <x:v>20.050753000000004</x:v>
      </x:c>
      <x:c r="O2447" s="22" t="str">
        <x:v>公顷</x:v>
      </x:c>
      <x:c r="P2447" s="22" t="str">
        <x:v>未提供（单期横截面）</x:v>
      </x:c>
      <x:c r="Q2447" s="23" t="n">
        <x:v>5426</x:v>
      </x:c>
    </x:row>
    <x:row r="2448">
      <x:c r="A2448" s="30" t="n">
        <x:v>350600</x:v>
      </x:c>
      <x:c r="B2448" s="22" t="str">
        <x:v>漳州市</x:v>
      </x:c>
      <x:c r="C2448" s="31" t="n">
        <x:v>350624</x:v>
      </x:c>
      <x:c r="D2448" s="22" t="str">
        <x:v>诏安县</x:v>
      </x:c>
      <x:c r="E2448" s="22" t="str">
        <x:v>农用地</x:v>
      </x:c>
      <x:c r="F2448" s="22" t="str">
        <x:v>水域及水利设施</x:v>
      </x:c>
      <x:c r="G2448" s="32" t="str">
        <x:v>1104A</x:v>
      </x:c>
      <x:c r="H2448" s="32" t="str">
        <x:v>1104</x:v>
      </x:c>
      <x:c r="I2448" s="22" t="str">
        <x:v>养殖坑塘</x:v>
      </x:c>
      <x:c r="J2448" s="22" t="str">
        <x:v>农业生态</x:v>
      </x:c>
      <x:c r="K2448" s="32" t="str">
        <x:v>203</x:v>
      </x:c>
      <x:c r="L2448" s="22" t="str">
        <x:v>村庄范围</x:v>
      </x:c>
      <x:c r="M2448" s="33" t="n">
        <x:v>9476.46</x:v>
      </x:c>
      <x:c r="N2448" s="33" t="n">
        <x:v>0.9476459999999999</x:v>
      </x:c>
      <x:c r="O2448" s="22" t="str">
        <x:v>公顷</x:v>
      </x:c>
      <x:c r="P2448" s="22" t="str">
        <x:v>未提供（单期横截面）</x:v>
      </x:c>
      <x:c r="Q2448" s="23" t="n">
        <x:v>5427</x:v>
      </x:c>
    </x:row>
    <x:row r="2449">
      <x:c r="A2449" s="30" t="n">
        <x:v>350600</x:v>
      </x:c>
      <x:c r="B2449" s="22" t="str">
        <x:v>漳州市</x:v>
      </x:c>
      <x:c r="C2449" s="31" t="n">
        <x:v>350624</x:v>
      </x:c>
      <x:c r="D2449" s="22" t="str">
        <x:v>诏安县</x:v>
      </x:c>
      <x:c r="E2449" s="22" t="str">
        <x:v>农用地</x:v>
      </x:c>
      <x:c r="F2449" s="22" t="str">
        <x:v>水域及水利设施</x:v>
      </x:c>
      <x:c r="G2449" s="32" t="str">
        <x:v>1104K</x:v>
      </x:c>
      <x:c r="H2449" s="32" t="str">
        <x:v>1104</x:v>
      </x:c>
      <x:c r="I2449" s="22" t="str">
        <x:v>可调整养殖坑塘</x:v>
      </x:c>
      <x:c r="J2449" s="22" t="str">
        <x:v>农业生态</x:v>
      </x:c>
      <x:c r="K2449" s="32" t="str">
        <x:v>203</x:v>
      </x:c>
      <x:c r="L2449" s="22" t="str">
        <x:v>村庄范围</x:v>
      </x:c>
      <x:c r="M2449" s="33" t="n">
        <x:v>419.97</x:v>
      </x:c>
      <x:c r="N2449" s="33" t="n">
        <x:v>0.041997</x:v>
      </x:c>
      <x:c r="O2449" s="22" t="str">
        <x:v>公顷</x:v>
      </x:c>
      <x:c r="P2449" s="22" t="str">
        <x:v>未提供（单期横截面）</x:v>
      </x:c>
      <x:c r="Q2449" s="23" t="n">
        <x:v>5428</x:v>
      </x:c>
    </x:row>
    <x:row r="2450">
      <x:c r="A2450" s="30" t="n">
        <x:v>350600</x:v>
      </x:c>
      <x:c r="B2450" s="22" t="str">
        <x:v>漳州市</x:v>
      </x:c>
      <x:c r="C2450" s="31" t="n">
        <x:v>350624</x:v>
      </x:c>
      <x:c r="D2450" s="22" t="str">
        <x:v>诏安县</x:v>
      </x:c>
      <x:c r="E2450" s="22" t="str">
        <x:v>农用地</x:v>
      </x:c>
      <x:c r="F2450" s="22" t="str">
        <x:v>水域及水利设施</x:v>
      </x:c>
      <x:c r="G2450" s="32" t="str">
        <x:v>1107</x:v>
      </x:c>
      <x:c r="H2450" s="32" t="str">
        <x:v>1107</x:v>
      </x:c>
      <x:c r="I2450" s="22" t="str">
        <x:v>沟渠</x:v>
      </x:c>
      <x:c r="J2450" s="22" t="str">
        <x:v>农业生态</x:v>
      </x:c>
      <x:c r="K2450" s="32" t="str">
        <x:v>203</x:v>
      </x:c>
      <x:c r="L2450" s="22" t="str">
        <x:v>村庄范围</x:v>
      </x:c>
      <x:c r="M2450" s="33" t="n">
        <x:v>1723.0200000000002</x:v>
      </x:c>
      <x:c r="N2450" s="33" t="n">
        <x:v>0.172302</x:v>
      </x:c>
      <x:c r="O2450" s="22" t="str">
        <x:v>公顷</x:v>
      </x:c>
      <x:c r="P2450" s="22" t="str">
        <x:v>未提供（单期横截面）</x:v>
      </x:c>
      <x:c r="Q2450" s="23" t="n">
        <x:v>5429</x:v>
      </x:c>
    </x:row>
    <x:row r="2451">
      <x:c r="A2451" s="30" t="n">
        <x:v>350600</x:v>
      </x:c>
      <x:c r="B2451" s="22" t="str">
        <x:v>漳州市</x:v>
      </x:c>
      <x:c r="C2451" s="31" t="n">
        <x:v>350624</x:v>
      </x:c>
      <x:c r="D2451" s="22" t="str">
        <x:v>诏安县</x:v>
      </x:c>
      <x:c r="E2451" s="22" t="str">
        <x:v>农用地</x:v>
      </x:c>
      <x:c r="F2451" s="22" t="str">
        <x:v>其他农用地</x:v>
      </x:c>
      <x:c r="G2451" s="32" t="str">
        <x:v>1202</x:v>
      </x:c>
      <x:c r="H2451" s="32" t="str">
        <x:v>1202</x:v>
      </x:c>
      <x:c r="I2451" s="22" t="str">
        <x:v>设施农用地</x:v>
      </x:c>
      <x:c r="J2451" s="22" t="str">
        <x:v>农业生态</x:v>
      </x:c>
      <x:c r="K2451" s="32" t="str">
        <x:v>203</x:v>
      </x:c>
      <x:c r="L2451" s="22" t="str">
        <x:v>村庄范围</x:v>
      </x:c>
      <x:c r="M2451" s="33" t="n">
        <x:v>5115.01</x:v>
      </x:c>
      <x:c r="N2451" s="33" t="n">
        <x:v>0.511501</x:v>
      </x:c>
      <x:c r="O2451" s="22" t="str">
        <x:v>公顷</x:v>
      </x:c>
      <x:c r="P2451" s="22" t="str">
        <x:v>未提供（单期横截面）</x:v>
      </x:c>
      <x:c r="Q2451" s="23" t="n">
        <x:v>5430</x:v>
      </x:c>
    </x:row>
    <x:row r="2452">
      <x:c r="A2452" s="30" t="n">
        <x:v>350600</x:v>
      </x:c>
      <x:c r="B2452" s="22" t="str">
        <x:v>漳州市</x:v>
      </x:c>
      <x:c r="C2452" s="31" t="n">
        <x:v>350624</x:v>
      </x:c>
      <x:c r="D2452" s="22" t="str">
        <x:v>诏安县</x:v>
      </x:c>
      <x:c r="E2452" s="22" t="str">
        <x:v>未利用地</x:v>
      </x:c>
      <x:c r="F2452" s="22" t="str">
        <x:v>草地</x:v>
      </x:c>
      <x:c r="G2452" s="32" t="str">
        <x:v>404</x:v>
      </x:c>
      <x:c r="H2452" s="32" t="str">
        <x:v>404</x:v>
      </x:c>
      <x:c r="I2452" s="22" t="str">
        <x:v>其他草地</x:v>
      </x:c>
      <x:c r="J2452" s="22" t="str">
        <x:v>农业生态</x:v>
      </x:c>
      <x:c r="K2452" s="32" t="str"/>
      <x:c r="L2452" s="22" t="str">
        <x:v>不适用/未标注</x:v>
      </x:c>
      <x:c r="M2452" s="33" t="n">
        <x:v>6693228.249999997</x:v>
      </x:c>
      <x:c r="N2452" s="33" t="n">
        <x:v>669.3228249999997</x:v>
      </x:c>
      <x:c r="O2452" s="22" t="str">
        <x:v>公顷</x:v>
      </x:c>
      <x:c r="P2452" s="22" t="str">
        <x:v>未提供（单期横截面）</x:v>
      </x:c>
      <x:c r="Q2452" s="23" t="n">
        <x:v>5431</x:v>
      </x:c>
    </x:row>
    <x:row r="2453">
      <x:c r="A2453" s="30" t="n">
        <x:v>350600</x:v>
      </x:c>
      <x:c r="B2453" s="22" t="str">
        <x:v>漳州市</x:v>
      </x:c>
      <x:c r="C2453" s="31" t="n">
        <x:v>350624</x:v>
      </x:c>
      <x:c r="D2453" s="22" t="str">
        <x:v>诏安县</x:v>
      </x:c>
      <x:c r="E2453" s="22" t="str">
        <x:v>未利用地</x:v>
      </x:c>
      <x:c r="F2453" s="22" t="str">
        <x:v>水域及水利设施</x:v>
      </x:c>
      <x:c r="G2453" s="32" t="str">
        <x:v>1101</x:v>
      </x:c>
      <x:c r="H2453" s="32" t="str">
        <x:v>1101</x:v>
      </x:c>
      <x:c r="I2453" s="22" t="str">
        <x:v>河流水面</x:v>
      </x:c>
      <x:c r="J2453" s="22" t="str">
        <x:v>农业生态</x:v>
      </x:c>
      <x:c r="K2453" s="32" t="str"/>
      <x:c r="L2453" s="22" t="str">
        <x:v>不适用/未标注</x:v>
      </x:c>
      <x:c r="M2453" s="33" t="n">
        <x:v>21999889.28999998</x:v>
      </x:c>
      <x:c r="N2453" s="33" t="n">
        <x:v>2199.988928999998</x:v>
      </x:c>
      <x:c r="O2453" s="22" t="str">
        <x:v>公顷</x:v>
      </x:c>
      <x:c r="P2453" s="22" t="str">
        <x:v>未提供（单期横截面）</x:v>
      </x:c>
      <x:c r="Q2453" s="23" t="n">
        <x:v>5432</x:v>
      </x:c>
    </x:row>
    <x:row r="2454">
      <x:c r="A2454" s="30" t="n">
        <x:v>350600</x:v>
      </x:c>
      <x:c r="B2454" s="22" t="str">
        <x:v>漳州市</x:v>
      </x:c>
      <x:c r="C2454" s="31" t="n">
        <x:v>350624</x:v>
      </x:c>
      <x:c r="D2454" s="22" t="str">
        <x:v>诏安县</x:v>
      </x:c>
      <x:c r="E2454" s="22" t="str">
        <x:v>未利用地</x:v>
      </x:c>
      <x:c r="F2454" s="22" t="str">
        <x:v>水域及水利设施</x:v>
      </x:c>
      <x:c r="G2454" s="32" t="str">
        <x:v>1105</x:v>
      </x:c>
      <x:c r="H2454" s="32" t="str">
        <x:v>1105</x:v>
      </x:c>
      <x:c r="I2454" s="22" t="str">
        <x:v>沿海滩涂</x:v>
      </x:c>
      <x:c r="J2454" s="22" t="str">
        <x:v>农业生态</x:v>
      </x:c>
      <x:c r="K2454" s="32" t="str"/>
      <x:c r="L2454" s="22" t="str">
        <x:v>不适用/未标注</x:v>
      </x:c>
      <x:c r="M2454" s="33" t="n">
        <x:v>27845282.31</x:v>
      </x:c>
      <x:c r="N2454" s="33" t="n">
        <x:v>2784.528231</x:v>
      </x:c>
      <x:c r="O2454" s="22" t="str">
        <x:v>公顷</x:v>
      </x:c>
      <x:c r="P2454" s="22" t="str">
        <x:v>未提供（单期横截面）</x:v>
      </x:c>
      <x:c r="Q2454" s="23" t="n">
        <x:v>5433</x:v>
      </x:c>
    </x:row>
    <x:row r="2455">
      <x:c r="A2455" s="30" t="n">
        <x:v>350600</x:v>
      </x:c>
      <x:c r="B2455" s="22" t="str">
        <x:v>漳州市</x:v>
      </x:c>
      <x:c r="C2455" s="31" t="n">
        <x:v>350624</x:v>
      </x:c>
      <x:c r="D2455" s="22" t="str">
        <x:v>诏安县</x:v>
      </x:c>
      <x:c r="E2455" s="22" t="str">
        <x:v>未利用地</x:v>
      </x:c>
      <x:c r="F2455" s="22" t="str">
        <x:v>水域及水利设施</x:v>
      </x:c>
      <x:c r="G2455" s="32" t="str">
        <x:v>1106</x:v>
      </x:c>
      <x:c r="H2455" s="32" t="str">
        <x:v>1106</x:v>
      </x:c>
      <x:c r="I2455" s="22" t="str">
        <x:v>内陆滩涂</x:v>
      </x:c>
      <x:c r="J2455" s="22" t="str">
        <x:v>农业生态</x:v>
      </x:c>
      <x:c r="K2455" s="32" t="str"/>
      <x:c r="L2455" s="22" t="str">
        <x:v>不适用/未标注</x:v>
      </x:c>
      <x:c r="M2455" s="33" t="n">
        <x:v>1151583.9899999998</x:v>
      </x:c>
      <x:c r="N2455" s="33" t="n">
        <x:v>115.15839899999997</x:v>
      </x:c>
      <x:c r="O2455" s="22" t="str">
        <x:v>公顷</x:v>
      </x:c>
      <x:c r="P2455" s="22" t="str">
        <x:v>未提供（单期横截面）</x:v>
      </x:c>
      <x:c r="Q2455" s="23" t="n">
        <x:v>5434</x:v>
      </x:c>
    </x:row>
    <x:row r="2456">
      <x:c r="A2456" s="30" t="n">
        <x:v>350600</x:v>
      </x:c>
      <x:c r="B2456" s="22" t="str">
        <x:v>漳州市</x:v>
      </x:c>
      <x:c r="C2456" s="31" t="n">
        <x:v>350624</x:v>
      </x:c>
      <x:c r="D2456" s="22" t="str">
        <x:v>诏安县</x:v>
      </x:c>
      <x:c r="E2456" s="22" t="str">
        <x:v>未利用地</x:v>
      </x:c>
      <x:c r="F2456" s="22" t="str">
        <x:v>未利用地</x:v>
      </x:c>
      <x:c r="G2456" s="32" t="str">
        <x:v>1206</x:v>
      </x:c>
      <x:c r="H2456" s="32" t="str">
        <x:v>1206</x:v>
      </x:c>
      <x:c r="I2456" s="22" t="str">
        <x:v>裸土地</x:v>
      </x:c>
      <x:c r="J2456" s="22" t="str">
        <x:v>未利用地</x:v>
      </x:c>
      <x:c r="K2456" s="32" t="str"/>
      <x:c r="L2456" s="22" t="str">
        <x:v>不适用/未标注</x:v>
      </x:c>
      <x:c r="M2456" s="33" t="n">
        <x:v>6867.25</x:v>
      </x:c>
      <x:c r="N2456" s="33" t="n">
        <x:v>0.686725</x:v>
      </x:c>
      <x:c r="O2456" s="22" t="str">
        <x:v>公顷</x:v>
      </x:c>
      <x:c r="P2456" s="22" t="str">
        <x:v>未提供（单期横截面）</x:v>
      </x:c>
      <x:c r="Q2456" s="23" t="n">
        <x:v>5435</x:v>
      </x:c>
    </x:row>
    <x:row r="2457">
      <x:c r="A2457" s="30" t="n">
        <x:v>350600</x:v>
      </x:c>
      <x:c r="B2457" s="22" t="str">
        <x:v>漳州市</x:v>
      </x:c>
      <x:c r="C2457" s="31" t="n">
        <x:v>350624</x:v>
      </x:c>
      <x:c r="D2457" s="22" t="str">
        <x:v>诏安县</x:v>
      </x:c>
      <x:c r="E2457" s="22" t="str">
        <x:v>未利用地</x:v>
      </x:c>
      <x:c r="F2457" s="22" t="str">
        <x:v>未利用地</x:v>
      </x:c>
      <x:c r="G2457" s="32" t="str">
        <x:v>1207</x:v>
      </x:c>
      <x:c r="H2457" s="32" t="str">
        <x:v>1207</x:v>
      </x:c>
      <x:c r="I2457" s="22" t="str">
        <x:v>裸岩石砾地</x:v>
      </x:c>
      <x:c r="J2457" s="22" t="str">
        <x:v>未利用地</x:v>
      </x:c>
      <x:c r="K2457" s="32" t="str"/>
      <x:c r="L2457" s="22" t="str">
        <x:v>不适用/未标注</x:v>
      </x:c>
      <x:c r="M2457" s="33" t="n">
        <x:v>9940388.430000009</x:v>
      </x:c>
      <x:c r="N2457" s="33" t="n">
        <x:v>994.038843000001</x:v>
      </x:c>
      <x:c r="O2457" s="22" t="str">
        <x:v>公顷</x:v>
      </x:c>
      <x:c r="P2457" s="22" t="str">
        <x:v>未提供（单期横截面）</x:v>
      </x:c>
      <x:c r="Q2457" s="23" t="n">
        <x:v>5436</x:v>
      </x:c>
    </x:row>
    <x:row r="2458">
      <x:c r="A2458" s="30" t="n">
        <x:v>350600</x:v>
      </x:c>
      <x:c r="B2458" s="22" t="str">
        <x:v>漳州市</x:v>
      </x:c>
      <x:c r="C2458" s="31" t="n">
        <x:v>350624</x:v>
      </x:c>
      <x:c r="D2458" s="22" t="str">
        <x:v>诏安县</x:v>
      </x:c>
      <x:c r="E2458" s="22" t="str">
        <x:v>未利用地</x:v>
      </x:c>
      <x:c r="F2458" s="22" t="str">
        <x:v>草地</x:v>
      </x:c>
      <x:c r="G2458" s="32" t="str">
        <x:v>404</x:v>
      </x:c>
      <x:c r="H2458" s="32" t="str">
        <x:v>404</x:v>
      </x:c>
      <x:c r="I2458" s="22" t="str">
        <x:v>其他草地</x:v>
      </x:c>
      <x:c r="J2458" s="22" t="str">
        <x:v>农业生态</x:v>
      </x:c>
      <x:c r="K2458" s="32" t="str">
        <x:v>202</x:v>
      </x:c>
      <x:c r="L2458" s="22" t="str">
        <x:v>建制镇范围</x:v>
      </x:c>
      <x:c r="M2458" s="33" t="n">
        <x:v>42430.990000000005</x:v>
      </x:c>
      <x:c r="N2458" s="33" t="n">
        <x:v>4.243099000000001</x:v>
      </x:c>
      <x:c r="O2458" s="22" t="str">
        <x:v>公顷</x:v>
      </x:c>
      <x:c r="P2458" s="22" t="str">
        <x:v>未提供（单期横截面）</x:v>
      </x:c>
      <x:c r="Q2458" s="23" t="n">
        <x:v>5437</x:v>
      </x:c>
    </x:row>
    <x:row r="2459">
      <x:c r="A2459" s="30" t="n">
        <x:v>350600</x:v>
      </x:c>
      <x:c r="B2459" s="22" t="str">
        <x:v>漳州市</x:v>
      </x:c>
      <x:c r="C2459" s="31" t="n">
        <x:v>350624</x:v>
      </x:c>
      <x:c r="D2459" s="22" t="str">
        <x:v>诏安县</x:v>
      </x:c>
      <x:c r="E2459" s="22" t="str">
        <x:v>未利用地</x:v>
      </x:c>
      <x:c r="F2459" s="22" t="str">
        <x:v>草地</x:v>
      </x:c>
      <x:c r="G2459" s="32" t="str">
        <x:v>404</x:v>
      </x:c>
      <x:c r="H2459" s="32" t="str">
        <x:v>404</x:v>
      </x:c>
      <x:c r="I2459" s="22" t="str">
        <x:v>其他草地</x:v>
      </x:c>
      <x:c r="J2459" s="22" t="str">
        <x:v>农业生态</x:v>
      </x:c>
      <x:c r="K2459" s="32" t="str">
        <x:v>203</x:v>
      </x:c>
      <x:c r="L2459" s="22" t="str">
        <x:v>村庄范围</x:v>
      </x:c>
      <x:c r="M2459" s="33" t="n">
        <x:v>173034.52000000002</x:v>
      </x:c>
      <x:c r="N2459" s="33" t="n">
        <x:v>17.303452000000004</x:v>
      </x:c>
      <x:c r="O2459" s="22" t="str">
        <x:v>公顷</x:v>
      </x:c>
      <x:c r="P2459" s="22" t="str">
        <x:v>未提供（单期横截面）</x:v>
      </x:c>
      <x:c r="Q2459" s="23" t="n">
        <x:v>5438</x:v>
      </x:c>
    </x:row>
    <x:row r="2460">
      <x:c r="A2460" s="30" t="n">
        <x:v>350600</x:v>
      </x:c>
      <x:c r="B2460" s="22" t="str">
        <x:v>漳州市</x:v>
      </x:c>
      <x:c r="C2460" s="31" t="n">
        <x:v>350624</x:v>
      </x:c>
      <x:c r="D2460" s="22" t="str">
        <x:v>诏安县</x:v>
      </x:c>
      <x:c r="E2460" s="22" t="str">
        <x:v>未利用地</x:v>
      </x:c>
      <x:c r="F2460" s="22" t="str">
        <x:v>水域及水利设施</x:v>
      </x:c>
      <x:c r="G2460" s="32" t="str">
        <x:v>1101</x:v>
      </x:c>
      <x:c r="H2460" s="32" t="str">
        <x:v>1101</x:v>
      </x:c>
      <x:c r="I2460" s="22" t="str">
        <x:v>河流水面</x:v>
      </x:c>
      <x:c r="J2460" s="22" t="str">
        <x:v>农业生态</x:v>
      </x:c>
      <x:c r="K2460" s="32" t="str">
        <x:v>203</x:v>
      </x:c>
      <x:c r="L2460" s="22" t="str">
        <x:v>村庄范围</x:v>
      </x:c>
      <x:c r="M2460" s="33" t="n">
        <x:v>542.99</x:v>
      </x:c>
      <x:c r="N2460" s="33" t="n">
        <x:v>0.054299</x:v>
      </x:c>
      <x:c r="O2460" s="22" t="str">
        <x:v>公顷</x:v>
      </x:c>
      <x:c r="P2460" s="22" t="str">
        <x:v>未提供（单期横截面）</x:v>
      </x:c>
      <x:c r="Q2460" s="23" t="n">
        <x:v>5439</x:v>
      </x:c>
    </x:row>
    <x:row r="2461">
      <x:c r="A2461" s="30" t="n">
        <x:v>350600</x:v>
      </x:c>
      <x:c r="B2461" s="22" t="str">
        <x:v>漳州市</x:v>
      </x:c>
      <x:c r="C2461" s="31" t="n">
        <x:v>350625</x:v>
      </x:c>
      <x:c r="D2461" s="22" t="str">
        <x:v>长泰区</x:v>
      </x:c>
      <x:c r="E2461" s="22" t="str">
        <x:v>建设用地</x:v>
      </x:c>
      <x:c r="F2461" s="22" t="str">
        <x:v>交通运输用地</x:v>
      </x:c>
      <x:c r="G2461" s="32" t="str">
        <x:v>1001</x:v>
      </x:c>
      <x:c r="H2461" s="32" t="str">
        <x:v>1001</x:v>
      </x:c>
      <x:c r="I2461" s="22" t="str">
        <x:v>铁路用地</x:v>
      </x:c>
      <x:c r="J2461" s="22" t="str">
        <x:v>交通门户</x:v>
      </x:c>
      <x:c r="K2461" s="32" t="str"/>
      <x:c r="L2461" s="22" t="str">
        <x:v>不适用/未标注</x:v>
      </x:c>
      <x:c r="M2461" s="33" t="n">
        <x:v>77792.84</x:v>
      </x:c>
      <x:c r="N2461" s="33" t="n">
        <x:v>7.779284</x:v>
      </x:c>
      <x:c r="O2461" s="22" t="str">
        <x:v>公顷</x:v>
      </x:c>
      <x:c r="P2461" s="22" t="str">
        <x:v>未提供（单期横截面）</x:v>
      </x:c>
      <x:c r="Q2461" s="23" t="n">
        <x:v>5440</x:v>
      </x:c>
    </x:row>
    <x:row r="2462">
      <x:c r="A2462" s="30" t="n">
        <x:v>350600</x:v>
      </x:c>
      <x:c r="B2462" s="22" t="str">
        <x:v>漳州市</x:v>
      </x:c>
      <x:c r="C2462" s="31" t="n">
        <x:v>350625</x:v>
      </x:c>
      <x:c r="D2462" s="22" t="str">
        <x:v>长泰区</x:v>
      </x:c>
      <x:c r="E2462" s="22" t="str">
        <x:v>建设用地</x:v>
      </x:c>
      <x:c r="F2462" s="22" t="str">
        <x:v>交通运输用地</x:v>
      </x:c>
      <x:c r="G2462" s="32" t="str">
        <x:v>1003</x:v>
      </x:c>
      <x:c r="H2462" s="32" t="str">
        <x:v>1003</x:v>
      </x:c>
      <x:c r="I2462" s="22" t="str">
        <x:v>公路用地</x:v>
      </x:c>
      <x:c r="J2462" s="22" t="str">
        <x:v>交通门户</x:v>
      </x:c>
      <x:c r="K2462" s="32" t="str"/>
      <x:c r="L2462" s="22" t="str">
        <x:v>不适用/未标注</x:v>
      </x:c>
      <x:c r="M2462" s="33" t="n">
        <x:v>12100248.280000005</x:v>
      </x:c>
      <x:c r="N2462" s="33" t="n">
        <x:v>1210.0248280000005</x:v>
      </x:c>
      <x:c r="O2462" s="22" t="str">
        <x:v>公顷</x:v>
      </x:c>
      <x:c r="P2462" s="22" t="str">
        <x:v>未提供（单期横截面）</x:v>
      </x:c>
      <x:c r="Q2462" s="23" t="n">
        <x:v>5441</x:v>
      </x:c>
    </x:row>
    <x:row r="2463">
      <x:c r="A2463" s="30" t="n">
        <x:v>350600</x:v>
      </x:c>
      <x:c r="B2463" s="22" t="str">
        <x:v>漳州市</x:v>
      </x:c>
      <x:c r="C2463" s="31" t="n">
        <x:v>350625</x:v>
      </x:c>
      <x:c r="D2463" s="22" t="str">
        <x:v>长泰区</x:v>
      </x:c>
      <x:c r="E2463" s="22" t="str">
        <x:v>建设用地</x:v>
      </x:c>
      <x:c r="F2463" s="22" t="str">
        <x:v>水域及水利设施</x:v>
      </x:c>
      <x:c r="G2463" s="32" t="str">
        <x:v>1109</x:v>
      </x:c>
      <x:c r="H2463" s="32" t="str">
        <x:v>1109</x:v>
      </x:c>
      <x:c r="I2463" s="22" t="str">
        <x:v>水工建筑用地</x:v>
      </x:c>
      <x:c r="J2463" s="22" t="str">
        <x:v>其他建设</x:v>
      </x:c>
      <x:c r="K2463" s="32" t="str"/>
      <x:c r="L2463" s="22" t="str">
        <x:v>不适用/未标注</x:v>
      </x:c>
      <x:c r="M2463" s="33" t="n">
        <x:v>1698118.4399999992</x:v>
      </x:c>
      <x:c r="N2463" s="33" t="n">
        <x:v>169.81184399999992</x:v>
      </x:c>
      <x:c r="O2463" s="22" t="str">
        <x:v>公顷</x:v>
      </x:c>
      <x:c r="P2463" s="22" t="str">
        <x:v>未提供（单期横截面）</x:v>
      </x:c>
      <x:c r="Q2463" s="23" t="n">
        <x:v>5442</x:v>
      </x:c>
    </x:row>
    <x:row r="2464">
      <x:c r="A2464" s="30" t="n">
        <x:v>350600</x:v>
      </x:c>
      <x:c r="B2464" s="22" t="str">
        <x:v>漳州市</x:v>
      </x:c>
      <x:c r="C2464" s="31" t="n">
        <x:v>350625</x:v>
      </x:c>
      <x:c r="D2464" s="22" t="str">
        <x:v>长泰区</x:v>
      </x:c>
      <x:c r="E2464" s="22" t="str">
        <x:v>建设用地</x:v>
      </x:c>
      <x:c r="F2464" s="22" t="str">
        <x:v>工矿仓储用地</x:v>
      </x:c>
      <x:c r="G2464" s="32" t="str">
        <x:v>508</x:v>
      </x:c>
      <x:c r="H2464" s="32" t="str">
        <x:v>508</x:v>
      </x:c>
      <x:c r="I2464" s="22" t="str">
        <x:v>物流仓储用地</x:v>
      </x:c>
      <x:c r="J2464" s="22" t="str">
        <x:v>产业功能</x:v>
      </x:c>
      <x:c r="K2464" s="32" t="str">
        <x:v>202</x:v>
      </x:c>
      <x:c r="L2464" s="22" t="str">
        <x:v>建制镇范围</x:v>
      </x:c>
      <x:c r="M2464" s="33" t="n">
        <x:v>44570.64</x:v>
      </x:c>
      <x:c r="N2464" s="33" t="n">
        <x:v>4.457064</x:v>
      </x:c>
      <x:c r="O2464" s="22" t="str">
        <x:v>公顷</x:v>
      </x:c>
      <x:c r="P2464" s="22" t="str">
        <x:v>未提供（单期横截面）</x:v>
      </x:c>
      <x:c r="Q2464" s="23" t="n">
        <x:v>5443</x:v>
      </x:c>
    </x:row>
    <x:row r="2465">
      <x:c r="A2465" s="30" t="n">
        <x:v>350600</x:v>
      </x:c>
      <x:c r="B2465" s="22" t="str">
        <x:v>漳州市</x:v>
      </x:c>
      <x:c r="C2465" s="31" t="n">
        <x:v>350625</x:v>
      </x:c>
      <x:c r="D2465" s="22" t="str">
        <x:v>长泰区</x:v>
      </x:c>
      <x:c r="E2465" s="22" t="str">
        <x:v>建设用地</x:v>
      </x:c>
      <x:c r="F2465" s="22" t="str">
        <x:v>商业服务业用地</x:v>
      </x:c>
      <x:c r="G2465" s="32" t="str">
        <x:v>05H1</x:v>
      </x:c>
      <x:c r="H2465" s="32" t="str">
        <x:v>05H1</x:v>
      </x:c>
      <x:c r="I2465" s="22" t="str">
        <x:v>商业服务业设施用地</x:v>
      </x:c>
      <x:c r="J2465" s="22" t="str">
        <x:v>商业服务</x:v>
      </x:c>
      <x:c r="K2465" s="32" t="str">
        <x:v>202</x:v>
      </x:c>
      <x:c r="L2465" s="22" t="str">
        <x:v>建制镇范围</x:v>
      </x:c>
      <x:c r="M2465" s="33" t="n">
        <x:v>1333200.3399999996</x:v>
      </x:c>
      <x:c r="N2465" s="33" t="n">
        <x:v>133.32003399999996</x:v>
      </x:c>
      <x:c r="O2465" s="22" t="str">
        <x:v>公顷</x:v>
      </x:c>
      <x:c r="P2465" s="22" t="str">
        <x:v>未提供（单期横截面）</x:v>
      </x:c>
      <x:c r="Q2465" s="23" t="n">
        <x:v>5444</x:v>
      </x:c>
    </x:row>
    <x:row r="2466">
      <x:c r="A2466" s="30" t="n">
        <x:v>350600</x:v>
      </x:c>
      <x:c r="B2466" s="22" t="str">
        <x:v>漳州市</x:v>
      </x:c>
      <x:c r="C2466" s="31" t="n">
        <x:v>350625</x:v>
      </x:c>
      <x:c r="D2466" s="22" t="str">
        <x:v>长泰区</x:v>
      </x:c>
      <x:c r="E2466" s="22" t="str">
        <x:v>建设用地</x:v>
      </x:c>
      <x:c r="F2466" s="22" t="str">
        <x:v>工矿仓储用地</x:v>
      </x:c>
      <x:c r="G2466" s="32" t="str">
        <x:v>601</x:v>
      </x:c>
      <x:c r="H2466" s="32" t="str">
        <x:v>601</x:v>
      </x:c>
      <x:c r="I2466" s="22" t="str">
        <x:v>工业用地</x:v>
      </x:c>
      <x:c r="J2466" s="22" t="str">
        <x:v>产业功能</x:v>
      </x:c>
      <x:c r="K2466" s="32" t="str">
        <x:v>202</x:v>
      </x:c>
      <x:c r="L2466" s="22" t="str">
        <x:v>建制镇范围</x:v>
      </x:c>
      <x:c r="M2466" s="33" t="n">
        <x:v>16210712.799999999</x:v>
      </x:c>
      <x:c r="N2466" s="33" t="n">
        <x:v>1621.07128</x:v>
      </x:c>
      <x:c r="O2466" s="22" t="str">
        <x:v>公顷</x:v>
      </x:c>
      <x:c r="P2466" s="22" t="str">
        <x:v>未提供（单期横截面）</x:v>
      </x:c>
      <x:c r="Q2466" s="23" t="n">
        <x:v>5445</x:v>
      </x:c>
    </x:row>
    <x:row r="2467">
      <x:c r="A2467" s="30" t="n">
        <x:v>350600</x:v>
      </x:c>
      <x:c r="B2467" s="22" t="str">
        <x:v>漳州市</x:v>
      </x:c>
      <x:c r="C2467" s="31" t="n">
        <x:v>350625</x:v>
      </x:c>
      <x:c r="D2467" s="22" t="str">
        <x:v>长泰区</x:v>
      </x:c>
      <x:c r="E2467" s="22" t="str">
        <x:v>建设用地</x:v>
      </x:c>
      <x:c r="F2467" s="22" t="str">
        <x:v>居住用地</x:v>
      </x:c>
      <x:c r="G2467" s="32" t="str">
        <x:v>701</x:v>
      </x:c>
      <x:c r="H2467" s="32" t="str">
        <x:v>701</x:v>
      </x:c>
      <x:c r="I2467" s="22" t="str">
        <x:v>城镇住宅用地</x:v>
      </x:c>
      <x:c r="J2467" s="22" t="str">
        <x:v>居住功能</x:v>
      </x:c>
      <x:c r="K2467" s="32" t="str">
        <x:v>202</x:v>
      </x:c>
      <x:c r="L2467" s="22" t="str">
        <x:v>建制镇范围</x:v>
      </x:c>
      <x:c r="M2467" s="33" t="n">
        <x:v>6208102.890000002</x:v>
      </x:c>
      <x:c r="N2467" s="33" t="n">
        <x:v>620.8102890000002</x:v>
      </x:c>
      <x:c r="O2467" s="22" t="str">
        <x:v>公顷</x:v>
      </x:c>
      <x:c r="P2467" s="22" t="str">
        <x:v>未提供（单期横截面）</x:v>
      </x:c>
      <x:c r="Q2467" s="23" t="n">
        <x:v>5446</x:v>
      </x:c>
    </x:row>
    <x:row r="2468">
      <x:c r="A2468" s="30" t="n">
        <x:v>350600</x:v>
      </x:c>
      <x:c r="B2468" s="22" t="str">
        <x:v>漳州市</x:v>
      </x:c>
      <x:c r="C2468" s="31" t="n">
        <x:v>350625</x:v>
      </x:c>
      <x:c r="D2468" s="22" t="str">
        <x:v>长泰区</x:v>
      </x:c>
      <x:c r="E2468" s="22" t="str">
        <x:v>建设用地</x:v>
      </x:c>
      <x:c r="F2468" s="22" t="str">
        <x:v>居住用地</x:v>
      </x:c>
      <x:c r="G2468" s="32" t="str">
        <x:v>702</x:v>
      </x:c>
      <x:c r="H2468" s="32" t="str">
        <x:v>702</x:v>
      </x:c>
      <x:c r="I2468" s="22" t="str">
        <x:v>农村宅基地</x:v>
      </x:c>
      <x:c r="J2468" s="22" t="str">
        <x:v>居住功能</x:v>
      </x:c>
      <x:c r="K2468" s="32" t="str">
        <x:v>202</x:v>
      </x:c>
      <x:c r="L2468" s="22" t="str">
        <x:v>建制镇范围</x:v>
      </x:c>
      <x:c r="M2468" s="33" t="n">
        <x:v>41707.82</x:v>
      </x:c>
      <x:c r="N2468" s="33" t="n">
        <x:v>4.170782</x:v>
      </x:c>
      <x:c r="O2468" s="22" t="str">
        <x:v>公顷</x:v>
      </x:c>
      <x:c r="P2468" s="22" t="str">
        <x:v>未提供（单期横截面）</x:v>
      </x:c>
      <x:c r="Q2468" s="23" t="n">
        <x:v>5447</x:v>
      </x:c>
    </x:row>
    <x:row r="2469">
      <x:c r="A2469" s="30" t="n">
        <x:v>350600</x:v>
      </x:c>
      <x:c r="B2469" s="22" t="str">
        <x:v>漳州市</x:v>
      </x:c>
      <x:c r="C2469" s="31" t="n">
        <x:v>350625</x:v>
      </x:c>
      <x:c r="D2469" s="22" t="str">
        <x:v>长泰区</x:v>
      </x:c>
      <x:c r="E2469" s="22" t="str">
        <x:v>建设用地</x:v>
      </x:c>
      <x:c r="F2469" s="22" t="str">
        <x:v>公用设施用地</x:v>
      </x:c>
      <x:c r="G2469" s="32" t="str">
        <x:v>809</x:v>
      </x:c>
      <x:c r="H2469" s="32" t="str">
        <x:v>809</x:v>
      </x:c>
      <x:c r="I2469" s="22" t="str">
        <x:v>公用设施用地</x:v>
      </x:c>
      <x:c r="J2469" s="22" t="str">
        <x:v>其他建设</x:v>
      </x:c>
      <x:c r="K2469" s="32" t="str">
        <x:v>202</x:v>
      </x:c>
      <x:c r="L2469" s="22" t="str">
        <x:v>建制镇范围</x:v>
      </x:c>
      <x:c r="M2469" s="33" t="n">
        <x:v>152993.08</x:v>
      </x:c>
      <x:c r="N2469" s="33" t="n">
        <x:v>15.299307999999998</x:v>
      </x:c>
      <x:c r="O2469" s="22" t="str">
        <x:v>公顷</x:v>
      </x:c>
      <x:c r="P2469" s="22" t="str">
        <x:v>未提供（单期横截面）</x:v>
      </x:c>
      <x:c r="Q2469" s="23" t="n">
        <x:v>5448</x:v>
      </x:c>
    </x:row>
    <x:row r="2470">
      <x:c r="A2470" s="30" t="n">
        <x:v>350600</x:v>
      </x:c>
      <x:c r="B2470" s="22" t="str">
        <x:v>漳州市</x:v>
      </x:c>
      <x:c r="C2470" s="31" t="n">
        <x:v>350625</x:v>
      </x:c>
      <x:c r="D2470" s="22" t="str">
        <x:v>长泰区</x:v>
      </x:c>
      <x:c r="E2470" s="22" t="str">
        <x:v>建设用地</x:v>
      </x:c>
      <x:c r="F2470" s="22" t="str">
        <x:v>绿地与广场用地</x:v>
      </x:c>
      <x:c r="G2470" s="32" t="str">
        <x:v>810</x:v>
      </x:c>
      <x:c r="H2470" s="32" t="str">
        <x:v>810</x:v>
      </x:c>
      <x:c r="I2470" s="22" t="str">
        <x:v>公园与绿地</x:v>
      </x:c>
      <x:c r="J2470" s="22" t="str">
        <x:v>公共空间</x:v>
      </x:c>
      <x:c r="K2470" s="32" t="str">
        <x:v>202</x:v>
      </x:c>
      <x:c r="L2470" s="22" t="str">
        <x:v>建制镇范围</x:v>
      </x:c>
      <x:c r="M2470" s="33" t="n">
        <x:v>592640.1100000001</x:v>
      </x:c>
      <x:c r="N2470" s="33" t="n">
        <x:v>59.26401100000001</x:v>
      </x:c>
      <x:c r="O2470" s="22" t="str">
        <x:v>公顷</x:v>
      </x:c>
      <x:c r="P2470" s="22" t="str">
        <x:v>未提供（单期横截面）</x:v>
      </x:c>
      <x:c r="Q2470" s="23" t="n">
        <x:v>5449</x:v>
      </x:c>
    </x:row>
    <x:row r="2471">
      <x:c r="A2471" s="30" t="n">
        <x:v>350600</x:v>
      </x:c>
      <x:c r="B2471" s="22" t="str">
        <x:v>漳州市</x:v>
      </x:c>
      <x:c r="C2471" s="31" t="n">
        <x:v>350625</x:v>
      </x:c>
      <x:c r="D2471" s="22" t="str">
        <x:v>长泰区</x:v>
      </x:c>
      <x:c r="E2471" s="22" t="str">
        <x:v>建设用地</x:v>
      </x:c>
      <x:c r="F2471" s="22" t="str">
        <x:v>绿地与广场用地</x:v>
      </x:c>
      <x:c r="G2471" s="32" t="str">
        <x:v>0810A</x:v>
      </x:c>
      <x:c r="H2471" s="32" t="str">
        <x:v>0810</x:v>
      </x:c>
      <x:c r="I2471" s="22" t="str">
        <x:v>广场用地</x:v>
      </x:c>
      <x:c r="J2471" s="22" t="str">
        <x:v>公共空间</x:v>
      </x:c>
      <x:c r="K2471" s="32" t="str">
        <x:v>202</x:v>
      </x:c>
      <x:c r="L2471" s="22" t="str">
        <x:v>建制镇范围</x:v>
      </x:c>
      <x:c r="M2471" s="33" t="n">
        <x:v>12820.94</x:v>
      </x:c>
      <x:c r="N2471" s="33" t="n">
        <x:v>1.282094</x:v>
      </x:c>
      <x:c r="O2471" s="22" t="str">
        <x:v>公顷</x:v>
      </x:c>
      <x:c r="P2471" s="22" t="str">
        <x:v>未提供（单期横截面）</x:v>
      </x:c>
      <x:c r="Q2471" s="23" t="n">
        <x:v>5450</x:v>
      </x:c>
    </x:row>
    <x:row r="2472">
      <x:c r="A2472" s="30" t="n">
        <x:v>350600</x:v>
      </x:c>
      <x:c r="B2472" s="22" t="str">
        <x:v>漳州市</x:v>
      </x:c>
      <x:c r="C2472" s="31" t="n">
        <x:v>350625</x:v>
      </x:c>
      <x:c r="D2472" s="22" t="str">
        <x:v>长泰区</x:v>
      </x:c>
      <x:c r="E2472" s="22" t="str">
        <x:v>建设用地</x:v>
      </x:c>
      <x:c r="F2472" s="22" t="str">
        <x:v>公共管理与公共服务用地</x:v>
      </x:c>
      <x:c r="G2472" s="32" t="str">
        <x:v>08H1</x:v>
      </x:c>
      <x:c r="H2472" s="32" t="str">
        <x:v>08H1</x:v>
      </x:c>
      <x:c r="I2472" s="22" t="str">
        <x:v>机关团体新闻出版用地</x:v>
      </x:c>
      <x:c r="J2472" s="22" t="str">
        <x:v>公共服务</x:v>
      </x:c>
      <x:c r="K2472" s="32" t="str">
        <x:v>202</x:v>
      </x:c>
      <x:c r="L2472" s="22" t="str">
        <x:v>建制镇范围</x:v>
      </x:c>
      <x:c r="M2472" s="33" t="n">
        <x:v>261037.55999999997</x:v>
      </x:c>
      <x:c r="N2472" s="33" t="n">
        <x:v>26.103755999999997</x:v>
      </x:c>
      <x:c r="O2472" s="22" t="str">
        <x:v>公顷</x:v>
      </x:c>
      <x:c r="P2472" s="22" t="str">
        <x:v>未提供（单期横截面）</x:v>
      </x:c>
      <x:c r="Q2472" s="23" t="n">
        <x:v>5451</x:v>
      </x:c>
    </x:row>
    <x:row r="2473">
      <x:c r="A2473" s="30" t="n">
        <x:v>350600</x:v>
      </x:c>
      <x:c r="B2473" s="22" t="str">
        <x:v>漳州市</x:v>
      </x:c>
      <x:c r="C2473" s="31" t="n">
        <x:v>350625</x:v>
      </x:c>
      <x:c r="D2473" s="22" t="str">
        <x:v>长泰区</x:v>
      </x:c>
      <x:c r="E2473" s="22" t="str">
        <x:v>建设用地</x:v>
      </x:c>
      <x:c r="F2473" s="22" t="str">
        <x:v>公共管理与公共服务用地</x:v>
      </x:c>
      <x:c r="G2473" s="32" t="str">
        <x:v>08H2</x:v>
      </x:c>
      <x:c r="H2473" s="32" t="str">
        <x:v>08H2</x:v>
      </x:c>
      <x:c r="I2473" s="22" t="str">
        <x:v>科教文卫用地</x:v>
      </x:c>
      <x:c r="J2473" s="22" t="str">
        <x:v>公共服务</x:v>
      </x:c>
      <x:c r="K2473" s="32" t="str">
        <x:v>202</x:v>
      </x:c>
      <x:c r="L2473" s="22" t="str">
        <x:v>建制镇范围</x:v>
      </x:c>
      <x:c r="M2473" s="33" t="n">
        <x:v>1082102.43</x:v>
      </x:c>
      <x:c r="N2473" s="33" t="n">
        <x:v>108.21024299999999</x:v>
      </x:c>
      <x:c r="O2473" s="22" t="str">
        <x:v>公顷</x:v>
      </x:c>
      <x:c r="P2473" s="22" t="str">
        <x:v>未提供（单期横截面）</x:v>
      </x:c>
      <x:c r="Q2473" s="23" t="n">
        <x:v>5452</x:v>
      </x:c>
    </x:row>
    <x:row r="2474">
      <x:c r="A2474" s="30" t="n">
        <x:v>350600</x:v>
      </x:c>
      <x:c r="B2474" s="22" t="str">
        <x:v>漳州市</x:v>
      </x:c>
      <x:c r="C2474" s="31" t="n">
        <x:v>350625</x:v>
      </x:c>
      <x:c r="D2474" s="22" t="str">
        <x:v>长泰区</x:v>
      </x:c>
      <x:c r="E2474" s="22" t="str">
        <x:v>建设用地</x:v>
      </x:c>
      <x:c r="F2474" s="22" t="str">
        <x:v>特殊用地</x:v>
      </x:c>
      <x:c r="G2474" s="32" t="str">
        <x:v>9</x:v>
      </x:c>
      <x:c r="H2474" s="32" t="str">
        <x:v>9</x:v>
      </x:c>
      <x:c r="I2474" s="22" t="str">
        <x:v>特殊用地</x:v>
      </x:c>
      <x:c r="J2474" s="22" t="str">
        <x:v>其他建设</x:v>
      </x:c>
      <x:c r="K2474" s="32" t="str">
        <x:v>202</x:v>
      </x:c>
      <x:c r="L2474" s="22" t="str">
        <x:v>建制镇范围</x:v>
      </x:c>
      <x:c r="M2474" s="33" t="n">
        <x:v>50677.5</x:v>
      </x:c>
      <x:c r="N2474" s="33" t="n">
        <x:v>5.06775</x:v>
      </x:c>
      <x:c r="O2474" s="22" t="str">
        <x:v>公顷</x:v>
      </x:c>
      <x:c r="P2474" s="22" t="str">
        <x:v>未提供（单期横截面）</x:v>
      </x:c>
      <x:c r="Q2474" s="23" t="n">
        <x:v>5453</x:v>
      </x:c>
    </x:row>
    <x:row r="2475">
      <x:c r="A2475" s="30" t="n">
        <x:v>350600</x:v>
      </x:c>
      <x:c r="B2475" s="22" t="str">
        <x:v>漳州市</x:v>
      </x:c>
      <x:c r="C2475" s="31" t="n">
        <x:v>350625</x:v>
      </x:c>
      <x:c r="D2475" s="22" t="str">
        <x:v>长泰区</x:v>
      </x:c>
      <x:c r="E2475" s="22" t="str">
        <x:v>建设用地</x:v>
      </x:c>
      <x:c r="F2475" s="22" t="str">
        <x:v>交通运输用地</x:v>
      </x:c>
      <x:c r="G2475" s="32" t="str">
        <x:v>1004</x:v>
      </x:c>
      <x:c r="H2475" s="32" t="str">
        <x:v>1004</x:v>
      </x:c>
      <x:c r="I2475" s="22" t="str">
        <x:v>城镇村道路用地</x:v>
      </x:c>
      <x:c r="J2475" s="22" t="str">
        <x:v>交通门户</x:v>
      </x:c>
      <x:c r="K2475" s="32" t="str">
        <x:v>202</x:v>
      </x:c>
      <x:c r="L2475" s="22" t="str">
        <x:v>建制镇范围</x:v>
      </x:c>
      <x:c r="M2475" s="33" t="n">
        <x:v>1056783.570000001</x:v>
      </x:c>
      <x:c r="N2475" s="33" t="n">
        <x:v>105.6783570000001</x:v>
      </x:c>
      <x:c r="O2475" s="22" t="str">
        <x:v>公顷</x:v>
      </x:c>
      <x:c r="P2475" s="22" t="str">
        <x:v>未提供（单期横截面）</x:v>
      </x:c>
      <x:c r="Q2475" s="23" t="n">
        <x:v>5454</x:v>
      </x:c>
    </x:row>
    <x:row r="2476">
      <x:c r="A2476" s="30" t="n">
        <x:v>350600</x:v>
      </x:c>
      <x:c r="B2476" s="22" t="str">
        <x:v>漳州市</x:v>
      </x:c>
      <x:c r="C2476" s="31" t="n">
        <x:v>350625</x:v>
      </x:c>
      <x:c r="D2476" s="22" t="str">
        <x:v>长泰区</x:v>
      </x:c>
      <x:c r="E2476" s="22" t="str">
        <x:v>建设用地</x:v>
      </x:c>
      <x:c r="F2476" s="22" t="str">
        <x:v>交通运输用地</x:v>
      </x:c>
      <x:c r="G2476" s="32" t="str">
        <x:v>1005</x:v>
      </x:c>
      <x:c r="H2476" s="32" t="str">
        <x:v>1005</x:v>
      </x:c>
      <x:c r="I2476" s="22" t="str">
        <x:v>交通服务场站用地</x:v>
      </x:c>
      <x:c r="J2476" s="22" t="str">
        <x:v>交通门户</x:v>
      </x:c>
      <x:c r="K2476" s="32" t="str">
        <x:v>202</x:v>
      </x:c>
      <x:c r="L2476" s="22" t="str">
        <x:v>建制镇范围</x:v>
      </x:c>
      <x:c r="M2476" s="33" t="n">
        <x:v>500874.26000000007</x:v>
      </x:c>
      <x:c r="N2476" s="33" t="n">
        <x:v>50.08742600000001</x:v>
      </x:c>
      <x:c r="O2476" s="22" t="str">
        <x:v>公顷</x:v>
      </x:c>
      <x:c r="P2476" s="22" t="str">
        <x:v>未提供（单期横截面）</x:v>
      </x:c>
      <x:c r="Q2476" s="23" t="n">
        <x:v>5455</x:v>
      </x:c>
    </x:row>
    <x:row r="2477">
      <x:c r="A2477" s="30" t="n">
        <x:v>350600</x:v>
      </x:c>
      <x:c r="B2477" s="22" t="str">
        <x:v>漳州市</x:v>
      </x:c>
      <x:c r="C2477" s="31" t="n">
        <x:v>350625</x:v>
      </x:c>
      <x:c r="D2477" s="22" t="str">
        <x:v>长泰区</x:v>
      </x:c>
      <x:c r="E2477" s="22" t="str">
        <x:v>建设用地</x:v>
      </x:c>
      <x:c r="F2477" s="22" t="str">
        <x:v>水域及水利设施</x:v>
      </x:c>
      <x:c r="G2477" s="32" t="str">
        <x:v>1109</x:v>
      </x:c>
      <x:c r="H2477" s="32" t="str">
        <x:v>1109</x:v>
      </x:c>
      <x:c r="I2477" s="22" t="str">
        <x:v>水工建筑用地</x:v>
      </x:c>
      <x:c r="J2477" s="22" t="str">
        <x:v>其他建设</x:v>
      </x:c>
      <x:c r="K2477" s="32" t="str">
        <x:v>202</x:v>
      </x:c>
      <x:c r="L2477" s="22" t="str">
        <x:v>建制镇范围</x:v>
      </x:c>
      <x:c r="M2477" s="33" t="n">
        <x:v>4493.14</x:v>
      </x:c>
      <x:c r="N2477" s="33" t="n">
        <x:v>0.44931400000000005</x:v>
      </x:c>
      <x:c r="O2477" s="22" t="str">
        <x:v>公顷</x:v>
      </x:c>
      <x:c r="P2477" s="22" t="str">
        <x:v>未提供（单期横截面）</x:v>
      </x:c>
      <x:c r="Q2477" s="23" t="n">
        <x:v>5456</x:v>
      </x:c>
    </x:row>
    <x:row r="2478">
      <x:c r="A2478" s="30" t="n">
        <x:v>350600</x:v>
      </x:c>
      <x:c r="B2478" s="22" t="str">
        <x:v>漳州市</x:v>
      </x:c>
      <x:c r="C2478" s="31" t="n">
        <x:v>350625</x:v>
      </x:c>
      <x:c r="D2478" s="22" t="str">
        <x:v>长泰区</x:v>
      </x:c>
      <x:c r="E2478" s="22" t="str">
        <x:v>建设用地</x:v>
      </x:c>
      <x:c r="F2478" s="22" t="str">
        <x:v>其他建设用地</x:v>
      </x:c>
      <x:c r="G2478" s="32" t="str">
        <x:v>1201</x:v>
      </x:c>
      <x:c r="H2478" s="32" t="str">
        <x:v>1201</x:v>
      </x:c>
      <x:c r="I2478" s="22" t="str">
        <x:v>空闲地</x:v>
      </x:c>
      <x:c r="J2478" s="22" t="str">
        <x:v>其他建设</x:v>
      </x:c>
      <x:c r="K2478" s="32" t="str">
        <x:v>202</x:v>
      </x:c>
      <x:c r="L2478" s="22" t="str">
        <x:v>建制镇范围</x:v>
      </x:c>
      <x:c r="M2478" s="33" t="n">
        <x:v>36867.86</x:v>
      </x:c>
      <x:c r="N2478" s="33" t="n">
        <x:v>3.686786</x:v>
      </x:c>
      <x:c r="O2478" s="22" t="str">
        <x:v>公顷</x:v>
      </x:c>
      <x:c r="P2478" s="22" t="str">
        <x:v>未提供（单期横截面）</x:v>
      </x:c>
      <x:c r="Q2478" s="23" t="n">
        <x:v>5457</x:v>
      </x:c>
    </x:row>
    <x:row r="2479">
      <x:c r="A2479" s="30" t="n">
        <x:v>350600</x:v>
      </x:c>
      <x:c r="B2479" s="22" t="str">
        <x:v>漳州市</x:v>
      </x:c>
      <x:c r="C2479" s="31" t="n">
        <x:v>350625</x:v>
      </x:c>
      <x:c r="D2479" s="22" t="str">
        <x:v>长泰区</x:v>
      </x:c>
      <x:c r="E2479" s="22" t="str">
        <x:v>建设用地</x:v>
      </x:c>
      <x:c r="F2479" s="22" t="str">
        <x:v>工矿仓储用地</x:v>
      </x:c>
      <x:c r="G2479" s="32" t="str">
        <x:v>601</x:v>
      </x:c>
      <x:c r="H2479" s="32" t="str">
        <x:v>601</x:v>
      </x:c>
      <x:c r="I2479" s="22" t="str">
        <x:v>工业用地</x:v>
      </x:c>
      <x:c r="J2479" s="22" t="str">
        <x:v>产业功能</x:v>
      </x:c>
      <x:c r="K2479" s="32" t="str">
        <x:v>202A</x:v>
      </x:c>
      <x:c r="L2479" s="22" t="str">
        <x:v>建制镇独立工业用地</x:v>
      </x:c>
      <x:c r="M2479" s="33" t="n">
        <x:v>202425.96000000005</x:v>
      </x:c>
      <x:c r="N2479" s="33" t="n">
        <x:v>20.242596000000006</x:v>
      </x:c>
      <x:c r="O2479" s="22" t="str">
        <x:v>公顷</x:v>
      </x:c>
      <x:c r="P2479" s="22" t="str">
        <x:v>未提供（单期横截面）</x:v>
      </x:c>
      <x:c r="Q2479" s="23" t="n">
        <x:v>5458</x:v>
      </x:c>
    </x:row>
    <x:row r="2480">
      <x:c r="A2480" s="30" t="n">
        <x:v>350600</x:v>
      </x:c>
      <x:c r="B2480" s="22" t="str">
        <x:v>漳州市</x:v>
      </x:c>
      <x:c r="C2480" s="31" t="n">
        <x:v>350625</x:v>
      </x:c>
      <x:c r="D2480" s="22" t="str">
        <x:v>长泰区</x:v>
      </x:c>
      <x:c r="E2480" s="22" t="str">
        <x:v>建设用地</x:v>
      </x:c>
      <x:c r="F2480" s="22" t="str">
        <x:v>工矿仓储用地</x:v>
      </x:c>
      <x:c r="G2480" s="32" t="str">
        <x:v>508</x:v>
      </x:c>
      <x:c r="H2480" s="32" t="str">
        <x:v>508</x:v>
      </x:c>
      <x:c r="I2480" s="22" t="str">
        <x:v>物流仓储用地</x:v>
      </x:c>
      <x:c r="J2480" s="22" t="str">
        <x:v>产业功能</x:v>
      </x:c>
      <x:c r="K2480" s="32" t="str">
        <x:v>203</x:v>
      </x:c>
      <x:c r="L2480" s="22" t="str">
        <x:v>村庄范围</x:v>
      </x:c>
      <x:c r="M2480" s="33" t="n">
        <x:v>65409.840000000004</x:v>
      </x:c>
      <x:c r="N2480" s="33" t="n">
        <x:v>6.540984000000001</x:v>
      </x:c>
      <x:c r="O2480" s="22" t="str">
        <x:v>公顷</x:v>
      </x:c>
      <x:c r="P2480" s="22" t="str">
        <x:v>未提供（单期横截面）</x:v>
      </x:c>
      <x:c r="Q2480" s="23" t="n">
        <x:v>5459</x:v>
      </x:c>
    </x:row>
    <x:row r="2481">
      <x:c r="A2481" s="30" t="n">
        <x:v>350600</x:v>
      </x:c>
      <x:c r="B2481" s="22" t="str">
        <x:v>漳州市</x:v>
      </x:c>
      <x:c r="C2481" s="31" t="n">
        <x:v>350625</x:v>
      </x:c>
      <x:c r="D2481" s="22" t="str">
        <x:v>长泰区</x:v>
      </x:c>
      <x:c r="E2481" s="22" t="str">
        <x:v>建设用地</x:v>
      </x:c>
      <x:c r="F2481" s="22" t="str">
        <x:v>商业服务业用地</x:v>
      </x:c>
      <x:c r="G2481" s="32" t="str">
        <x:v>05H1</x:v>
      </x:c>
      <x:c r="H2481" s="32" t="str">
        <x:v>05H1</x:v>
      </x:c>
      <x:c r="I2481" s="22" t="str">
        <x:v>商业服务业设施用地</x:v>
      </x:c>
      <x:c r="J2481" s="22" t="str">
        <x:v>商业服务</x:v>
      </x:c>
      <x:c r="K2481" s="32" t="str">
        <x:v>203</x:v>
      </x:c>
      <x:c r="L2481" s="22" t="str">
        <x:v>村庄范围</x:v>
      </x:c>
      <x:c r="M2481" s="33" t="n">
        <x:v>1100201.9799999997</x:v>
      </x:c>
      <x:c r="N2481" s="33" t="n">
        <x:v>110.02019799999998</x:v>
      </x:c>
      <x:c r="O2481" s="22" t="str">
        <x:v>公顷</x:v>
      </x:c>
      <x:c r="P2481" s="22" t="str">
        <x:v>未提供（单期横截面）</x:v>
      </x:c>
      <x:c r="Q2481" s="23" t="n">
        <x:v>5460</x:v>
      </x:c>
    </x:row>
    <x:row r="2482">
      <x:c r="A2482" s="30" t="n">
        <x:v>350600</x:v>
      </x:c>
      <x:c r="B2482" s="22" t="str">
        <x:v>漳州市</x:v>
      </x:c>
      <x:c r="C2482" s="31" t="n">
        <x:v>350625</x:v>
      </x:c>
      <x:c r="D2482" s="22" t="str">
        <x:v>长泰区</x:v>
      </x:c>
      <x:c r="E2482" s="22" t="str">
        <x:v>建设用地</x:v>
      </x:c>
      <x:c r="F2482" s="22" t="str">
        <x:v>工矿仓储用地</x:v>
      </x:c>
      <x:c r="G2482" s="32" t="str">
        <x:v>601</x:v>
      </x:c>
      <x:c r="H2482" s="32" t="str">
        <x:v>601</x:v>
      </x:c>
      <x:c r="I2482" s="22" t="str">
        <x:v>工业用地</x:v>
      </x:c>
      <x:c r="J2482" s="22" t="str">
        <x:v>产业功能</x:v>
      </x:c>
      <x:c r="K2482" s="32" t="str">
        <x:v>203</x:v>
      </x:c>
      <x:c r="L2482" s="22" t="str">
        <x:v>村庄范围</x:v>
      </x:c>
      <x:c r="M2482" s="33" t="n">
        <x:v>7410036.719999997</x:v>
      </x:c>
      <x:c r="N2482" s="33" t="n">
        <x:v>741.0036719999997</x:v>
      </x:c>
      <x:c r="O2482" s="22" t="str">
        <x:v>公顷</x:v>
      </x:c>
      <x:c r="P2482" s="22" t="str">
        <x:v>未提供（单期横截面）</x:v>
      </x:c>
      <x:c r="Q2482" s="23" t="n">
        <x:v>5461</x:v>
      </x:c>
    </x:row>
    <x:row r="2483">
      <x:c r="A2483" s="30" t="n">
        <x:v>350600</x:v>
      </x:c>
      <x:c r="B2483" s="22" t="str">
        <x:v>漳州市</x:v>
      </x:c>
      <x:c r="C2483" s="31" t="n">
        <x:v>350625</x:v>
      </x:c>
      <x:c r="D2483" s="22" t="str">
        <x:v>长泰区</x:v>
      </x:c>
      <x:c r="E2483" s="22" t="str">
        <x:v>建设用地</x:v>
      </x:c>
      <x:c r="F2483" s="22" t="str">
        <x:v>居住用地</x:v>
      </x:c>
      <x:c r="G2483" s="32" t="str">
        <x:v>701</x:v>
      </x:c>
      <x:c r="H2483" s="32" t="str">
        <x:v>701</x:v>
      </x:c>
      <x:c r="I2483" s="22" t="str">
        <x:v>城镇住宅用地</x:v>
      </x:c>
      <x:c r="J2483" s="22" t="str">
        <x:v>居住功能</x:v>
      </x:c>
      <x:c r="K2483" s="32" t="str">
        <x:v>203</x:v>
      </x:c>
      <x:c r="L2483" s="22" t="str">
        <x:v>村庄范围</x:v>
      </x:c>
      <x:c r="M2483" s="33" t="n">
        <x:v>1979.85</x:v>
      </x:c>
      <x:c r="N2483" s="33" t="n">
        <x:v>0.197985</x:v>
      </x:c>
      <x:c r="O2483" s="22" t="str">
        <x:v>公顷</x:v>
      </x:c>
      <x:c r="P2483" s="22" t="str">
        <x:v>未提供（单期横截面）</x:v>
      </x:c>
      <x:c r="Q2483" s="23" t="n">
        <x:v>5462</x:v>
      </x:c>
    </x:row>
    <x:row r="2484">
      <x:c r="A2484" s="30" t="n">
        <x:v>350600</x:v>
      </x:c>
      <x:c r="B2484" s="22" t="str">
        <x:v>漳州市</x:v>
      </x:c>
      <x:c r="C2484" s="31" t="n">
        <x:v>350625</x:v>
      </x:c>
      <x:c r="D2484" s="22" t="str">
        <x:v>长泰区</x:v>
      </x:c>
      <x:c r="E2484" s="22" t="str">
        <x:v>建设用地</x:v>
      </x:c>
      <x:c r="F2484" s="22" t="str">
        <x:v>居住用地</x:v>
      </x:c>
      <x:c r="G2484" s="32" t="str">
        <x:v>702</x:v>
      </x:c>
      <x:c r="H2484" s="32" t="str">
        <x:v>702</x:v>
      </x:c>
      <x:c r="I2484" s="22" t="str">
        <x:v>农村宅基地</x:v>
      </x:c>
      <x:c r="J2484" s="22" t="str">
        <x:v>居住功能</x:v>
      </x:c>
      <x:c r="K2484" s="32" t="str">
        <x:v>203</x:v>
      </x:c>
      <x:c r="L2484" s="22" t="str">
        <x:v>村庄范围</x:v>
      </x:c>
      <x:c r="M2484" s="33" t="n">
        <x:v>24425392.020000037</x:v>
      </x:c>
      <x:c r="N2484" s="33" t="n">
        <x:v>2442.5392020000036</x:v>
      </x:c>
      <x:c r="O2484" s="22" t="str">
        <x:v>公顷</x:v>
      </x:c>
      <x:c r="P2484" s="22" t="str">
        <x:v>未提供（单期横截面）</x:v>
      </x:c>
      <x:c r="Q2484" s="23" t="n">
        <x:v>5463</x:v>
      </x:c>
    </x:row>
    <x:row r="2485">
      <x:c r="A2485" s="30" t="n">
        <x:v>350600</x:v>
      </x:c>
      <x:c r="B2485" s="22" t="str">
        <x:v>漳州市</x:v>
      </x:c>
      <x:c r="C2485" s="31" t="n">
        <x:v>350625</x:v>
      </x:c>
      <x:c r="D2485" s="22" t="str">
        <x:v>长泰区</x:v>
      </x:c>
      <x:c r="E2485" s="22" t="str">
        <x:v>建设用地</x:v>
      </x:c>
      <x:c r="F2485" s="22" t="str">
        <x:v>公用设施用地</x:v>
      </x:c>
      <x:c r="G2485" s="32" t="str">
        <x:v>809</x:v>
      </x:c>
      <x:c r="H2485" s="32" t="str">
        <x:v>809</x:v>
      </x:c>
      <x:c r="I2485" s="22" t="str">
        <x:v>公用设施用地</x:v>
      </x:c>
      <x:c r="J2485" s="22" t="str">
        <x:v>其他建设</x:v>
      </x:c>
      <x:c r="K2485" s="32" t="str">
        <x:v>203</x:v>
      </x:c>
      <x:c r="L2485" s="22" t="str">
        <x:v>村庄范围</x:v>
      </x:c>
      <x:c r="M2485" s="33" t="n">
        <x:v>337935.35999999964</x:v>
      </x:c>
      <x:c r="N2485" s="33" t="n">
        <x:v>33.79353599999996</x:v>
      </x:c>
      <x:c r="O2485" s="22" t="str">
        <x:v>公顷</x:v>
      </x:c>
      <x:c r="P2485" s="22" t="str">
        <x:v>未提供（单期横截面）</x:v>
      </x:c>
      <x:c r="Q2485" s="23" t="n">
        <x:v>5464</x:v>
      </x:c>
    </x:row>
    <x:row r="2486">
      <x:c r="A2486" s="30" t="n">
        <x:v>350600</x:v>
      </x:c>
      <x:c r="B2486" s="22" t="str">
        <x:v>漳州市</x:v>
      </x:c>
      <x:c r="C2486" s="31" t="n">
        <x:v>350625</x:v>
      </x:c>
      <x:c r="D2486" s="22" t="str">
        <x:v>长泰区</x:v>
      </x:c>
      <x:c r="E2486" s="22" t="str">
        <x:v>建设用地</x:v>
      </x:c>
      <x:c r="F2486" s="22" t="str">
        <x:v>绿地与广场用地</x:v>
      </x:c>
      <x:c r="G2486" s="32" t="str">
        <x:v>810</x:v>
      </x:c>
      <x:c r="H2486" s="32" t="str">
        <x:v>810</x:v>
      </x:c>
      <x:c r="I2486" s="22" t="str">
        <x:v>公园与绿地</x:v>
      </x:c>
      <x:c r="J2486" s="22" t="str">
        <x:v>公共空间</x:v>
      </x:c>
      <x:c r="K2486" s="32" t="str">
        <x:v>203</x:v>
      </x:c>
      <x:c r="L2486" s="22" t="str">
        <x:v>村庄范围</x:v>
      </x:c>
      <x:c r="M2486" s="33" t="n">
        <x:v>472585.93999999965</x:v>
      </x:c>
      <x:c r="N2486" s="33" t="n">
        <x:v>47.25859399999997</x:v>
      </x:c>
      <x:c r="O2486" s="22" t="str">
        <x:v>公顷</x:v>
      </x:c>
      <x:c r="P2486" s="22" t="str">
        <x:v>未提供（单期横截面）</x:v>
      </x:c>
      <x:c r="Q2486" s="23" t="n">
        <x:v>5465</x:v>
      </x:c>
    </x:row>
    <x:row r="2487">
      <x:c r="A2487" s="30" t="n">
        <x:v>350600</x:v>
      </x:c>
      <x:c r="B2487" s="22" t="str">
        <x:v>漳州市</x:v>
      </x:c>
      <x:c r="C2487" s="31" t="n">
        <x:v>350625</x:v>
      </x:c>
      <x:c r="D2487" s="22" t="str">
        <x:v>长泰区</x:v>
      </x:c>
      <x:c r="E2487" s="22" t="str">
        <x:v>建设用地</x:v>
      </x:c>
      <x:c r="F2487" s="22" t="str">
        <x:v>绿地与广场用地</x:v>
      </x:c>
      <x:c r="G2487" s="32" t="str">
        <x:v>0810A</x:v>
      </x:c>
      <x:c r="H2487" s="32" t="str">
        <x:v>0810</x:v>
      </x:c>
      <x:c r="I2487" s="22" t="str">
        <x:v>广场用地</x:v>
      </x:c>
      <x:c r="J2487" s="22" t="str">
        <x:v>公共空间</x:v>
      </x:c>
      <x:c r="K2487" s="32" t="str">
        <x:v>203</x:v>
      </x:c>
      <x:c r="L2487" s="22" t="str">
        <x:v>村庄范围</x:v>
      </x:c>
      <x:c r="M2487" s="33" t="n">
        <x:v>50061.3</x:v>
      </x:c>
      <x:c r="N2487" s="33" t="n">
        <x:v>5.006130000000001</x:v>
      </x:c>
      <x:c r="O2487" s="22" t="str">
        <x:v>公顷</x:v>
      </x:c>
      <x:c r="P2487" s="22" t="str">
        <x:v>未提供（单期横截面）</x:v>
      </x:c>
      <x:c r="Q2487" s="23" t="n">
        <x:v>5466</x:v>
      </x:c>
    </x:row>
    <x:row r="2488">
      <x:c r="A2488" s="30" t="n">
        <x:v>350600</x:v>
      </x:c>
      <x:c r="B2488" s="22" t="str">
        <x:v>漳州市</x:v>
      </x:c>
      <x:c r="C2488" s="31" t="n">
        <x:v>350625</x:v>
      </x:c>
      <x:c r="D2488" s="22" t="str">
        <x:v>长泰区</x:v>
      </x:c>
      <x:c r="E2488" s="22" t="str">
        <x:v>建设用地</x:v>
      </x:c>
      <x:c r="F2488" s="22" t="str">
        <x:v>公共管理与公共服务用地</x:v>
      </x:c>
      <x:c r="G2488" s="32" t="str">
        <x:v>08H1</x:v>
      </x:c>
      <x:c r="H2488" s="32" t="str">
        <x:v>08H1</x:v>
      </x:c>
      <x:c r="I2488" s="22" t="str">
        <x:v>机关团体新闻出版用地</x:v>
      </x:c>
      <x:c r="J2488" s="22" t="str">
        <x:v>公共服务</x:v>
      </x:c>
      <x:c r="K2488" s="32" t="str">
        <x:v>203</x:v>
      </x:c>
      <x:c r="L2488" s="22" t="str">
        <x:v>村庄范围</x:v>
      </x:c>
      <x:c r="M2488" s="33" t="n">
        <x:v>181597.80999999994</x:v>
      </x:c>
      <x:c r="N2488" s="33" t="n">
        <x:v>18.159780999999995</x:v>
      </x:c>
      <x:c r="O2488" s="22" t="str">
        <x:v>公顷</x:v>
      </x:c>
      <x:c r="P2488" s="22" t="str">
        <x:v>未提供（单期横截面）</x:v>
      </x:c>
      <x:c r="Q2488" s="23" t="n">
        <x:v>5467</x:v>
      </x:c>
    </x:row>
    <x:row r="2489">
      <x:c r="A2489" s="30" t="n">
        <x:v>350600</x:v>
      </x:c>
      <x:c r="B2489" s="22" t="str">
        <x:v>漳州市</x:v>
      </x:c>
      <x:c r="C2489" s="31" t="n">
        <x:v>350625</x:v>
      </x:c>
      <x:c r="D2489" s="22" t="str">
        <x:v>长泰区</x:v>
      </x:c>
      <x:c r="E2489" s="22" t="str">
        <x:v>建设用地</x:v>
      </x:c>
      <x:c r="F2489" s="22" t="str">
        <x:v>公共管理与公共服务用地</x:v>
      </x:c>
      <x:c r="G2489" s="32" t="str">
        <x:v>08H2</x:v>
      </x:c>
      <x:c r="H2489" s="32" t="str">
        <x:v>08H2</x:v>
      </x:c>
      <x:c r="I2489" s="22" t="str">
        <x:v>科教文卫用地</x:v>
      </x:c>
      <x:c r="J2489" s="22" t="str">
        <x:v>公共服务</x:v>
      </x:c>
      <x:c r="K2489" s="32" t="str">
        <x:v>203</x:v>
      </x:c>
      <x:c r="L2489" s="22" t="str">
        <x:v>村庄范围</x:v>
      </x:c>
      <x:c r="M2489" s="33" t="n">
        <x:v>399555.6999999999</x:v>
      </x:c>
      <x:c r="N2489" s="33" t="n">
        <x:v>39.95556999999999</x:v>
      </x:c>
      <x:c r="O2489" s="22" t="str">
        <x:v>公顷</x:v>
      </x:c>
      <x:c r="P2489" s="22" t="str">
        <x:v>未提供（单期横截面）</x:v>
      </x:c>
      <x:c r="Q2489" s="23" t="n">
        <x:v>5468</x:v>
      </x:c>
    </x:row>
    <x:row r="2490">
      <x:c r="A2490" s="30" t="n">
        <x:v>350600</x:v>
      </x:c>
      <x:c r="B2490" s="22" t="str">
        <x:v>漳州市</x:v>
      </x:c>
      <x:c r="C2490" s="31" t="n">
        <x:v>350625</x:v>
      </x:c>
      <x:c r="D2490" s="22" t="str">
        <x:v>长泰区</x:v>
      </x:c>
      <x:c r="E2490" s="22" t="str">
        <x:v>建设用地</x:v>
      </x:c>
      <x:c r="F2490" s="22" t="str">
        <x:v>特殊用地</x:v>
      </x:c>
      <x:c r="G2490" s="32" t="str">
        <x:v>9</x:v>
      </x:c>
      <x:c r="H2490" s="32" t="str">
        <x:v>9</x:v>
      </x:c>
      <x:c r="I2490" s="22" t="str">
        <x:v>特殊用地</x:v>
      </x:c>
      <x:c r="J2490" s="22" t="str">
        <x:v>其他建设</x:v>
      </x:c>
      <x:c r="K2490" s="32" t="str">
        <x:v>203</x:v>
      </x:c>
      <x:c r="L2490" s="22" t="str">
        <x:v>村庄范围</x:v>
      </x:c>
      <x:c r="M2490" s="33" t="n">
        <x:v>88763.40000000004</x:v>
      </x:c>
      <x:c r="N2490" s="33" t="n">
        <x:v>8.876340000000004</x:v>
      </x:c>
      <x:c r="O2490" s="22" t="str">
        <x:v>公顷</x:v>
      </x:c>
      <x:c r="P2490" s="22" t="str">
        <x:v>未提供（单期横截面）</x:v>
      </x:c>
      <x:c r="Q2490" s="23" t="n">
        <x:v>5469</x:v>
      </x:c>
    </x:row>
    <x:row r="2491">
      <x:c r="A2491" s="30" t="n">
        <x:v>350600</x:v>
      </x:c>
      <x:c r="B2491" s="22" t="str">
        <x:v>漳州市</x:v>
      </x:c>
      <x:c r="C2491" s="31" t="n">
        <x:v>350625</x:v>
      </x:c>
      <x:c r="D2491" s="22" t="str">
        <x:v>长泰区</x:v>
      </x:c>
      <x:c r="E2491" s="22" t="str">
        <x:v>建设用地</x:v>
      </x:c>
      <x:c r="F2491" s="22" t="str">
        <x:v>交通运输用地</x:v>
      </x:c>
      <x:c r="G2491" s="32" t="str">
        <x:v>1004</x:v>
      </x:c>
      <x:c r="H2491" s="32" t="str">
        <x:v>1004</x:v>
      </x:c>
      <x:c r="I2491" s="22" t="str">
        <x:v>城镇村道路用地</x:v>
      </x:c>
      <x:c r="J2491" s="22" t="str">
        <x:v>交通门户</x:v>
      </x:c>
      <x:c r="K2491" s="32" t="str">
        <x:v>203</x:v>
      </x:c>
      <x:c r="L2491" s="22" t="str">
        <x:v>村庄范围</x:v>
      </x:c>
      <x:c r="M2491" s="33" t="n">
        <x:v>1188274.1799999988</x:v>
      </x:c>
      <x:c r="N2491" s="33" t="n">
        <x:v>118.82741799999988</x:v>
      </x:c>
      <x:c r="O2491" s="22" t="str">
        <x:v>公顷</x:v>
      </x:c>
      <x:c r="P2491" s="22" t="str">
        <x:v>未提供（单期横截面）</x:v>
      </x:c>
      <x:c r="Q2491" s="23" t="n">
        <x:v>5470</x:v>
      </x:c>
    </x:row>
    <x:row r="2492">
      <x:c r="A2492" s="30" t="n">
        <x:v>350600</x:v>
      </x:c>
      <x:c r="B2492" s="22" t="str">
        <x:v>漳州市</x:v>
      </x:c>
      <x:c r="C2492" s="31" t="n">
        <x:v>350625</x:v>
      </x:c>
      <x:c r="D2492" s="22" t="str">
        <x:v>长泰区</x:v>
      </x:c>
      <x:c r="E2492" s="22" t="str">
        <x:v>建设用地</x:v>
      </x:c>
      <x:c r="F2492" s="22" t="str">
        <x:v>交通运输用地</x:v>
      </x:c>
      <x:c r="G2492" s="32" t="str">
        <x:v>1005</x:v>
      </x:c>
      <x:c r="H2492" s="32" t="str">
        <x:v>1005</x:v>
      </x:c>
      <x:c r="I2492" s="22" t="str">
        <x:v>交通服务场站用地</x:v>
      </x:c>
      <x:c r="J2492" s="22" t="str">
        <x:v>交通门户</x:v>
      </x:c>
      <x:c r="K2492" s="32" t="str">
        <x:v>203</x:v>
      </x:c>
      <x:c r="L2492" s="22" t="str">
        <x:v>村庄范围</x:v>
      </x:c>
      <x:c r="M2492" s="33" t="n">
        <x:v>89229.01</x:v>
      </x:c>
      <x:c r="N2492" s="33" t="n">
        <x:v>8.922901</x:v>
      </x:c>
      <x:c r="O2492" s="22" t="str">
        <x:v>公顷</x:v>
      </x:c>
      <x:c r="P2492" s="22" t="str">
        <x:v>未提供（单期横截面）</x:v>
      </x:c>
      <x:c r="Q2492" s="23" t="n">
        <x:v>5471</x:v>
      </x:c>
    </x:row>
    <x:row r="2493">
      <x:c r="A2493" s="30" t="n">
        <x:v>350600</x:v>
      </x:c>
      <x:c r="B2493" s="22" t="str">
        <x:v>漳州市</x:v>
      </x:c>
      <x:c r="C2493" s="31" t="n">
        <x:v>350625</x:v>
      </x:c>
      <x:c r="D2493" s="22" t="str">
        <x:v>长泰区</x:v>
      </x:c>
      <x:c r="E2493" s="22" t="str">
        <x:v>建设用地</x:v>
      </x:c>
      <x:c r="F2493" s="22" t="str">
        <x:v>其他建设用地</x:v>
      </x:c>
      <x:c r="G2493" s="32" t="str">
        <x:v>1201</x:v>
      </x:c>
      <x:c r="H2493" s="32" t="str">
        <x:v>1201</x:v>
      </x:c>
      <x:c r="I2493" s="22" t="str">
        <x:v>空闲地</x:v>
      </x:c>
      <x:c r="J2493" s="22" t="str">
        <x:v>其他建设</x:v>
      </x:c>
      <x:c r="K2493" s="32" t="str">
        <x:v>203</x:v>
      </x:c>
      <x:c r="L2493" s="22" t="str">
        <x:v>村庄范围</x:v>
      </x:c>
      <x:c r="M2493" s="33" t="n">
        <x:v>11314.97</x:v>
      </x:c>
      <x:c r="N2493" s="33" t="n">
        <x:v>1.131497</x:v>
      </x:c>
      <x:c r="O2493" s="22" t="str">
        <x:v>公顷</x:v>
      </x:c>
      <x:c r="P2493" s="22" t="str">
        <x:v>未提供（单期横截面）</x:v>
      </x:c>
      <x:c r="Q2493" s="23" t="n">
        <x:v>5472</x:v>
      </x:c>
    </x:row>
    <x:row r="2494">
      <x:c r="A2494" s="30" t="n">
        <x:v>350600</x:v>
      </x:c>
      <x:c r="B2494" s="22" t="str">
        <x:v>漳州市</x:v>
      </x:c>
      <x:c r="C2494" s="31" t="n">
        <x:v>350625</x:v>
      </x:c>
      <x:c r="D2494" s="22" t="str">
        <x:v>长泰区</x:v>
      </x:c>
      <x:c r="E2494" s="22" t="str">
        <x:v>建设用地</x:v>
      </x:c>
      <x:c r="F2494" s="22" t="str">
        <x:v>工矿仓储用地</x:v>
      </x:c>
      <x:c r="G2494" s="32" t="str">
        <x:v>601</x:v>
      </x:c>
      <x:c r="H2494" s="32" t="str">
        <x:v>601</x:v>
      </x:c>
      <x:c r="I2494" s="22" t="str">
        <x:v>工业用地</x:v>
      </x:c>
      <x:c r="J2494" s="22" t="str">
        <x:v>产业功能</x:v>
      </x:c>
      <x:c r="K2494" s="32" t="str">
        <x:v>203A</x:v>
      </x:c>
      <x:c r="L2494" s="22" t="str">
        <x:v>村庄独立工业用地</x:v>
      </x:c>
      <x:c r="M2494" s="33" t="n">
        <x:v>1648388.7200000002</x:v>
      </x:c>
      <x:c r="N2494" s="33" t="n">
        <x:v>164.838872</x:v>
      </x:c>
      <x:c r="O2494" s="22" t="str">
        <x:v>公顷</x:v>
      </x:c>
      <x:c r="P2494" s="22" t="str">
        <x:v>未提供（单期横截面）</x:v>
      </x:c>
      <x:c r="Q2494" s="23" t="n">
        <x:v>5473</x:v>
      </x:c>
    </x:row>
    <x:row r="2495">
      <x:c r="A2495" s="30" t="n">
        <x:v>350600</x:v>
      </x:c>
      <x:c r="B2495" s="22" t="str">
        <x:v>漳州市</x:v>
      </x:c>
      <x:c r="C2495" s="31" t="n">
        <x:v>350625</x:v>
      </x:c>
      <x:c r="D2495" s="22" t="str">
        <x:v>长泰区</x:v>
      </x:c>
      <x:c r="E2495" s="22" t="str">
        <x:v>建设用地</x:v>
      </x:c>
      <x:c r="F2495" s="22" t="str">
        <x:v>工矿仓储用地</x:v>
      </x:c>
      <x:c r="G2495" s="32" t="str">
        <x:v>602</x:v>
      </x:c>
      <x:c r="H2495" s="32" t="str">
        <x:v>602</x:v>
      </x:c>
      <x:c r="I2495" s="22" t="str">
        <x:v>采矿用地</x:v>
      </x:c>
      <x:c r="J2495" s="22" t="str">
        <x:v>产业功能</x:v>
      </x:c>
      <x:c r="K2495" s="32" t="str">
        <x:v>204</x:v>
      </x:c>
      <x:c r="L2495" s="22" t="str">
        <x:v>盐田及采矿用地</x:v>
      </x:c>
      <x:c r="M2495" s="33" t="n">
        <x:v>917277.2200000002</x:v>
      </x:c>
      <x:c r="N2495" s="33" t="n">
        <x:v>91.72772200000001</x:v>
      </x:c>
      <x:c r="O2495" s="22" t="str">
        <x:v>公顷</x:v>
      </x:c>
      <x:c r="P2495" s="22" t="str">
        <x:v>未提供（单期横截面）</x:v>
      </x:c>
      <x:c r="Q2495" s="23" t="n">
        <x:v>5474</x:v>
      </x:c>
    </x:row>
    <x:row r="2496">
      <x:c r="A2496" s="30" t="n">
        <x:v>350600</x:v>
      </x:c>
      <x:c r="B2496" s="22" t="str">
        <x:v>漳州市</x:v>
      </x:c>
      <x:c r="C2496" s="31" t="n">
        <x:v>350625</x:v>
      </x:c>
      <x:c r="D2496" s="22" t="str">
        <x:v>长泰区</x:v>
      </x:c>
      <x:c r="E2496" s="22" t="str">
        <x:v>建设用地</x:v>
      </x:c>
      <x:c r="F2496" s="22" t="str">
        <x:v>特殊用地</x:v>
      </x:c>
      <x:c r="G2496" s="32" t="str">
        <x:v>9</x:v>
      </x:c>
      <x:c r="H2496" s="32" t="str">
        <x:v>9</x:v>
      </x:c>
      <x:c r="I2496" s="22" t="str">
        <x:v>特殊用地</x:v>
      </x:c>
      <x:c r="J2496" s="22" t="str">
        <x:v>其他建设</x:v>
      </x:c>
      <x:c r="K2496" s="32" t="str">
        <x:v>205</x:v>
      </x:c>
      <x:c r="L2496" s="22" t="str">
        <x:v>特殊用地</x:v>
      </x:c>
      <x:c r="M2496" s="33" t="n">
        <x:v>2309710.489999999</x:v>
      </x:c>
      <x:c r="N2496" s="33" t="n">
        <x:v>230.97104899999988</x:v>
      </x:c>
      <x:c r="O2496" s="22" t="str">
        <x:v>公顷</x:v>
      </x:c>
      <x:c r="P2496" s="22" t="str">
        <x:v>未提供（单期横截面）</x:v>
      </x:c>
      <x:c r="Q2496" s="23" t="n">
        <x:v>5475</x:v>
      </x:c>
    </x:row>
    <x:row r="2497">
      <x:c r="A2497" s="30" t="n">
        <x:v>350600</x:v>
      </x:c>
      <x:c r="B2497" s="22" t="str">
        <x:v>漳州市</x:v>
      </x:c>
      <x:c r="C2497" s="31" t="n">
        <x:v>350625</x:v>
      </x:c>
      <x:c r="D2497" s="22" t="str">
        <x:v>长泰区</x:v>
      </x:c>
      <x:c r="E2497" s="22" t="str">
        <x:v>农用地</x:v>
      </x:c>
      <x:c r="F2497" s="22" t="str">
        <x:v>耕地</x:v>
      </x:c>
      <x:c r="G2497" s="32" t="str">
        <x:v>101</x:v>
      </x:c>
      <x:c r="H2497" s="32" t="str">
        <x:v>101</x:v>
      </x:c>
      <x:c r="I2497" s="22" t="str">
        <x:v>水田</x:v>
      </x:c>
      <x:c r="J2497" s="22" t="str">
        <x:v>农业生态</x:v>
      </x:c>
      <x:c r="K2497" s="32" t="str"/>
      <x:c r="L2497" s="22" t="str">
        <x:v>不适用/未标注</x:v>
      </x:c>
      <x:c r="M2497" s="33" t="n">
        <x:v>49602975.11000011</x:v>
      </x:c>
      <x:c r="N2497" s="33" t="n">
        <x:v>4960.297511000011</x:v>
      </x:c>
      <x:c r="O2497" s="22" t="str">
        <x:v>公顷</x:v>
      </x:c>
      <x:c r="P2497" s="22" t="str">
        <x:v>未提供（单期横截面）</x:v>
      </x:c>
      <x:c r="Q2497" s="23" t="n">
        <x:v>5476</x:v>
      </x:c>
    </x:row>
    <x:row r="2498">
      <x:c r="A2498" s="30" t="n">
        <x:v>350600</x:v>
      </x:c>
      <x:c r="B2498" s="22" t="str">
        <x:v>漳州市</x:v>
      </x:c>
      <x:c r="C2498" s="31" t="n">
        <x:v>350625</x:v>
      </x:c>
      <x:c r="D2498" s="22" t="str">
        <x:v>长泰区</x:v>
      </x:c>
      <x:c r="E2498" s="22" t="str">
        <x:v>农用地</x:v>
      </x:c>
      <x:c r="F2498" s="22" t="str">
        <x:v>耕地</x:v>
      </x:c>
      <x:c r="G2498" s="32" t="str">
        <x:v>102</x:v>
      </x:c>
      <x:c r="H2498" s="32" t="str">
        <x:v>102</x:v>
      </x:c>
      <x:c r="I2498" s="22" t="str">
        <x:v>水浇地</x:v>
      </x:c>
      <x:c r="J2498" s="22" t="str">
        <x:v>农业生态</x:v>
      </x:c>
      <x:c r="K2498" s="32" t="str"/>
      <x:c r="L2498" s="22" t="str">
        <x:v>不适用/未标注</x:v>
      </x:c>
      <x:c r="M2498" s="33" t="n">
        <x:v>197750.41999999998</x:v>
      </x:c>
      <x:c r="N2498" s="33" t="n">
        <x:v>19.775042</x:v>
      </x:c>
      <x:c r="O2498" s="22" t="str">
        <x:v>公顷</x:v>
      </x:c>
      <x:c r="P2498" s="22" t="str">
        <x:v>未提供（单期横截面）</x:v>
      </x:c>
      <x:c r="Q2498" s="23" t="n">
        <x:v>5477</x:v>
      </x:c>
    </x:row>
    <x:row r="2499">
      <x:c r="A2499" s="30" t="n">
        <x:v>350600</x:v>
      </x:c>
      <x:c r="B2499" s="22" t="str">
        <x:v>漳州市</x:v>
      </x:c>
      <x:c r="C2499" s="31" t="n">
        <x:v>350625</x:v>
      </x:c>
      <x:c r="D2499" s="22" t="str">
        <x:v>长泰区</x:v>
      </x:c>
      <x:c r="E2499" s="22" t="str">
        <x:v>农用地</x:v>
      </x:c>
      <x:c r="F2499" s="22" t="str">
        <x:v>耕地</x:v>
      </x:c>
      <x:c r="G2499" s="32" t="str">
        <x:v>103</x:v>
      </x:c>
      <x:c r="H2499" s="32" t="str">
        <x:v>103</x:v>
      </x:c>
      <x:c r="I2499" s="22" t="str">
        <x:v>旱地</x:v>
      </x:c>
      <x:c r="J2499" s="22" t="str">
        <x:v>农业生态</x:v>
      </x:c>
      <x:c r="K2499" s="32" t="str"/>
      <x:c r="L2499" s="22" t="str">
        <x:v>不适用/未标注</x:v>
      </x:c>
      <x:c r="M2499" s="33" t="n">
        <x:v>7423637.93</x:v>
      </x:c>
      <x:c r="N2499" s="33" t="n">
        <x:v>742.363793</x:v>
      </x:c>
      <x:c r="O2499" s="22" t="str">
        <x:v>公顷</x:v>
      </x:c>
      <x:c r="P2499" s="22" t="str">
        <x:v>未提供（单期横截面）</x:v>
      </x:c>
      <x:c r="Q2499" s="23" t="n">
        <x:v>5478</x:v>
      </x:c>
    </x:row>
    <x:row r="2500">
      <x:c r="A2500" s="30" t="n">
        <x:v>350600</x:v>
      </x:c>
      <x:c r="B2500" s="22" t="str">
        <x:v>漳州市</x:v>
      </x:c>
      <x:c r="C2500" s="31" t="n">
        <x:v>350625</x:v>
      </x:c>
      <x:c r="D2500" s="22" t="str">
        <x:v>长泰区</x:v>
      </x:c>
      <x:c r="E2500" s="22" t="str">
        <x:v>农用地</x:v>
      </x:c>
      <x:c r="F2500" s="22" t="str">
        <x:v>园地</x:v>
      </x:c>
      <x:c r="G2500" s="32" t="str">
        <x:v>201</x:v>
      </x:c>
      <x:c r="H2500" s="32" t="str">
        <x:v>201</x:v>
      </x:c>
      <x:c r="I2500" s="22" t="str">
        <x:v>果园</x:v>
      </x:c>
      <x:c r="J2500" s="22" t="str">
        <x:v>农业生态</x:v>
      </x:c>
      <x:c r="K2500" s="32" t="str"/>
      <x:c r="L2500" s="22" t="str">
        <x:v>不适用/未标注</x:v>
      </x:c>
      <x:c r="M2500" s="33" t="n">
        <x:v>115957765.66000009</x:v>
      </x:c>
      <x:c r="N2500" s="33" t="n">
        <x:v>11595.776566000008</x:v>
      </x:c>
      <x:c r="O2500" s="22" t="str">
        <x:v>公顷</x:v>
      </x:c>
      <x:c r="P2500" s="22" t="str">
        <x:v>未提供（单期横截面）</x:v>
      </x:c>
      <x:c r="Q2500" s="23" t="n">
        <x:v>5479</x:v>
      </x:c>
    </x:row>
    <x:row r="2501">
      <x:c r="A2501" s="30" t="n">
        <x:v>350600</x:v>
      </x:c>
      <x:c r="B2501" s="22" t="str">
        <x:v>漳州市</x:v>
      </x:c>
      <x:c r="C2501" s="31" t="n">
        <x:v>350625</x:v>
      </x:c>
      <x:c r="D2501" s="22" t="str">
        <x:v>长泰区</x:v>
      </x:c>
      <x:c r="E2501" s="22" t="str">
        <x:v>农用地</x:v>
      </x:c>
      <x:c r="F2501" s="22" t="str">
        <x:v>园地</x:v>
      </x:c>
      <x:c r="G2501" s="32" t="str">
        <x:v>0201K</x:v>
      </x:c>
      <x:c r="H2501" s="32" t="str">
        <x:v>201</x:v>
      </x:c>
      <x:c r="I2501" s="22" t="str">
        <x:v>可调整果园</x:v>
      </x:c>
      <x:c r="J2501" s="22" t="str">
        <x:v>农业生态</x:v>
      </x:c>
      <x:c r="K2501" s="32" t="str"/>
      <x:c r="L2501" s="22" t="str">
        <x:v>不适用/未标注</x:v>
      </x:c>
      <x:c r="M2501" s="33" t="n">
        <x:v>2835606.989999998</x:v>
      </x:c>
      <x:c r="N2501" s="33" t="n">
        <x:v>283.5606989999998</x:v>
      </x:c>
      <x:c r="O2501" s="22" t="str">
        <x:v>公顷</x:v>
      </x:c>
      <x:c r="P2501" s="22" t="str">
        <x:v>未提供（单期横截面）</x:v>
      </x:c>
      <x:c r="Q2501" s="23" t="n">
        <x:v>5480</x:v>
      </x:c>
    </x:row>
    <x:row r="2502">
      <x:c r="A2502" s="30" t="n">
        <x:v>350600</x:v>
      </x:c>
      <x:c r="B2502" s="22" t="str">
        <x:v>漳州市</x:v>
      </x:c>
      <x:c r="C2502" s="31" t="n">
        <x:v>350625</x:v>
      </x:c>
      <x:c r="D2502" s="22" t="str">
        <x:v>长泰区</x:v>
      </x:c>
      <x:c r="E2502" s="22" t="str">
        <x:v>农用地</x:v>
      </x:c>
      <x:c r="F2502" s="22" t="str">
        <x:v>园地</x:v>
      </x:c>
      <x:c r="G2502" s="32" t="str">
        <x:v>202</x:v>
      </x:c>
      <x:c r="H2502" s="32" t="str">
        <x:v>202</x:v>
      </x:c>
      <x:c r="I2502" s="22" t="str">
        <x:v>茶园</x:v>
      </x:c>
      <x:c r="J2502" s="22" t="str">
        <x:v>农业生态</x:v>
      </x:c>
      <x:c r="K2502" s="32" t="str"/>
      <x:c r="L2502" s="22" t="str">
        <x:v>不适用/未标注</x:v>
      </x:c>
      <x:c r="M2502" s="33" t="n">
        <x:v>7797486.330000006</x:v>
      </x:c>
      <x:c r="N2502" s="33" t="n">
        <x:v>779.7486330000006</x:v>
      </x:c>
      <x:c r="O2502" s="22" t="str">
        <x:v>公顷</x:v>
      </x:c>
      <x:c r="P2502" s="22" t="str">
        <x:v>未提供（单期横截面）</x:v>
      </x:c>
      <x:c r="Q2502" s="23" t="n">
        <x:v>5481</x:v>
      </x:c>
    </x:row>
    <x:row r="2503">
      <x:c r="A2503" s="30" t="n">
        <x:v>350600</x:v>
      </x:c>
      <x:c r="B2503" s="22" t="str">
        <x:v>漳州市</x:v>
      </x:c>
      <x:c r="C2503" s="31" t="n">
        <x:v>350625</x:v>
      </x:c>
      <x:c r="D2503" s="22" t="str">
        <x:v>长泰区</x:v>
      </x:c>
      <x:c r="E2503" s="22" t="str">
        <x:v>农用地</x:v>
      </x:c>
      <x:c r="F2503" s="22" t="str">
        <x:v>园地</x:v>
      </x:c>
      <x:c r="G2503" s="32" t="str">
        <x:v>0202K</x:v>
      </x:c>
      <x:c r="H2503" s="32" t="str">
        <x:v>0202</x:v>
      </x:c>
      <x:c r="I2503" s="22" t="str">
        <x:v>可调整茶园</x:v>
      </x:c>
      <x:c r="J2503" s="22" t="str">
        <x:v>农业生态</x:v>
      </x:c>
      <x:c r="K2503" s="32" t="str"/>
      <x:c r="L2503" s="22" t="str">
        <x:v>不适用/未标注</x:v>
      </x:c>
      <x:c r="M2503" s="33" t="n">
        <x:v>178998.98</x:v>
      </x:c>
      <x:c r="N2503" s="33" t="n">
        <x:v>17.899898</x:v>
      </x:c>
      <x:c r="O2503" s="22" t="str">
        <x:v>公顷</x:v>
      </x:c>
      <x:c r="P2503" s="22" t="str">
        <x:v>未提供（单期横截面）</x:v>
      </x:c>
      <x:c r="Q2503" s="23" t="n">
        <x:v>5482</x:v>
      </x:c>
    </x:row>
    <x:row r="2504">
      <x:c r="A2504" s="30" t="n">
        <x:v>350600</x:v>
      </x:c>
      <x:c r="B2504" s="22" t="str">
        <x:v>漳州市</x:v>
      </x:c>
      <x:c r="C2504" s="31" t="n">
        <x:v>350625</x:v>
      </x:c>
      <x:c r="D2504" s="22" t="str">
        <x:v>长泰区</x:v>
      </x:c>
      <x:c r="E2504" s="22" t="str">
        <x:v>农用地</x:v>
      </x:c>
      <x:c r="F2504" s="22" t="str">
        <x:v>园地</x:v>
      </x:c>
      <x:c r="G2504" s="32" t="str">
        <x:v>204</x:v>
      </x:c>
      <x:c r="H2504" s="32" t="str">
        <x:v>204</x:v>
      </x:c>
      <x:c r="I2504" s="22" t="str">
        <x:v>其他园地</x:v>
      </x:c>
      <x:c r="J2504" s="22" t="str">
        <x:v>农业生态</x:v>
      </x:c>
      <x:c r="K2504" s="32" t="str"/>
      <x:c r="L2504" s="22" t="str">
        <x:v>不适用/未标注</x:v>
      </x:c>
      <x:c r="M2504" s="33" t="n">
        <x:v>3868448.640000002</x:v>
      </x:c>
      <x:c r="N2504" s="33" t="n">
        <x:v>386.8448640000002</x:v>
      </x:c>
      <x:c r="O2504" s="22" t="str">
        <x:v>公顷</x:v>
      </x:c>
      <x:c r="P2504" s="22" t="str">
        <x:v>未提供（单期横截面）</x:v>
      </x:c>
      <x:c r="Q2504" s="23" t="n">
        <x:v>5483</x:v>
      </x:c>
    </x:row>
    <x:row r="2505">
      <x:c r="A2505" s="30" t="n">
        <x:v>350600</x:v>
      </x:c>
      <x:c r="B2505" s="22" t="str">
        <x:v>漳州市</x:v>
      </x:c>
      <x:c r="C2505" s="31" t="n">
        <x:v>350625</x:v>
      </x:c>
      <x:c r="D2505" s="22" t="str">
        <x:v>长泰区</x:v>
      </x:c>
      <x:c r="E2505" s="22" t="str">
        <x:v>农用地</x:v>
      </x:c>
      <x:c r="F2505" s="22" t="str">
        <x:v>园地</x:v>
      </x:c>
      <x:c r="G2505" s="32" t="str">
        <x:v>0204K</x:v>
      </x:c>
      <x:c r="H2505" s="32" t="str">
        <x:v>0204</x:v>
      </x:c>
      <x:c r="I2505" s="22" t="str">
        <x:v>可调整其他园地</x:v>
      </x:c>
      <x:c r="J2505" s="22" t="str">
        <x:v>农业生态</x:v>
      </x:c>
      <x:c r="K2505" s="32" t="str"/>
      <x:c r="L2505" s="22" t="str">
        <x:v>不适用/未标注</x:v>
      </x:c>
      <x:c r="M2505" s="33" t="n">
        <x:v>36036.17</x:v>
      </x:c>
      <x:c r="N2505" s="33" t="n">
        <x:v>3.603617</x:v>
      </x:c>
      <x:c r="O2505" s="22" t="str">
        <x:v>公顷</x:v>
      </x:c>
      <x:c r="P2505" s="22" t="str">
        <x:v>未提供（单期横截面）</x:v>
      </x:c>
      <x:c r="Q2505" s="23" t="n">
        <x:v>5484</x:v>
      </x:c>
    </x:row>
    <x:row r="2506">
      <x:c r="A2506" s="30" t="n">
        <x:v>350600</x:v>
      </x:c>
      <x:c r="B2506" s="22" t="str">
        <x:v>漳州市</x:v>
      </x:c>
      <x:c r="C2506" s="31" t="n">
        <x:v>350625</x:v>
      </x:c>
      <x:c r="D2506" s="22" t="str">
        <x:v>长泰区</x:v>
      </x:c>
      <x:c r="E2506" s="22" t="str">
        <x:v>农用地</x:v>
      </x:c>
      <x:c r="F2506" s="22" t="str">
        <x:v>林地</x:v>
      </x:c>
      <x:c r="G2506" s="32" t="str">
        <x:v>301</x:v>
      </x:c>
      <x:c r="H2506" s="32" t="str">
        <x:v>301</x:v>
      </x:c>
      <x:c r="I2506" s="22" t="str">
        <x:v>乔木林地</x:v>
      </x:c>
      <x:c r="J2506" s="22" t="str">
        <x:v>农业生态</x:v>
      </x:c>
      <x:c r="K2506" s="32" t="str"/>
      <x:c r="L2506" s="22" t="str">
        <x:v>不适用/未标注</x:v>
      </x:c>
      <x:c r="M2506" s="33" t="n">
        <x:v>479821422.5600001</x:v>
      </x:c>
      <x:c r="N2506" s="33" t="n">
        <x:v>47982.142256000014</x:v>
      </x:c>
      <x:c r="O2506" s="22" t="str">
        <x:v>公顷</x:v>
      </x:c>
      <x:c r="P2506" s="22" t="str">
        <x:v>未提供（单期横截面）</x:v>
      </x:c>
      <x:c r="Q2506" s="23" t="n">
        <x:v>5485</x:v>
      </x:c>
    </x:row>
    <x:row r="2507">
      <x:c r="A2507" s="30" t="n">
        <x:v>350600</x:v>
      </x:c>
      <x:c r="B2507" s="22" t="str">
        <x:v>漳州市</x:v>
      </x:c>
      <x:c r="C2507" s="31" t="n">
        <x:v>350625</x:v>
      </x:c>
      <x:c r="D2507" s="22" t="str">
        <x:v>长泰区</x:v>
      </x:c>
      <x:c r="E2507" s="22" t="str">
        <x:v>农用地</x:v>
      </x:c>
      <x:c r="F2507" s="22" t="str">
        <x:v>林地</x:v>
      </x:c>
      <x:c r="G2507" s="32" t="str">
        <x:v>0301K</x:v>
      </x:c>
      <x:c r="H2507" s="32" t="str">
        <x:v>0301</x:v>
      </x:c>
      <x:c r="I2507" s="22" t="str">
        <x:v>可调整乔木林地</x:v>
      </x:c>
      <x:c r="J2507" s="22" t="str">
        <x:v>农业生态</x:v>
      </x:c>
      <x:c r="K2507" s="32" t="str"/>
      <x:c r="L2507" s="22" t="str">
        <x:v>不适用/未标注</x:v>
      </x:c>
      <x:c r="M2507" s="33" t="n">
        <x:v>1368093.8900000006</x:v>
      </x:c>
      <x:c r="N2507" s="33" t="n">
        <x:v>136.80938900000007</x:v>
      </x:c>
      <x:c r="O2507" s="22" t="str">
        <x:v>公顷</x:v>
      </x:c>
      <x:c r="P2507" s="22" t="str">
        <x:v>未提供（单期横截面）</x:v>
      </x:c>
      <x:c r="Q2507" s="23" t="n">
        <x:v>5486</x:v>
      </x:c>
    </x:row>
    <x:row r="2508">
      <x:c r="A2508" s="30" t="n">
        <x:v>350600</x:v>
      </x:c>
      <x:c r="B2508" s="22" t="str">
        <x:v>漳州市</x:v>
      </x:c>
      <x:c r="C2508" s="31" t="n">
        <x:v>350625</x:v>
      </x:c>
      <x:c r="D2508" s="22" t="str">
        <x:v>长泰区</x:v>
      </x:c>
      <x:c r="E2508" s="22" t="str">
        <x:v>农用地</x:v>
      </x:c>
      <x:c r="F2508" s="22" t="str">
        <x:v>林地</x:v>
      </x:c>
      <x:c r="G2508" s="32" t="str">
        <x:v>302</x:v>
      </x:c>
      <x:c r="H2508" s="32" t="str">
        <x:v>302</x:v>
      </x:c>
      <x:c r="I2508" s="22" t="str">
        <x:v>竹林地</x:v>
      </x:c>
      <x:c r="J2508" s="22" t="str">
        <x:v>农业生态</x:v>
      </x:c>
      <x:c r="K2508" s="32" t="str"/>
      <x:c r="L2508" s="22" t="str">
        <x:v>不适用/未标注</x:v>
      </x:c>
      <x:c r="M2508" s="33" t="n">
        <x:v>4195513.480000004</x:v>
      </x:c>
      <x:c r="N2508" s="33" t="n">
        <x:v>419.5513480000004</x:v>
      </x:c>
      <x:c r="O2508" s="22" t="str">
        <x:v>公顷</x:v>
      </x:c>
      <x:c r="P2508" s="22" t="str">
        <x:v>未提供（单期横截面）</x:v>
      </x:c>
      <x:c r="Q2508" s="23" t="n">
        <x:v>5487</x:v>
      </x:c>
    </x:row>
    <x:row r="2509">
      <x:c r="A2509" s="30" t="n">
        <x:v>350600</x:v>
      </x:c>
      <x:c r="B2509" s="22" t="str">
        <x:v>漳州市</x:v>
      </x:c>
      <x:c r="C2509" s="31" t="n">
        <x:v>350625</x:v>
      </x:c>
      <x:c r="D2509" s="22" t="str">
        <x:v>长泰区</x:v>
      </x:c>
      <x:c r="E2509" s="22" t="str">
        <x:v>农用地</x:v>
      </x:c>
      <x:c r="F2509" s="22" t="str">
        <x:v>林地</x:v>
      </x:c>
      <x:c r="G2509" s="32" t="str">
        <x:v>0302K</x:v>
      </x:c>
      <x:c r="H2509" s="32" t="str">
        <x:v>0302</x:v>
      </x:c>
      <x:c r="I2509" s="22" t="str">
        <x:v>可调整竹林地</x:v>
      </x:c>
      <x:c r="J2509" s="22" t="str">
        <x:v>农业生态</x:v>
      </x:c>
      <x:c r="K2509" s="32" t="str"/>
      <x:c r="L2509" s="22" t="str">
        <x:v>不适用/未标注</x:v>
      </x:c>
      <x:c r="M2509" s="33" t="n">
        <x:v>4587.8</x:v>
      </x:c>
      <x:c r="N2509" s="33" t="n">
        <x:v>0.45878</x:v>
      </x:c>
      <x:c r="O2509" s="22" t="str">
        <x:v>公顷</x:v>
      </x:c>
      <x:c r="P2509" s="22" t="str">
        <x:v>未提供（单期横截面）</x:v>
      </x:c>
      <x:c r="Q2509" s="23" t="n">
        <x:v>5488</x:v>
      </x:c>
    </x:row>
    <x:row r="2510">
      <x:c r="A2510" s="30" t="n">
        <x:v>350600</x:v>
      </x:c>
      <x:c r="B2510" s="22" t="str">
        <x:v>漳州市</x:v>
      </x:c>
      <x:c r="C2510" s="31" t="n">
        <x:v>350625</x:v>
      </x:c>
      <x:c r="D2510" s="22" t="str">
        <x:v>长泰区</x:v>
      </x:c>
      <x:c r="E2510" s="22" t="str">
        <x:v>农用地</x:v>
      </x:c>
      <x:c r="F2510" s="22" t="str">
        <x:v>林地</x:v>
      </x:c>
      <x:c r="G2510" s="32" t="str">
        <x:v>305</x:v>
      </x:c>
      <x:c r="H2510" s="32" t="str">
        <x:v>305</x:v>
      </x:c>
      <x:c r="I2510" s="22" t="str">
        <x:v>灌木林地</x:v>
      </x:c>
      <x:c r="J2510" s="22" t="str">
        <x:v>农业生态</x:v>
      </x:c>
      <x:c r="K2510" s="32" t="str"/>
      <x:c r="L2510" s="22" t="str">
        <x:v>不适用/未标注</x:v>
      </x:c>
      <x:c r="M2510" s="33" t="n">
        <x:v>5537318.12</x:v>
      </x:c>
      <x:c r="N2510" s="33" t="n">
        <x:v>553.731812</x:v>
      </x:c>
      <x:c r="O2510" s="22" t="str">
        <x:v>公顷</x:v>
      </x:c>
      <x:c r="P2510" s="22" t="str">
        <x:v>未提供（单期横截面）</x:v>
      </x:c>
      <x:c r="Q2510" s="23" t="n">
        <x:v>5489</x:v>
      </x:c>
    </x:row>
    <x:row r="2511">
      <x:c r="A2511" s="30" t="n">
        <x:v>350600</x:v>
      </x:c>
      <x:c r="B2511" s="22" t="str">
        <x:v>漳州市</x:v>
      </x:c>
      <x:c r="C2511" s="31" t="n">
        <x:v>350625</x:v>
      </x:c>
      <x:c r="D2511" s="22" t="str">
        <x:v>长泰区</x:v>
      </x:c>
      <x:c r="E2511" s="22" t="str">
        <x:v>农用地</x:v>
      </x:c>
      <x:c r="F2511" s="22" t="str">
        <x:v>林地</x:v>
      </x:c>
      <x:c r="G2511" s="32" t="str">
        <x:v>307</x:v>
      </x:c>
      <x:c r="H2511" s="32" t="str">
        <x:v>307</x:v>
      </x:c>
      <x:c r="I2511" s="22" t="str">
        <x:v>其他林地</x:v>
      </x:c>
      <x:c r="J2511" s="22" t="str">
        <x:v>农业生态</x:v>
      </x:c>
      <x:c r="K2511" s="32" t="str"/>
      <x:c r="L2511" s="22" t="str">
        <x:v>不适用/未标注</x:v>
      </x:c>
      <x:c r="M2511" s="33" t="n">
        <x:v>57146394.10999995</x:v>
      </x:c>
      <x:c r="N2511" s="33" t="n">
        <x:v>5714.639410999995</x:v>
      </x:c>
      <x:c r="O2511" s="22" t="str">
        <x:v>公顷</x:v>
      </x:c>
      <x:c r="P2511" s="22" t="str">
        <x:v>未提供（单期横截面）</x:v>
      </x:c>
      <x:c r="Q2511" s="23" t="n">
        <x:v>5490</x:v>
      </x:c>
    </x:row>
    <x:row r="2512">
      <x:c r="A2512" s="30" t="n">
        <x:v>350600</x:v>
      </x:c>
      <x:c r="B2512" s="22" t="str">
        <x:v>漳州市</x:v>
      </x:c>
      <x:c r="C2512" s="31" t="n">
        <x:v>350625</x:v>
      </x:c>
      <x:c r="D2512" s="22" t="str">
        <x:v>长泰区</x:v>
      </x:c>
      <x:c r="E2512" s="22" t="str">
        <x:v>农用地</x:v>
      </x:c>
      <x:c r="F2512" s="22" t="str">
        <x:v>林地</x:v>
      </x:c>
      <x:c r="G2512" s="32" t="str">
        <x:v>0307K</x:v>
      </x:c>
      <x:c r="H2512" s="32" t="str">
        <x:v>0307</x:v>
      </x:c>
      <x:c r="I2512" s="22" t="str">
        <x:v>可调整其他林地</x:v>
      </x:c>
      <x:c r="J2512" s="22" t="str">
        <x:v>农业生态</x:v>
      </x:c>
      <x:c r="K2512" s="32" t="str"/>
      <x:c r="L2512" s="22" t="str">
        <x:v>不适用/未标注</x:v>
      </x:c>
      <x:c r="M2512" s="33" t="n">
        <x:v>277569.1099999999</x:v>
      </x:c>
      <x:c r="N2512" s="33" t="n">
        <x:v>27.75691099999999</x:v>
      </x:c>
      <x:c r="O2512" s="22" t="str">
        <x:v>公顷</x:v>
      </x:c>
      <x:c r="P2512" s="22" t="str">
        <x:v>未提供（单期横截面）</x:v>
      </x:c>
      <x:c r="Q2512" s="23" t="n">
        <x:v>5491</x:v>
      </x:c>
    </x:row>
    <x:row r="2513">
      <x:c r="A2513" s="30" t="n">
        <x:v>350600</x:v>
      </x:c>
      <x:c r="B2513" s="22" t="str">
        <x:v>漳州市</x:v>
      </x:c>
      <x:c r="C2513" s="31" t="n">
        <x:v>350625</x:v>
      </x:c>
      <x:c r="D2513" s="22" t="str">
        <x:v>长泰区</x:v>
      </x:c>
      <x:c r="E2513" s="22" t="str">
        <x:v>农用地</x:v>
      </x:c>
      <x:c r="F2513" s="22" t="str">
        <x:v>其他农用地</x:v>
      </x:c>
      <x:c r="G2513" s="32" t="str">
        <x:v>1006</x:v>
      </x:c>
      <x:c r="H2513" s="32" t="str">
        <x:v>1006</x:v>
      </x:c>
      <x:c r="I2513" s="22" t="str">
        <x:v>农村道路</x:v>
      </x:c>
      <x:c r="J2513" s="22" t="str">
        <x:v>农业生态</x:v>
      </x:c>
      <x:c r="K2513" s="32" t="str"/>
      <x:c r="L2513" s="22" t="str">
        <x:v>不适用/未标注</x:v>
      </x:c>
      <x:c r="M2513" s="33" t="n">
        <x:v>11611039.92000002</x:v>
      </x:c>
      <x:c r="N2513" s="33" t="n">
        <x:v>1161.103992000002</x:v>
      </x:c>
      <x:c r="O2513" s="22" t="str">
        <x:v>公顷</x:v>
      </x:c>
      <x:c r="P2513" s="22" t="str">
        <x:v>未提供（单期横截面）</x:v>
      </x:c>
      <x:c r="Q2513" s="23" t="n">
        <x:v>5492</x:v>
      </x:c>
    </x:row>
    <x:row r="2514">
      <x:c r="A2514" s="30" t="n">
        <x:v>350600</x:v>
      </x:c>
      <x:c r="B2514" s="22" t="str">
        <x:v>漳州市</x:v>
      </x:c>
      <x:c r="C2514" s="31" t="n">
        <x:v>350625</x:v>
      </x:c>
      <x:c r="D2514" s="22" t="str">
        <x:v>长泰区</x:v>
      </x:c>
      <x:c r="E2514" s="22" t="str">
        <x:v>农用地</x:v>
      </x:c>
      <x:c r="F2514" s="22" t="str">
        <x:v>水域及水利设施</x:v>
      </x:c>
      <x:c r="G2514" s="32" t="str">
        <x:v>1103</x:v>
      </x:c>
      <x:c r="H2514" s="32" t="str">
        <x:v>1103</x:v>
      </x:c>
      <x:c r="I2514" s="22" t="str">
        <x:v>水库水面</x:v>
      </x:c>
      <x:c r="J2514" s="22" t="str">
        <x:v>农业生态</x:v>
      </x:c>
      <x:c r="K2514" s="32" t="str"/>
      <x:c r="L2514" s="22" t="str">
        <x:v>不适用/未标注</x:v>
      </x:c>
      <x:c r="M2514" s="33" t="n">
        <x:v>6568003.86</x:v>
      </x:c>
      <x:c r="N2514" s="33" t="n">
        <x:v>656.800386</x:v>
      </x:c>
      <x:c r="O2514" s="22" t="str">
        <x:v>公顷</x:v>
      </x:c>
      <x:c r="P2514" s="22" t="str">
        <x:v>未提供（单期横截面）</x:v>
      </x:c>
      <x:c r="Q2514" s="23" t="n">
        <x:v>5493</x:v>
      </x:c>
    </x:row>
    <x:row r="2515">
      <x:c r="A2515" s="30" t="n">
        <x:v>350600</x:v>
      </x:c>
      <x:c r="B2515" s="22" t="str">
        <x:v>漳州市</x:v>
      </x:c>
      <x:c r="C2515" s="31" t="n">
        <x:v>350625</x:v>
      </x:c>
      <x:c r="D2515" s="22" t="str">
        <x:v>长泰区</x:v>
      </x:c>
      <x:c r="E2515" s="22" t="str">
        <x:v>农用地</x:v>
      </x:c>
      <x:c r="F2515" s="22" t="str">
        <x:v>水域及水利设施</x:v>
      </x:c>
      <x:c r="G2515" s="32" t="str">
        <x:v>1104</x:v>
      </x:c>
      <x:c r="H2515" s="32" t="str">
        <x:v>1104</x:v>
      </x:c>
      <x:c r="I2515" s="22" t="str">
        <x:v>坑塘水面</x:v>
      </x:c>
      <x:c r="J2515" s="22" t="str">
        <x:v>农业生态</x:v>
      </x:c>
      <x:c r="K2515" s="32" t="str"/>
      <x:c r="L2515" s="22" t="str">
        <x:v>不适用/未标注</x:v>
      </x:c>
      <x:c r="M2515" s="33" t="n">
        <x:v>8261745.44</x:v>
      </x:c>
      <x:c r="N2515" s="33" t="n">
        <x:v>826.1745440000001</x:v>
      </x:c>
      <x:c r="O2515" s="22" t="str">
        <x:v>公顷</x:v>
      </x:c>
      <x:c r="P2515" s="22" t="str">
        <x:v>未提供（单期横截面）</x:v>
      </x:c>
      <x:c r="Q2515" s="23" t="n">
        <x:v>5494</x:v>
      </x:c>
    </x:row>
    <x:row r="2516">
      <x:c r="A2516" s="30" t="n">
        <x:v>350600</x:v>
      </x:c>
      <x:c r="B2516" s="22" t="str">
        <x:v>漳州市</x:v>
      </x:c>
      <x:c r="C2516" s="31" t="n">
        <x:v>350625</x:v>
      </x:c>
      <x:c r="D2516" s="22" t="str">
        <x:v>长泰区</x:v>
      </x:c>
      <x:c r="E2516" s="22" t="str">
        <x:v>农用地</x:v>
      </x:c>
      <x:c r="F2516" s="22" t="str">
        <x:v>水域及水利设施</x:v>
      </x:c>
      <x:c r="G2516" s="32" t="str">
        <x:v>1104A</x:v>
      </x:c>
      <x:c r="H2516" s="32" t="str">
        <x:v>1104</x:v>
      </x:c>
      <x:c r="I2516" s="22" t="str">
        <x:v>养殖坑塘</x:v>
      </x:c>
      <x:c r="J2516" s="22" t="str">
        <x:v>农业生态</x:v>
      </x:c>
      <x:c r="K2516" s="32" t="str"/>
      <x:c r="L2516" s="22" t="str">
        <x:v>不适用/未标注</x:v>
      </x:c>
      <x:c r="M2516" s="33" t="n">
        <x:v>15304655.64999998</x:v>
      </x:c>
      <x:c r="N2516" s="33" t="n">
        <x:v>1530.465564999998</x:v>
      </x:c>
      <x:c r="O2516" s="22" t="str">
        <x:v>公顷</x:v>
      </x:c>
      <x:c r="P2516" s="22" t="str">
        <x:v>未提供（单期横截面）</x:v>
      </x:c>
      <x:c r="Q2516" s="23" t="n">
        <x:v>5495</x:v>
      </x:c>
    </x:row>
    <x:row r="2517">
      <x:c r="A2517" s="30" t="n">
        <x:v>350600</x:v>
      </x:c>
      <x:c r="B2517" s="22" t="str">
        <x:v>漳州市</x:v>
      </x:c>
      <x:c r="C2517" s="31" t="n">
        <x:v>350625</x:v>
      </x:c>
      <x:c r="D2517" s="22" t="str">
        <x:v>长泰区</x:v>
      </x:c>
      <x:c r="E2517" s="22" t="str">
        <x:v>农用地</x:v>
      </x:c>
      <x:c r="F2517" s="22" t="str">
        <x:v>水域及水利设施</x:v>
      </x:c>
      <x:c r="G2517" s="32" t="str">
        <x:v>1104K</x:v>
      </x:c>
      <x:c r="H2517" s="32" t="str">
        <x:v>1104</x:v>
      </x:c>
      <x:c r="I2517" s="22" t="str">
        <x:v>可调整养殖坑塘</x:v>
      </x:c>
      <x:c r="J2517" s="22" t="str">
        <x:v>农业生态</x:v>
      </x:c>
      <x:c r="K2517" s="32" t="str"/>
      <x:c r="L2517" s="22" t="str">
        <x:v>不适用/未标注</x:v>
      </x:c>
      <x:c r="M2517" s="33" t="n">
        <x:v>2249235.719999999</x:v>
      </x:c>
      <x:c r="N2517" s="33" t="n">
        <x:v>224.9235719999999</x:v>
      </x:c>
      <x:c r="O2517" s="22" t="str">
        <x:v>公顷</x:v>
      </x:c>
      <x:c r="P2517" s="22" t="str">
        <x:v>未提供（单期横截面）</x:v>
      </x:c>
      <x:c r="Q2517" s="23" t="n">
        <x:v>5496</x:v>
      </x:c>
    </x:row>
    <x:row r="2518">
      <x:c r="A2518" s="30" t="n">
        <x:v>350600</x:v>
      </x:c>
      <x:c r="B2518" s="22" t="str">
        <x:v>漳州市</x:v>
      </x:c>
      <x:c r="C2518" s="31" t="n">
        <x:v>350625</x:v>
      </x:c>
      <x:c r="D2518" s="22" t="str">
        <x:v>长泰区</x:v>
      </x:c>
      <x:c r="E2518" s="22" t="str">
        <x:v>农用地</x:v>
      </x:c>
      <x:c r="F2518" s="22" t="str">
        <x:v>水域及水利设施</x:v>
      </x:c>
      <x:c r="G2518" s="32" t="str">
        <x:v>1107</x:v>
      </x:c>
      <x:c r="H2518" s="32" t="str">
        <x:v>1107</x:v>
      </x:c>
      <x:c r="I2518" s="22" t="str">
        <x:v>沟渠</x:v>
      </x:c>
      <x:c r="J2518" s="22" t="str">
        <x:v>农业生态</x:v>
      </x:c>
      <x:c r="K2518" s="32" t="str"/>
      <x:c r="L2518" s="22" t="str">
        <x:v>不适用/未标注</x:v>
      </x:c>
      <x:c r="M2518" s="33" t="n">
        <x:v>1444129.1099999968</x:v>
      </x:c>
      <x:c r="N2518" s="33" t="n">
        <x:v>144.4129109999997</x:v>
      </x:c>
      <x:c r="O2518" s="22" t="str">
        <x:v>公顷</x:v>
      </x:c>
      <x:c r="P2518" s="22" t="str">
        <x:v>未提供（单期横截面）</x:v>
      </x:c>
      <x:c r="Q2518" s="23" t="n">
        <x:v>5497</x:v>
      </x:c>
    </x:row>
    <x:row r="2519">
      <x:c r="A2519" s="30" t="n">
        <x:v>350600</x:v>
      </x:c>
      <x:c r="B2519" s="22" t="str">
        <x:v>漳州市</x:v>
      </x:c>
      <x:c r="C2519" s="31" t="n">
        <x:v>350625</x:v>
      </x:c>
      <x:c r="D2519" s="22" t="str">
        <x:v>长泰区</x:v>
      </x:c>
      <x:c r="E2519" s="22" t="str">
        <x:v>农用地</x:v>
      </x:c>
      <x:c r="F2519" s="22" t="str">
        <x:v>其他农用地</x:v>
      </x:c>
      <x:c r="G2519" s="32" t="str">
        <x:v>1202</x:v>
      </x:c>
      <x:c r="H2519" s="32" t="str">
        <x:v>1202</x:v>
      </x:c>
      <x:c r="I2519" s="22" t="str">
        <x:v>设施农用地</x:v>
      </x:c>
      <x:c r="J2519" s="22" t="str">
        <x:v>农业生态</x:v>
      </x:c>
      <x:c r="K2519" s="32" t="str"/>
      <x:c r="L2519" s="22" t="str">
        <x:v>不适用/未标注</x:v>
      </x:c>
      <x:c r="M2519" s="33" t="n">
        <x:v>8029308.970000001</x:v>
      </x:c>
      <x:c r="N2519" s="33" t="n">
        <x:v>802.9308970000001</x:v>
      </x:c>
      <x:c r="O2519" s="22" t="str">
        <x:v>公顷</x:v>
      </x:c>
      <x:c r="P2519" s="22" t="str">
        <x:v>未提供（单期横截面）</x:v>
      </x:c>
      <x:c r="Q2519" s="23" t="n">
        <x:v>5498</x:v>
      </x:c>
    </x:row>
    <x:row r="2520">
      <x:c r="A2520" s="30" t="n">
        <x:v>350600</x:v>
      </x:c>
      <x:c r="B2520" s="22" t="str">
        <x:v>漳州市</x:v>
      </x:c>
      <x:c r="C2520" s="31" t="n">
        <x:v>350625</x:v>
      </x:c>
      <x:c r="D2520" s="22" t="str">
        <x:v>长泰区</x:v>
      </x:c>
      <x:c r="E2520" s="22" t="str">
        <x:v>农用地</x:v>
      </x:c>
      <x:c r="F2520" s="22" t="str">
        <x:v>耕地</x:v>
      </x:c>
      <x:c r="G2520" s="32" t="str">
        <x:v>101</x:v>
      </x:c>
      <x:c r="H2520" s="32" t="str">
        <x:v>101</x:v>
      </x:c>
      <x:c r="I2520" s="22" t="str">
        <x:v>水田</x:v>
      </x:c>
      <x:c r="J2520" s="22" t="str">
        <x:v>农业生态</x:v>
      </x:c>
      <x:c r="K2520" s="32" t="str">
        <x:v>202</x:v>
      </x:c>
      <x:c r="L2520" s="22" t="str">
        <x:v>建制镇范围</x:v>
      </x:c>
      <x:c r="M2520" s="33" t="n">
        <x:v>53475.39</x:v>
      </x:c>
      <x:c r="N2520" s="33" t="n">
        <x:v>5.347539</x:v>
      </x:c>
      <x:c r="O2520" s="22" t="str">
        <x:v>公顷</x:v>
      </x:c>
      <x:c r="P2520" s="22" t="str">
        <x:v>未提供（单期横截面）</x:v>
      </x:c>
      <x:c r="Q2520" s="23" t="n">
        <x:v>5499</x:v>
      </x:c>
    </x:row>
    <x:row r="2521">
      <x:c r="A2521" s="30" t="n">
        <x:v>350600</x:v>
      </x:c>
      <x:c r="B2521" s="22" t="str">
        <x:v>漳州市</x:v>
      </x:c>
      <x:c r="C2521" s="31" t="n">
        <x:v>350625</x:v>
      </x:c>
      <x:c r="D2521" s="22" t="str">
        <x:v>长泰区</x:v>
      </x:c>
      <x:c r="E2521" s="22" t="str">
        <x:v>农用地</x:v>
      </x:c>
      <x:c r="F2521" s="22" t="str">
        <x:v>耕地</x:v>
      </x:c>
      <x:c r="G2521" s="32" t="str">
        <x:v>102</x:v>
      </x:c>
      <x:c r="H2521" s="32" t="str">
        <x:v>102</x:v>
      </x:c>
      <x:c r="I2521" s="22" t="str">
        <x:v>水浇地</x:v>
      </x:c>
      <x:c r="J2521" s="22" t="str">
        <x:v>农业生态</x:v>
      </x:c>
      <x:c r="K2521" s="32" t="str">
        <x:v>202</x:v>
      </x:c>
      <x:c r="L2521" s="22" t="str">
        <x:v>建制镇范围</x:v>
      </x:c>
      <x:c r="M2521" s="33" t="n">
        <x:v>1265.74</x:v>
      </x:c>
      <x:c r="N2521" s="33" t="n">
        <x:v>0.126574</x:v>
      </x:c>
      <x:c r="O2521" s="22" t="str">
        <x:v>公顷</x:v>
      </x:c>
      <x:c r="P2521" s="22" t="str">
        <x:v>未提供（单期横截面）</x:v>
      </x:c>
      <x:c r="Q2521" s="23" t="n">
        <x:v>5500</x:v>
      </x:c>
    </x:row>
    <x:row r="2522">
      <x:c r="A2522" s="30" t="n">
        <x:v>350600</x:v>
      </x:c>
      <x:c r="B2522" s="22" t="str">
        <x:v>漳州市</x:v>
      </x:c>
      <x:c r="C2522" s="31" t="n">
        <x:v>350625</x:v>
      </x:c>
      <x:c r="D2522" s="22" t="str">
        <x:v>长泰区</x:v>
      </x:c>
      <x:c r="E2522" s="22" t="str">
        <x:v>农用地</x:v>
      </x:c>
      <x:c r="F2522" s="22" t="str">
        <x:v>耕地</x:v>
      </x:c>
      <x:c r="G2522" s="32" t="str">
        <x:v>103</x:v>
      </x:c>
      <x:c r="H2522" s="32" t="str">
        <x:v>103</x:v>
      </x:c>
      <x:c r="I2522" s="22" t="str">
        <x:v>旱地</x:v>
      </x:c>
      <x:c r="J2522" s="22" t="str">
        <x:v>农业生态</x:v>
      </x:c>
      <x:c r="K2522" s="32" t="str">
        <x:v>202</x:v>
      </x:c>
      <x:c r="L2522" s="22" t="str">
        <x:v>建制镇范围</x:v>
      </x:c>
      <x:c r="M2522" s="33" t="n">
        <x:v>77397.05999999998</x:v>
      </x:c>
      <x:c r="N2522" s="33" t="n">
        <x:v>7.739705999999998</x:v>
      </x:c>
      <x:c r="O2522" s="22" t="str">
        <x:v>公顷</x:v>
      </x:c>
      <x:c r="P2522" s="22" t="str">
        <x:v>未提供（单期横截面）</x:v>
      </x:c>
      <x:c r="Q2522" s="23" t="n">
        <x:v>5501</x:v>
      </x:c>
    </x:row>
    <x:row r="2523">
      <x:c r="A2523" s="30" t="n">
        <x:v>350600</x:v>
      </x:c>
      <x:c r="B2523" s="22" t="str">
        <x:v>漳州市</x:v>
      </x:c>
      <x:c r="C2523" s="31" t="n">
        <x:v>350625</x:v>
      </x:c>
      <x:c r="D2523" s="22" t="str">
        <x:v>长泰区</x:v>
      </x:c>
      <x:c r="E2523" s="22" t="str">
        <x:v>农用地</x:v>
      </x:c>
      <x:c r="F2523" s="22" t="str">
        <x:v>园地</x:v>
      </x:c>
      <x:c r="G2523" s="32" t="str">
        <x:v>201</x:v>
      </x:c>
      <x:c r="H2523" s="32" t="str">
        <x:v>201</x:v>
      </x:c>
      <x:c r="I2523" s="22" t="str">
        <x:v>果园</x:v>
      </x:c>
      <x:c r="J2523" s="22" t="str">
        <x:v>农业生态</x:v>
      </x:c>
      <x:c r="K2523" s="32" t="str">
        <x:v>202</x:v>
      </x:c>
      <x:c r="L2523" s="22" t="str">
        <x:v>建制镇范围</x:v>
      </x:c>
      <x:c r="M2523" s="33" t="n">
        <x:v>166682.27999999997</x:v>
      </x:c>
      <x:c r="N2523" s="33" t="n">
        <x:v>16.668227999999996</x:v>
      </x:c>
      <x:c r="O2523" s="22" t="str">
        <x:v>公顷</x:v>
      </x:c>
      <x:c r="P2523" s="22" t="str">
        <x:v>未提供（单期横截面）</x:v>
      </x:c>
      <x:c r="Q2523" s="23" t="n">
        <x:v>5502</x:v>
      </x:c>
    </x:row>
    <x:row r="2524">
      <x:c r="A2524" s="30" t="n">
        <x:v>350600</x:v>
      </x:c>
      <x:c r="B2524" s="22" t="str">
        <x:v>漳州市</x:v>
      </x:c>
      <x:c r="C2524" s="31" t="n">
        <x:v>350625</x:v>
      </x:c>
      <x:c r="D2524" s="22" t="str">
        <x:v>长泰区</x:v>
      </x:c>
      <x:c r="E2524" s="22" t="str">
        <x:v>农用地</x:v>
      </x:c>
      <x:c r="F2524" s="22" t="str">
        <x:v>园地</x:v>
      </x:c>
      <x:c r="G2524" s="32" t="str">
        <x:v>204</x:v>
      </x:c>
      <x:c r="H2524" s="32" t="str">
        <x:v>204</x:v>
      </x:c>
      <x:c r="I2524" s="22" t="str">
        <x:v>其他园地</x:v>
      </x:c>
      <x:c r="J2524" s="22" t="str">
        <x:v>农业生态</x:v>
      </x:c>
      <x:c r="K2524" s="32" t="str">
        <x:v>202</x:v>
      </x:c>
      <x:c r="L2524" s="22" t="str">
        <x:v>建制镇范围</x:v>
      </x:c>
      <x:c r="M2524" s="33" t="n">
        <x:v>553.22</x:v>
      </x:c>
      <x:c r="N2524" s="33" t="n">
        <x:v>0.055322</x:v>
      </x:c>
      <x:c r="O2524" s="22" t="str">
        <x:v>公顷</x:v>
      </x:c>
      <x:c r="P2524" s="22" t="str">
        <x:v>未提供（单期横截面）</x:v>
      </x:c>
      <x:c r="Q2524" s="23" t="n">
        <x:v>5503</x:v>
      </x:c>
    </x:row>
    <x:row r="2525">
      <x:c r="A2525" s="30" t="n">
        <x:v>350600</x:v>
      </x:c>
      <x:c r="B2525" s="22" t="str">
        <x:v>漳州市</x:v>
      </x:c>
      <x:c r="C2525" s="31" t="n">
        <x:v>350625</x:v>
      </x:c>
      <x:c r="D2525" s="22" t="str">
        <x:v>长泰区</x:v>
      </x:c>
      <x:c r="E2525" s="22" t="str">
        <x:v>农用地</x:v>
      </x:c>
      <x:c r="F2525" s="22" t="str">
        <x:v>林地</x:v>
      </x:c>
      <x:c r="G2525" s="32" t="str">
        <x:v>301</x:v>
      </x:c>
      <x:c r="H2525" s="32" t="str">
        <x:v>301</x:v>
      </x:c>
      <x:c r="I2525" s="22" t="str">
        <x:v>乔木林地</x:v>
      </x:c>
      <x:c r="J2525" s="22" t="str">
        <x:v>农业生态</x:v>
      </x:c>
      <x:c r="K2525" s="32" t="str">
        <x:v>202</x:v>
      </x:c>
      <x:c r="L2525" s="22" t="str">
        <x:v>建制镇范围</x:v>
      </x:c>
      <x:c r="M2525" s="33" t="n">
        <x:v>67853.09</x:v>
      </x:c>
      <x:c r="N2525" s="33" t="n">
        <x:v>6.785309</x:v>
      </x:c>
      <x:c r="O2525" s="22" t="str">
        <x:v>公顷</x:v>
      </x:c>
      <x:c r="P2525" s="22" t="str">
        <x:v>未提供（单期横截面）</x:v>
      </x:c>
      <x:c r="Q2525" s="23" t="n">
        <x:v>5504</x:v>
      </x:c>
    </x:row>
    <x:row r="2526">
      <x:c r="A2526" s="30" t="n">
        <x:v>350600</x:v>
      </x:c>
      <x:c r="B2526" s="22" t="str">
        <x:v>漳州市</x:v>
      </x:c>
      <x:c r="C2526" s="31" t="n">
        <x:v>350625</x:v>
      </x:c>
      <x:c r="D2526" s="22" t="str">
        <x:v>长泰区</x:v>
      </x:c>
      <x:c r="E2526" s="22" t="str">
        <x:v>农用地</x:v>
      </x:c>
      <x:c r="F2526" s="22" t="str">
        <x:v>林地</x:v>
      </x:c>
      <x:c r="G2526" s="32" t="str">
        <x:v>302</x:v>
      </x:c>
      <x:c r="H2526" s="32" t="str">
        <x:v>302</x:v>
      </x:c>
      <x:c r="I2526" s="22" t="str">
        <x:v>竹林地</x:v>
      </x:c>
      <x:c r="J2526" s="22" t="str">
        <x:v>农业生态</x:v>
      </x:c>
      <x:c r="K2526" s="32" t="str">
        <x:v>202</x:v>
      </x:c>
      <x:c r="L2526" s="22" t="str">
        <x:v>建制镇范围</x:v>
      </x:c>
      <x:c r="M2526" s="33" t="n">
        <x:v>5812.92</x:v>
      </x:c>
      <x:c r="N2526" s="33" t="n">
        <x:v>0.581292</x:v>
      </x:c>
      <x:c r="O2526" s="22" t="str">
        <x:v>公顷</x:v>
      </x:c>
      <x:c r="P2526" s="22" t="str">
        <x:v>未提供（单期横截面）</x:v>
      </x:c>
      <x:c r="Q2526" s="23" t="n">
        <x:v>5505</x:v>
      </x:c>
    </x:row>
    <x:row r="2527">
      <x:c r="A2527" s="30" t="n">
        <x:v>350600</x:v>
      </x:c>
      <x:c r="B2527" s="22" t="str">
        <x:v>漳州市</x:v>
      </x:c>
      <x:c r="C2527" s="31" t="n">
        <x:v>350625</x:v>
      </x:c>
      <x:c r="D2527" s="22" t="str">
        <x:v>长泰区</x:v>
      </x:c>
      <x:c r="E2527" s="22" t="str">
        <x:v>农用地</x:v>
      </x:c>
      <x:c r="F2527" s="22" t="str">
        <x:v>林地</x:v>
      </x:c>
      <x:c r="G2527" s="32" t="str">
        <x:v>305</x:v>
      </x:c>
      <x:c r="H2527" s="32" t="str">
        <x:v>305</x:v>
      </x:c>
      <x:c r="I2527" s="22" t="str">
        <x:v>灌木林地</x:v>
      </x:c>
      <x:c r="J2527" s="22" t="str">
        <x:v>农业生态</x:v>
      </x:c>
      <x:c r="K2527" s="32" t="str">
        <x:v>202</x:v>
      </x:c>
      <x:c r="L2527" s="22" t="str">
        <x:v>建制镇范围</x:v>
      </x:c>
      <x:c r="M2527" s="33" t="n">
        <x:v>1734.26</x:v>
      </x:c>
      <x:c r="N2527" s="33" t="n">
        <x:v>0.173426</x:v>
      </x:c>
      <x:c r="O2527" s="22" t="str">
        <x:v>公顷</x:v>
      </x:c>
      <x:c r="P2527" s="22" t="str">
        <x:v>未提供（单期横截面）</x:v>
      </x:c>
      <x:c r="Q2527" s="23" t="n">
        <x:v>5506</x:v>
      </x:c>
    </x:row>
    <x:row r="2528">
      <x:c r="A2528" s="30" t="n">
        <x:v>350600</x:v>
      </x:c>
      <x:c r="B2528" s="22" t="str">
        <x:v>漳州市</x:v>
      </x:c>
      <x:c r="C2528" s="31" t="n">
        <x:v>350625</x:v>
      </x:c>
      <x:c r="D2528" s="22" t="str">
        <x:v>长泰区</x:v>
      </x:c>
      <x:c r="E2528" s="22" t="str">
        <x:v>农用地</x:v>
      </x:c>
      <x:c r="F2528" s="22" t="str">
        <x:v>林地</x:v>
      </x:c>
      <x:c r="G2528" s="32" t="str">
        <x:v>307</x:v>
      </x:c>
      <x:c r="H2528" s="32" t="str">
        <x:v>307</x:v>
      </x:c>
      <x:c r="I2528" s="22" t="str">
        <x:v>其他林地</x:v>
      </x:c>
      <x:c r="J2528" s="22" t="str">
        <x:v>农业生态</x:v>
      </x:c>
      <x:c r="K2528" s="32" t="str">
        <x:v>202</x:v>
      </x:c>
      <x:c r="L2528" s="22" t="str">
        <x:v>建制镇范围</x:v>
      </x:c>
      <x:c r="M2528" s="33" t="n">
        <x:v>21952.3</x:v>
      </x:c>
      <x:c r="N2528" s="33" t="n">
        <x:v>2.19523</x:v>
      </x:c>
      <x:c r="O2528" s="22" t="str">
        <x:v>公顷</x:v>
      </x:c>
      <x:c r="P2528" s="22" t="str">
        <x:v>未提供（单期横截面）</x:v>
      </x:c>
      <x:c r="Q2528" s="23" t="n">
        <x:v>5507</x:v>
      </x:c>
    </x:row>
    <x:row r="2529">
      <x:c r="A2529" s="30" t="n">
        <x:v>350600</x:v>
      </x:c>
      <x:c r="B2529" s="22" t="str">
        <x:v>漳州市</x:v>
      </x:c>
      <x:c r="C2529" s="31" t="n">
        <x:v>350625</x:v>
      </x:c>
      <x:c r="D2529" s="22" t="str">
        <x:v>长泰区</x:v>
      </x:c>
      <x:c r="E2529" s="22" t="str">
        <x:v>农用地</x:v>
      </x:c>
      <x:c r="F2529" s="22" t="str">
        <x:v>水域及水利设施</x:v>
      </x:c>
      <x:c r="G2529" s="32" t="str">
        <x:v>1104</x:v>
      </x:c>
      <x:c r="H2529" s="32" t="str">
        <x:v>1104</x:v>
      </x:c>
      <x:c r="I2529" s="22" t="str">
        <x:v>坑塘水面</x:v>
      </x:c>
      <x:c r="J2529" s="22" t="str">
        <x:v>农业生态</x:v>
      </x:c>
      <x:c r="K2529" s="32" t="str">
        <x:v>202</x:v>
      </x:c>
      <x:c r="L2529" s="22" t="str">
        <x:v>建制镇范围</x:v>
      </x:c>
      <x:c r="M2529" s="33" t="n">
        <x:v>13535.89</x:v>
      </x:c>
      <x:c r="N2529" s="33" t="n">
        <x:v>1.353589</x:v>
      </x:c>
      <x:c r="O2529" s="22" t="str">
        <x:v>公顷</x:v>
      </x:c>
      <x:c r="P2529" s="22" t="str">
        <x:v>未提供（单期横截面）</x:v>
      </x:c>
      <x:c r="Q2529" s="23" t="n">
        <x:v>5508</x:v>
      </x:c>
    </x:row>
    <x:row r="2530">
      <x:c r="A2530" s="30" t="n">
        <x:v>350600</x:v>
      </x:c>
      <x:c r="B2530" s="22" t="str">
        <x:v>漳州市</x:v>
      </x:c>
      <x:c r="C2530" s="31" t="n">
        <x:v>350625</x:v>
      </x:c>
      <x:c r="D2530" s="22" t="str">
        <x:v>长泰区</x:v>
      </x:c>
      <x:c r="E2530" s="22" t="str">
        <x:v>农用地</x:v>
      </x:c>
      <x:c r="F2530" s="22" t="str">
        <x:v>水域及水利设施</x:v>
      </x:c>
      <x:c r="G2530" s="32" t="str">
        <x:v>1107</x:v>
      </x:c>
      <x:c r="H2530" s="32" t="str">
        <x:v>1107</x:v>
      </x:c>
      <x:c r="I2530" s="22" t="str">
        <x:v>沟渠</x:v>
      </x:c>
      <x:c r="J2530" s="22" t="str">
        <x:v>农业生态</x:v>
      </x:c>
      <x:c r="K2530" s="32" t="str">
        <x:v>202</x:v>
      </x:c>
      <x:c r="L2530" s="22" t="str">
        <x:v>建制镇范围</x:v>
      </x:c>
      <x:c r="M2530" s="33" t="n">
        <x:v>1498.5900000000001</x:v>
      </x:c>
      <x:c r="N2530" s="33" t="n">
        <x:v>0.14985900000000002</x:v>
      </x:c>
      <x:c r="O2530" s="22" t="str">
        <x:v>公顷</x:v>
      </x:c>
      <x:c r="P2530" s="22" t="str">
        <x:v>未提供（单期横截面）</x:v>
      </x:c>
      <x:c r="Q2530" s="23" t="n">
        <x:v>5509</x:v>
      </x:c>
    </x:row>
    <x:row r="2531">
      <x:c r="A2531" s="30" t="n">
        <x:v>350600</x:v>
      </x:c>
      <x:c r="B2531" s="22" t="str">
        <x:v>漳州市</x:v>
      </x:c>
      <x:c r="C2531" s="31" t="n">
        <x:v>350625</x:v>
      </x:c>
      <x:c r="D2531" s="22" t="str">
        <x:v>长泰区</x:v>
      </x:c>
      <x:c r="E2531" s="22" t="str">
        <x:v>农用地</x:v>
      </x:c>
      <x:c r="F2531" s="22" t="str">
        <x:v>其他农用地</x:v>
      </x:c>
      <x:c r="G2531" s="32" t="str">
        <x:v>1202</x:v>
      </x:c>
      <x:c r="H2531" s="32" t="str">
        <x:v>1202</x:v>
      </x:c>
      <x:c r="I2531" s="22" t="str">
        <x:v>设施农用地</x:v>
      </x:c>
      <x:c r="J2531" s="22" t="str">
        <x:v>农业生态</x:v>
      </x:c>
      <x:c r="K2531" s="32" t="str">
        <x:v>202</x:v>
      </x:c>
      <x:c r="L2531" s="22" t="str">
        <x:v>建制镇范围</x:v>
      </x:c>
      <x:c r="M2531" s="33" t="n">
        <x:v>2060.32</x:v>
      </x:c>
      <x:c r="N2531" s="33" t="n">
        <x:v>0.20603200000000002</x:v>
      </x:c>
      <x:c r="O2531" s="22" t="str">
        <x:v>公顷</x:v>
      </x:c>
      <x:c r="P2531" s="22" t="str">
        <x:v>未提供（单期横截面）</x:v>
      </x:c>
      <x:c r="Q2531" s="23" t="n">
        <x:v>5510</x:v>
      </x:c>
    </x:row>
    <x:row r="2532">
      <x:c r="A2532" s="30" t="n">
        <x:v>350600</x:v>
      </x:c>
      <x:c r="B2532" s="22" t="str">
        <x:v>漳州市</x:v>
      </x:c>
      <x:c r="C2532" s="31" t="n">
        <x:v>350625</x:v>
      </x:c>
      <x:c r="D2532" s="22" t="str">
        <x:v>长泰区</x:v>
      </x:c>
      <x:c r="E2532" s="22" t="str">
        <x:v>农用地</x:v>
      </x:c>
      <x:c r="F2532" s="22" t="str">
        <x:v>耕地</x:v>
      </x:c>
      <x:c r="G2532" s="32" t="str">
        <x:v>101</x:v>
      </x:c>
      <x:c r="H2532" s="32" t="str">
        <x:v>101</x:v>
      </x:c>
      <x:c r="I2532" s="22" t="str">
        <x:v>水田</x:v>
      </x:c>
      <x:c r="J2532" s="22" t="str">
        <x:v>农业生态</x:v>
      </x:c>
      <x:c r="K2532" s="32" t="str">
        <x:v>203</x:v>
      </x:c>
      <x:c r="L2532" s="22" t="str">
        <x:v>村庄范围</x:v>
      </x:c>
      <x:c r="M2532" s="33" t="n">
        <x:v>196300.61000000002</x:v>
      </x:c>
      <x:c r="N2532" s="33" t="n">
        <x:v>19.630061</x:v>
      </x:c>
      <x:c r="O2532" s="22" t="str">
        <x:v>公顷</x:v>
      </x:c>
      <x:c r="P2532" s="22" t="str">
        <x:v>未提供（单期横截面）</x:v>
      </x:c>
      <x:c r="Q2532" s="23" t="n">
        <x:v>5511</x:v>
      </x:c>
    </x:row>
    <x:row r="2533">
      <x:c r="A2533" s="30" t="n">
        <x:v>350600</x:v>
      </x:c>
      <x:c r="B2533" s="22" t="str">
        <x:v>漳州市</x:v>
      </x:c>
      <x:c r="C2533" s="31" t="n">
        <x:v>350625</x:v>
      </x:c>
      <x:c r="D2533" s="22" t="str">
        <x:v>长泰区</x:v>
      </x:c>
      <x:c r="E2533" s="22" t="str">
        <x:v>农用地</x:v>
      </x:c>
      <x:c r="F2533" s="22" t="str">
        <x:v>耕地</x:v>
      </x:c>
      <x:c r="G2533" s="32" t="str">
        <x:v>102</x:v>
      </x:c>
      <x:c r="H2533" s="32" t="str">
        <x:v>102</x:v>
      </x:c>
      <x:c r="I2533" s="22" t="str">
        <x:v>水浇地</x:v>
      </x:c>
      <x:c r="J2533" s="22" t="str">
        <x:v>农业生态</x:v>
      </x:c>
      <x:c r="K2533" s="32" t="str">
        <x:v>203</x:v>
      </x:c>
      <x:c r="L2533" s="22" t="str">
        <x:v>村庄范围</x:v>
      </x:c>
      <x:c r="M2533" s="33" t="n">
        <x:v>7682.29</x:v>
      </x:c>
      <x:c r="N2533" s="33" t="n">
        <x:v>0.768229</x:v>
      </x:c>
      <x:c r="O2533" s="22" t="str">
        <x:v>公顷</x:v>
      </x:c>
      <x:c r="P2533" s="22" t="str">
        <x:v>未提供（单期横截面）</x:v>
      </x:c>
      <x:c r="Q2533" s="23" t="n">
        <x:v>5512</x:v>
      </x:c>
    </x:row>
    <x:row r="2534">
      <x:c r="A2534" s="30" t="n">
        <x:v>350600</x:v>
      </x:c>
      <x:c r="B2534" s="22" t="str">
        <x:v>漳州市</x:v>
      </x:c>
      <x:c r="C2534" s="31" t="n">
        <x:v>350625</x:v>
      </x:c>
      <x:c r="D2534" s="22" t="str">
        <x:v>长泰区</x:v>
      </x:c>
      <x:c r="E2534" s="22" t="str">
        <x:v>农用地</x:v>
      </x:c>
      <x:c r="F2534" s="22" t="str">
        <x:v>耕地</x:v>
      </x:c>
      <x:c r="G2534" s="32" t="str">
        <x:v>103</x:v>
      </x:c>
      <x:c r="H2534" s="32" t="str">
        <x:v>103</x:v>
      </x:c>
      <x:c r="I2534" s="22" t="str">
        <x:v>旱地</x:v>
      </x:c>
      <x:c r="J2534" s="22" t="str">
        <x:v>农业生态</x:v>
      </x:c>
      <x:c r="K2534" s="32" t="str">
        <x:v>203</x:v>
      </x:c>
      <x:c r="L2534" s="22" t="str">
        <x:v>村庄范围</x:v>
      </x:c>
      <x:c r="M2534" s="33" t="n">
        <x:v>84120.20000000001</x:v>
      </x:c>
      <x:c r="N2534" s="33" t="n">
        <x:v>8.412020000000002</x:v>
      </x:c>
      <x:c r="O2534" s="22" t="str">
        <x:v>公顷</x:v>
      </x:c>
      <x:c r="P2534" s="22" t="str">
        <x:v>未提供（单期横截面）</x:v>
      </x:c>
      <x:c r="Q2534" s="23" t="n">
        <x:v>5513</x:v>
      </x:c>
    </x:row>
    <x:row r="2535">
      <x:c r="A2535" s="30" t="n">
        <x:v>350600</x:v>
      </x:c>
      <x:c r="B2535" s="22" t="str">
        <x:v>漳州市</x:v>
      </x:c>
      <x:c r="C2535" s="31" t="n">
        <x:v>350625</x:v>
      </x:c>
      <x:c r="D2535" s="22" t="str">
        <x:v>长泰区</x:v>
      </x:c>
      <x:c r="E2535" s="22" t="str">
        <x:v>农用地</x:v>
      </x:c>
      <x:c r="F2535" s="22" t="str">
        <x:v>园地</x:v>
      </x:c>
      <x:c r="G2535" s="32" t="str">
        <x:v>201</x:v>
      </x:c>
      <x:c r="H2535" s="32" t="str">
        <x:v>201</x:v>
      </x:c>
      <x:c r="I2535" s="22" t="str">
        <x:v>果园</x:v>
      </x:c>
      <x:c r="J2535" s="22" t="str">
        <x:v>农业生态</x:v>
      </x:c>
      <x:c r="K2535" s="32" t="str">
        <x:v>203</x:v>
      </x:c>
      <x:c r="L2535" s="22" t="str">
        <x:v>村庄范围</x:v>
      </x:c>
      <x:c r="M2535" s="33" t="n">
        <x:v>225448.8800000001</x:v>
      </x:c>
      <x:c r="N2535" s="33" t="n">
        <x:v>22.54488800000001</x:v>
      </x:c>
      <x:c r="O2535" s="22" t="str">
        <x:v>公顷</x:v>
      </x:c>
      <x:c r="P2535" s="22" t="str">
        <x:v>未提供（单期横截面）</x:v>
      </x:c>
      <x:c r="Q2535" s="23" t="n">
        <x:v>5514</x:v>
      </x:c>
    </x:row>
    <x:row r="2536">
      <x:c r="A2536" s="30" t="n">
        <x:v>350600</x:v>
      </x:c>
      <x:c r="B2536" s="22" t="str">
        <x:v>漳州市</x:v>
      </x:c>
      <x:c r="C2536" s="31" t="n">
        <x:v>350625</x:v>
      </x:c>
      <x:c r="D2536" s="22" t="str">
        <x:v>长泰区</x:v>
      </x:c>
      <x:c r="E2536" s="22" t="str">
        <x:v>农用地</x:v>
      </x:c>
      <x:c r="F2536" s="22" t="str">
        <x:v>园地</x:v>
      </x:c>
      <x:c r="G2536" s="32" t="str">
        <x:v>0201K</x:v>
      </x:c>
      <x:c r="H2536" s="32" t="str">
        <x:v>201</x:v>
      </x:c>
      <x:c r="I2536" s="22" t="str">
        <x:v>可调整果园</x:v>
      </x:c>
      <x:c r="J2536" s="22" t="str">
        <x:v>农业生态</x:v>
      </x:c>
      <x:c r="K2536" s="32" t="str">
        <x:v>203</x:v>
      </x:c>
      <x:c r="L2536" s="22" t="str">
        <x:v>村庄范围</x:v>
      </x:c>
      <x:c r="M2536" s="33" t="n">
        <x:v>424.28</x:v>
      </x:c>
      <x:c r="N2536" s="33" t="n">
        <x:v>0.042428</x:v>
      </x:c>
      <x:c r="O2536" s="22" t="str">
        <x:v>公顷</x:v>
      </x:c>
      <x:c r="P2536" s="22" t="str">
        <x:v>未提供（单期横截面）</x:v>
      </x:c>
      <x:c r="Q2536" s="23" t="n">
        <x:v>5515</x:v>
      </x:c>
    </x:row>
    <x:row r="2537">
      <x:c r="A2537" s="30" t="n">
        <x:v>350600</x:v>
      </x:c>
      <x:c r="B2537" s="22" t="str">
        <x:v>漳州市</x:v>
      </x:c>
      <x:c r="C2537" s="31" t="n">
        <x:v>350625</x:v>
      </x:c>
      <x:c r="D2537" s="22" t="str">
        <x:v>长泰区</x:v>
      </x:c>
      <x:c r="E2537" s="22" t="str">
        <x:v>农用地</x:v>
      </x:c>
      <x:c r="F2537" s="22" t="str">
        <x:v>园地</x:v>
      </x:c>
      <x:c r="G2537" s="32" t="str">
        <x:v>202</x:v>
      </x:c>
      <x:c r="H2537" s="32" t="str">
        <x:v>202</x:v>
      </x:c>
      <x:c r="I2537" s="22" t="str">
        <x:v>茶园</x:v>
      </x:c>
      <x:c r="J2537" s="22" t="str">
        <x:v>农业生态</x:v>
      </x:c>
      <x:c r="K2537" s="32" t="str">
        <x:v>203</x:v>
      </x:c>
      <x:c r="L2537" s="22" t="str">
        <x:v>村庄范围</x:v>
      </x:c>
      <x:c r="M2537" s="33" t="n">
        <x:v>707.92</x:v>
      </x:c>
      <x:c r="N2537" s="33" t="n">
        <x:v>0.070792</x:v>
      </x:c>
      <x:c r="O2537" s="22" t="str">
        <x:v>公顷</x:v>
      </x:c>
      <x:c r="P2537" s="22" t="str">
        <x:v>未提供（单期横截面）</x:v>
      </x:c>
      <x:c r="Q2537" s="23" t="n">
        <x:v>5516</x:v>
      </x:c>
    </x:row>
    <x:row r="2538">
      <x:c r="A2538" s="30" t="n">
        <x:v>350600</x:v>
      </x:c>
      <x:c r="B2538" s="22" t="str">
        <x:v>漳州市</x:v>
      </x:c>
      <x:c r="C2538" s="31" t="n">
        <x:v>350625</x:v>
      </x:c>
      <x:c r="D2538" s="22" t="str">
        <x:v>长泰区</x:v>
      </x:c>
      <x:c r="E2538" s="22" t="str">
        <x:v>农用地</x:v>
      </x:c>
      <x:c r="F2538" s="22" t="str">
        <x:v>园地</x:v>
      </x:c>
      <x:c r="G2538" s="32" t="str">
        <x:v>204</x:v>
      </x:c>
      <x:c r="H2538" s="32" t="str">
        <x:v>204</x:v>
      </x:c>
      <x:c r="I2538" s="22" t="str">
        <x:v>其他园地</x:v>
      </x:c>
      <x:c r="J2538" s="22" t="str">
        <x:v>农业生态</x:v>
      </x:c>
      <x:c r="K2538" s="32" t="str">
        <x:v>203</x:v>
      </x:c>
      <x:c r="L2538" s="22" t="str">
        <x:v>村庄范围</x:v>
      </x:c>
      <x:c r="M2538" s="33" t="n">
        <x:v>4805.42</x:v>
      </x:c>
      <x:c r="N2538" s="33" t="n">
        <x:v>0.480542</x:v>
      </x:c>
      <x:c r="O2538" s="22" t="str">
        <x:v>公顷</x:v>
      </x:c>
      <x:c r="P2538" s="22" t="str">
        <x:v>未提供（单期横截面）</x:v>
      </x:c>
      <x:c r="Q2538" s="23" t="n">
        <x:v>5517</x:v>
      </x:c>
    </x:row>
    <x:row r="2539">
      <x:c r="A2539" s="30" t="n">
        <x:v>350600</x:v>
      </x:c>
      <x:c r="B2539" s="22" t="str">
        <x:v>漳州市</x:v>
      </x:c>
      <x:c r="C2539" s="31" t="n">
        <x:v>350625</x:v>
      </x:c>
      <x:c r="D2539" s="22" t="str">
        <x:v>长泰区</x:v>
      </x:c>
      <x:c r="E2539" s="22" t="str">
        <x:v>农用地</x:v>
      </x:c>
      <x:c r="F2539" s="22" t="str">
        <x:v>林地</x:v>
      </x:c>
      <x:c r="G2539" s="32" t="str">
        <x:v>301</x:v>
      </x:c>
      <x:c r="H2539" s="32" t="str">
        <x:v>301</x:v>
      </x:c>
      <x:c r="I2539" s="22" t="str">
        <x:v>乔木林地</x:v>
      </x:c>
      <x:c r="J2539" s="22" t="str">
        <x:v>农业生态</x:v>
      </x:c>
      <x:c r="K2539" s="32" t="str">
        <x:v>203</x:v>
      </x:c>
      <x:c r="L2539" s="22" t="str">
        <x:v>村庄范围</x:v>
      </x:c>
      <x:c r="M2539" s="33" t="n">
        <x:v>25681.8</x:v>
      </x:c>
      <x:c r="N2539" s="33" t="n">
        <x:v>2.56818</x:v>
      </x:c>
      <x:c r="O2539" s="22" t="str">
        <x:v>公顷</x:v>
      </x:c>
      <x:c r="P2539" s="22" t="str">
        <x:v>未提供（单期横截面）</x:v>
      </x:c>
      <x:c r="Q2539" s="23" t="n">
        <x:v>5518</x:v>
      </x:c>
    </x:row>
    <x:row r="2540">
      <x:c r="A2540" s="30" t="n">
        <x:v>350600</x:v>
      </x:c>
      <x:c r="B2540" s="22" t="str">
        <x:v>漳州市</x:v>
      </x:c>
      <x:c r="C2540" s="31" t="n">
        <x:v>350625</x:v>
      </x:c>
      <x:c r="D2540" s="22" t="str">
        <x:v>长泰区</x:v>
      </x:c>
      <x:c r="E2540" s="22" t="str">
        <x:v>农用地</x:v>
      </x:c>
      <x:c r="F2540" s="22" t="str">
        <x:v>林地</x:v>
      </x:c>
      <x:c r="G2540" s="32" t="str">
        <x:v>302</x:v>
      </x:c>
      <x:c r="H2540" s="32" t="str">
        <x:v>302</x:v>
      </x:c>
      <x:c r="I2540" s="22" t="str">
        <x:v>竹林地</x:v>
      </x:c>
      <x:c r="J2540" s="22" t="str">
        <x:v>农业生态</x:v>
      </x:c>
      <x:c r="K2540" s="32" t="str">
        <x:v>203</x:v>
      </x:c>
      <x:c r="L2540" s="22" t="str">
        <x:v>村庄范围</x:v>
      </x:c>
      <x:c r="M2540" s="33" t="n">
        <x:v>7940.21</x:v>
      </x:c>
      <x:c r="N2540" s="33" t="n">
        <x:v>0.794021</x:v>
      </x:c>
      <x:c r="O2540" s="22" t="str">
        <x:v>公顷</x:v>
      </x:c>
      <x:c r="P2540" s="22" t="str">
        <x:v>未提供（单期横截面）</x:v>
      </x:c>
      <x:c r="Q2540" s="23" t="n">
        <x:v>5519</x:v>
      </x:c>
    </x:row>
    <x:row r="2541">
      <x:c r="A2541" s="30" t="n">
        <x:v>350600</x:v>
      </x:c>
      <x:c r="B2541" s="22" t="str">
        <x:v>漳州市</x:v>
      </x:c>
      <x:c r="C2541" s="31" t="n">
        <x:v>350625</x:v>
      </x:c>
      <x:c r="D2541" s="22" t="str">
        <x:v>长泰区</x:v>
      </x:c>
      <x:c r="E2541" s="22" t="str">
        <x:v>农用地</x:v>
      </x:c>
      <x:c r="F2541" s="22" t="str">
        <x:v>林地</x:v>
      </x:c>
      <x:c r="G2541" s="32" t="str">
        <x:v>305</x:v>
      </x:c>
      <x:c r="H2541" s="32" t="str">
        <x:v>305</x:v>
      </x:c>
      <x:c r="I2541" s="22" t="str">
        <x:v>灌木林地</x:v>
      </x:c>
      <x:c r="J2541" s="22" t="str">
        <x:v>农业生态</x:v>
      </x:c>
      <x:c r="K2541" s="32" t="str">
        <x:v>203</x:v>
      </x:c>
      <x:c r="L2541" s="22" t="str">
        <x:v>村庄范围</x:v>
      </x:c>
      <x:c r="M2541" s="33" t="n">
        <x:v>3799.08</x:v>
      </x:c>
      <x:c r="N2541" s="33" t="n">
        <x:v>0.37990799999999997</x:v>
      </x:c>
      <x:c r="O2541" s="22" t="str">
        <x:v>公顷</x:v>
      </x:c>
      <x:c r="P2541" s="22" t="str">
        <x:v>未提供（单期横截面）</x:v>
      </x:c>
      <x:c r="Q2541" s="23" t="n">
        <x:v>5520</x:v>
      </x:c>
    </x:row>
    <x:row r="2542">
      <x:c r="A2542" s="30" t="n">
        <x:v>350600</x:v>
      </x:c>
      <x:c r="B2542" s="22" t="str">
        <x:v>漳州市</x:v>
      </x:c>
      <x:c r="C2542" s="31" t="n">
        <x:v>350625</x:v>
      </x:c>
      <x:c r="D2542" s="22" t="str">
        <x:v>长泰区</x:v>
      </x:c>
      <x:c r="E2542" s="22" t="str">
        <x:v>农用地</x:v>
      </x:c>
      <x:c r="F2542" s="22" t="str">
        <x:v>林地</x:v>
      </x:c>
      <x:c r="G2542" s="32" t="str">
        <x:v>307</x:v>
      </x:c>
      <x:c r="H2542" s="32" t="str">
        <x:v>307</x:v>
      </x:c>
      <x:c r="I2542" s="22" t="str">
        <x:v>其他林地</x:v>
      </x:c>
      <x:c r="J2542" s="22" t="str">
        <x:v>农业生态</x:v>
      </x:c>
      <x:c r="K2542" s="32" t="str">
        <x:v>203</x:v>
      </x:c>
      <x:c r="L2542" s="22" t="str">
        <x:v>村庄范围</x:v>
      </x:c>
      <x:c r="M2542" s="33" t="n">
        <x:v>10150.71</x:v>
      </x:c>
      <x:c r="N2542" s="33" t="n">
        <x:v>1.0150709999999998</x:v>
      </x:c>
      <x:c r="O2542" s="22" t="str">
        <x:v>公顷</x:v>
      </x:c>
      <x:c r="P2542" s="22" t="str">
        <x:v>未提供（单期横截面）</x:v>
      </x:c>
      <x:c r="Q2542" s="23" t="n">
        <x:v>5521</x:v>
      </x:c>
    </x:row>
    <x:row r="2543">
      <x:c r="A2543" s="30" t="n">
        <x:v>350600</x:v>
      </x:c>
      <x:c r="B2543" s="22" t="str">
        <x:v>漳州市</x:v>
      </x:c>
      <x:c r="C2543" s="31" t="n">
        <x:v>350625</x:v>
      </x:c>
      <x:c r="D2543" s="22" t="str">
        <x:v>长泰区</x:v>
      </x:c>
      <x:c r="E2543" s="22" t="str">
        <x:v>农用地</x:v>
      </x:c>
      <x:c r="F2543" s="22" t="str">
        <x:v>其他农用地</x:v>
      </x:c>
      <x:c r="G2543" s="32" t="str">
        <x:v>1006</x:v>
      </x:c>
      <x:c r="H2543" s="32" t="str">
        <x:v>1006</x:v>
      </x:c>
      <x:c r="I2543" s="22" t="str">
        <x:v>农村道路</x:v>
      </x:c>
      <x:c r="J2543" s="22" t="str">
        <x:v>农业生态</x:v>
      </x:c>
      <x:c r="K2543" s="32" t="str">
        <x:v>203</x:v>
      </x:c>
      <x:c r="L2543" s="22" t="str">
        <x:v>村庄范围</x:v>
      </x:c>
      <x:c r="M2543" s="33" t="n">
        <x:v>264.83</x:v>
      </x:c>
      <x:c r="N2543" s="33" t="n">
        <x:v>0.026483</x:v>
      </x:c>
      <x:c r="O2543" s="22" t="str">
        <x:v>公顷</x:v>
      </x:c>
      <x:c r="P2543" s="22" t="str">
        <x:v>未提供（单期横截面）</x:v>
      </x:c>
      <x:c r="Q2543" s="23" t="n">
        <x:v>5522</x:v>
      </x:c>
    </x:row>
    <x:row r="2544">
      <x:c r="A2544" s="30" t="n">
        <x:v>350600</x:v>
      </x:c>
      <x:c r="B2544" s="22" t="str">
        <x:v>漳州市</x:v>
      </x:c>
      <x:c r="C2544" s="31" t="n">
        <x:v>350625</x:v>
      </x:c>
      <x:c r="D2544" s="22" t="str">
        <x:v>长泰区</x:v>
      </x:c>
      <x:c r="E2544" s="22" t="str">
        <x:v>农用地</x:v>
      </x:c>
      <x:c r="F2544" s="22" t="str">
        <x:v>水域及水利设施</x:v>
      </x:c>
      <x:c r="G2544" s="32" t="str">
        <x:v>1104</x:v>
      </x:c>
      <x:c r="H2544" s="32" t="str">
        <x:v>1104</x:v>
      </x:c>
      <x:c r="I2544" s="22" t="str">
        <x:v>坑塘水面</x:v>
      </x:c>
      <x:c r="J2544" s="22" t="str">
        <x:v>农业生态</x:v>
      </x:c>
      <x:c r="K2544" s="32" t="str">
        <x:v>203</x:v>
      </x:c>
      <x:c r="L2544" s="22" t="str">
        <x:v>村庄范围</x:v>
      </x:c>
      <x:c r="M2544" s="33" t="n">
        <x:v>75239.63999999998</x:v>
      </x:c>
      <x:c r="N2544" s="33" t="n">
        <x:v>7.5239639999999985</x:v>
      </x:c>
      <x:c r="O2544" s="22" t="str">
        <x:v>公顷</x:v>
      </x:c>
      <x:c r="P2544" s="22" t="str">
        <x:v>未提供（单期横截面）</x:v>
      </x:c>
      <x:c r="Q2544" s="23" t="n">
        <x:v>5523</x:v>
      </x:c>
    </x:row>
    <x:row r="2545">
      <x:c r="A2545" s="30" t="n">
        <x:v>350600</x:v>
      </x:c>
      <x:c r="B2545" s="22" t="str">
        <x:v>漳州市</x:v>
      </x:c>
      <x:c r="C2545" s="31" t="n">
        <x:v>350625</x:v>
      </x:c>
      <x:c r="D2545" s="22" t="str">
        <x:v>长泰区</x:v>
      </x:c>
      <x:c r="E2545" s="22" t="str">
        <x:v>农用地</x:v>
      </x:c>
      <x:c r="F2545" s="22" t="str">
        <x:v>水域及水利设施</x:v>
      </x:c>
      <x:c r="G2545" s="32" t="str">
        <x:v>1104A</x:v>
      </x:c>
      <x:c r="H2545" s="32" t="str">
        <x:v>1104</x:v>
      </x:c>
      <x:c r="I2545" s="22" t="str">
        <x:v>养殖坑塘</x:v>
      </x:c>
      <x:c r="J2545" s="22" t="str">
        <x:v>农业生态</x:v>
      </x:c>
      <x:c r="K2545" s="32" t="str">
        <x:v>203</x:v>
      </x:c>
      <x:c r="L2545" s="22" t="str">
        <x:v>村庄范围</x:v>
      </x:c>
      <x:c r="M2545" s="33" t="n">
        <x:v>4025.6000000000004</x:v>
      </x:c>
      <x:c r="N2545" s="33" t="n">
        <x:v>0.40256000000000003</x:v>
      </x:c>
      <x:c r="O2545" s="22" t="str">
        <x:v>公顷</x:v>
      </x:c>
      <x:c r="P2545" s="22" t="str">
        <x:v>未提供（单期横截面）</x:v>
      </x:c>
      <x:c r="Q2545" s="23" t="n">
        <x:v>5524</x:v>
      </x:c>
    </x:row>
    <x:row r="2546">
      <x:c r="A2546" s="30" t="n">
        <x:v>350600</x:v>
      </x:c>
      <x:c r="B2546" s="22" t="str">
        <x:v>漳州市</x:v>
      </x:c>
      <x:c r="C2546" s="31" t="n">
        <x:v>350625</x:v>
      </x:c>
      <x:c r="D2546" s="22" t="str">
        <x:v>长泰区</x:v>
      </x:c>
      <x:c r="E2546" s="22" t="str">
        <x:v>农用地</x:v>
      </x:c>
      <x:c r="F2546" s="22" t="str">
        <x:v>水域及水利设施</x:v>
      </x:c>
      <x:c r="G2546" s="32" t="str">
        <x:v>1107</x:v>
      </x:c>
      <x:c r="H2546" s="32" t="str">
        <x:v>1107</x:v>
      </x:c>
      <x:c r="I2546" s="22" t="str">
        <x:v>沟渠</x:v>
      </x:c>
      <x:c r="J2546" s="22" t="str">
        <x:v>农业生态</x:v>
      </x:c>
      <x:c r="K2546" s="32" t="str">
        <x:v>203</x:v>
      </x:c>
      <x:c r="L2546" s="22" t="str">
        <x:v>村庄范围</x:v>
      </x:c>
      <x:c r="M2546" s="33" t="n">
        <x:v>5390.790000000001</x:v>
      </x:c>
      <x:c r="N2546" s="33" t="n">
        <x:v>0.5390790000000001</x:v>
      </x:c>
      <x:c r="O2546" s="22" t="str">
        <x:v>公顷</x:v>
      </x:c>
      <x:c r="P2546" s="22" t="str">
        <x:v>未提供（单期横截面）</x:v>
      </x:c>
      <x:c r="Q2546" s="23" t="n">
        <x:v>5525</x:v>
      </x:c>
    </x:row>
    <x:row r="2547">
      <x:c r="A2547" s="30" t="n">
        <x:v>350600</x:v>
      </x:c>
      <x:c r="B2547" s="22" t="str">
        <x:v>漳州市</x:v>
      </x:c>
      <x:c r="C2547" s="31" t="n">
        <x:v>350625</x:v>
      </x:c>
      <x:c r="D2547" s="22" t="str">
        <x:v>长泰区</x:v>
      </x:c>
      <x:c r="E2547" s="22" t="str">
        <x:v>农用地</x:v>
      </x:c>
      <x:c r="F2547" s="22" t="str">
        <x:v>其他农用地</x:v>
      </x:c>
      <x:c r="G2547" s="32" t="str">
        <x:v>1202</x:v>
      </x:c>
      <x:c r="H2547" s="32" t="str">
        <x:v>1202</x:v>
      </x:c>
      <x:c r="I2547" s="22" t="str">
        <x:v>设施农用地</x:v>
      </x:c>
      <x:c r="J2547" s="22" t="str">
        <x:v>农业生态</x:v>
      </x:c>
      <x:c r="K2547" s="32" t="str">
        <x:v>203</x:v>
      </x:c>
      <x:c r="L2547" s="22" t="str">
        <x:v>村庄范围</x:v>
      </x:c>
      <x:c r="M2547" s="33" t="n">
        <x:v>25499.399999999994</x:v>
      </x:c>
      <x:c r="N2547" s="33" t="n">
        <x:v>2.5499399999999994</x:v>
      </x:c>
      <x:c r="O2547" s="22" t="str">
        <x:v>公顷</x:v>
      </x:c>
      <x:c r="P2547" s="22" t="str">
        <x:v>未提供（单期横截面）</x:v>
      </x:c>
      <x:c r="Q2547" s="23" t="n">
        <x:v>5526</x:v>
      </x:c>
    </x:row>
    <x:row r="2548">
      <x:c r="A2548" s="30" t="n">
        <x:v>350600</x:v>
      </x:c>
      <x:c r="B2548" s="22" t="str">
        <x:v>漳州市</x:v>
      </x:c>
      <x:c r="C2548" s="31" t="n">
        <x:v>350625</x:v>
      </x:c>
      <x:c r="D2548" s="22" t="str">
        <x:v>长泰区</x:v>
      </x:c>
      <x:c r="E2548" s="22" t="str">
        <x:v>农用地</x:v>
      </x:c>
      <x:c r="F2548" s="22" t="str">
        <x:v>林地</x:v>
      </x:c>
      <x:c r="G2548" s="32" t="str">
        <x:v>305</x:v>
      </x:c>
      <x:c r="H2548" s="32" t="str">
        <x:v>305</x:v>
      </x:c>
      <x:c r="I2548" s="22" t="str">
        <x:v>灌木林地</x:v>
      </x:c>
      <x:c r="J2548" s="22" t="str">
        <x:v>农业生态</x:v>
      </x:c>
      <x:c r="K2548" s="32" t="str">
        <x:v>205</x:v>
      </x:c>
      <x:c r="L2548" s="22" t="str">
        <x:v>特殊用地</x:v>
      </x:c>
      <x:c r="M2548" s="33" t="n">
        <x:v>96606.04000000001</x:v>
      </x:c>
      <x:c r="N2548" s="33" t="n">
        <x:v>9.660604000000001</x:v>
      </x:c>
      <x:c r="O2548" s="22" t="str">
        <x:v>公顷</x:v>
      </x:c>
      <x:c r="P2548" s="22" t="str">
        <x:v>未提供（单期横截面）</x:v>
      </x:c>
      <x:c r="Q2548" s="23" t="n">
        <x:v>5527</x:v>
      </x:c>
    </x:row>
    <x:row r="2549">
      <x:c r="A2549" s="30" t="n">
        <x:v>350600</x:v>
      </x:c>
      <x:c r="B2549" s="22" t="str">
        <x:v>漳州市</x:v>
      </x:c>
      <x:c r="C2549" s="31" t="n">
        <x:v>350625</x:v>
      </x:c>
      <x:c r="D2549" s="22" t="str">
        <x:v>长泰区</x:v>
      </x:c>
      <x:c r="E2549" s="22" t="str">
        <x:v>农用地</x:v>
      </x:c>
      <x:c r="F2549" s="22" t="str">
        <x:v>林地</x:v>
      </x:c>
      <x:c r="G2549" s="32" t="str">
        <x:v>307</x:v>
      </x:c>
      <x:c r="H2549" s="32" t="str">
        <x:v>307</x:v>
      </x:c>
      <x:c r="I2549" s="22" t="str">
        <x:v>其他林地</x:v>
      </x:c>
      <x:c r="J2549" s="22" t="str">
        <x:v>农业生态</x:v>
      </x:c>
      <x:c r="K2549" s="32" t="str">
        <x:v>205</x:v>
      </x:c>
      <x:c r="L2549" s="22" t="str">
        <x:v>特殊用地</x:v>
      </x:c>
      <x:c r="M2549" s="33" t="n">
        <x:v>36365.94</x:v>
      </x:c>
      <x:c r="N2549" s="33" t="n">
        <x:v>3.636594</x:v>
      </x:c>
      <x:c r="O2549" s="22" t="str">
        <x:v>公顷</x:v>
      </x:c>
      <x:c r="P2549" s="22" t="str">
        <x:v>未提供（单期横截面）</x:v>
      </x:c>
      <x:c r="Q2549" s="23" t="n">
        <x:v>5528</x:v>
      </x:c>
    </x:row>
    <x:row r="2550">
      <x:c r="A2550" s="30" t="n">
        <x:v>350600</x:v>
      </x:c>
      <x:c r="B2550" s="22" t="str">
        <x:v>漳州市</x:v>
      </x:c>
      <x:c r="C2550" s="31" t="n">
        <x:v>350625</x:v>
      </x:c>
      <x:c r="D2550" s="22" t="str">
        <x:v>长泰区</x:v>
      </x:c>
      <x:c r="E2550" s="22" t="str">
        <x:v>农用地</x:v>
      </x:c>
      <x:c r="F2550" s="22" t="str">
        <x:v>水域及水利设施</x:v>
      </x:c>
      <x:c r="G2550" s="32" t="str">
        <x:v>1104A</x:v>
      </x:c>
      <x:c r="H2550" s="32" t="str">
        <x:v>1104</x:v>
      </x:c>
      <x:c r="I2550" s="22" t="str">
        <x:v>养殖坑塘</x:v>
      </x:c>
      <x:c r="J2550" s="22" t="str">
        <x:v>农业生态</x:v>
      </x:c>
      <x:c r="K2550" s="32" t="str">
        <x:v>205</x:v>
      </x:c>
      <x:c r="L2550" s="22" t="str">
        <x:v>特殊用地</x:v>
      </x:c>
      <x:c r="M2550" s="33" t="n">
        <x:v>4845.47</x:v>
      </x:c>
      <x:c r="N2550" s="33" t="n">
        <x:v>0.484547</x:v>
      </x:c>
      <x:c r="O2550" s="22" t="str">
        <x:v>公顷</x:v>
      </x:c>
      <x:c r="P2550" s="22" t="str">
        <x:v>未提供（单期横截面）</x:v>
      </x:c>
      <x:c r="Q2550" s="23" t="n">
        <x:v>5529</x:v>
      </x:c>
    </x:row>
    <x:row r="2551">
      <x:c r="A2551" s="30" t="n">
        <x:v>350600</x:v>
      </x:c>
      <x:c r="B2551" s="22" t="str">
        <x:v>漳州市</x:v>
      </x:c>
      <x:c r="C2551" s="31" t="n">
        <x:v>350625</x:v>
      </x:c>
      <x:c r="D2551" s="22" t="str">
        <x:v>长泰区</x:v>
      </x:c>
      <x:c r="E2551" s="22" t="str">
        <x:v>未利用地</x:v>
      </x:c>
      <x:c r="F2551" s="22" t="str">
        <x:v>草地</x:v>
      </x:c>
      <x:c r="G2551" s="32" t="str">
        <x:v>404</x:v>
      </x:c>
      <x:c r="H2551" s="32" t="str">
        <x:v>404</x:v>
      </x:c>
      <x:c r="I2551" s="22" t="str">
        <x:v>其他草地</x:v>
      </x:c>
      <x:c r="J2551" s="22" t="str">
        <x:v>农业生态</x:v>
      </x:c>
      <x:c r="K2551" s="32" t="str"/>
      <x:c r="L2551" s="22" t="str">
        <x:v>不适用/未标注</x:v>
      </x:c>
      <x:c r="M2551" s="33" t="n">
        <x:v>9364594.509999989</x:v>
      </x:c>
      <x:c r="N2551" s="33" t="n">
        <x:v>936.4594509999988</x:v>
      </x:c>
      <x:c r="O2551" s="22" t="str">
        <x:v>公顷</x:v>
      </x:c>
      <x:c r="P2551" s="22" t="str">
        <x:v>未提供（单期横截面）</x:v>
      </x:c>
      <x:c r="Q2551" s="23" t="n">
        <x:v>5530</x:v>
      </x:c>
    </x:row>
    <x:row r="2552">
      <x:c r="A2552" s="30" t="n">
        <x:v>350600</x:v>
      </x:c>
      <x:c r="B2552" s="22" t="str">
        <x:v>漳州市</x:v>
      </x:c>
      <x:c r="C2552" s="31" t="n">
        <x:v>350625</x:v>
      </x:c>
      <x:c r="D2552" s="22" t="str">
        <x:v>长泰区</x:v>
      </x:c>
      <x:c r="E2552" s="22" t="str">
        <x:v>未利用地</x:v>
      </x:c>
      <x:c r="F2552" s="22" t="str">
        <x:v>水域及水利设施</x:v>
      </x:c>
      <x:c r="G2552" s="32" t="str">
        <x:v>1101</x:v>
      </x:c>
      <x:c r="H2552" s="32" t="str">
        <x:v>1101</x:v>
      </x:c>
      <x:c r="I2552" s="22" t="str">
        <x:v>河流水面</x:v>
      </x:c>
      <x:c r="J2552" s="22" t="str">
        <x:v>农业生态</x:v>
      </x:c>
      <x:c r="K2552" s="32" t="str"/>
      <x:c r="L2552" s="22" t="str">
        <x:v>不适用/未标注</x:v>
      </x:c>
      <x:c r="M2552" s="33" t="n">
        <x:v>11238195.589999998</x:v>
      </x:c>
      <x:c r="N2552" s="33" t="n">
        <x:v>1123.8195589999998</x:v>
      </x:c>
      <x:c r="O2552" s="22" t="str">
        <x:v>公顷</x:v>
      </x:c>
      <x:c r="P2552" s="22" t="str">
        <x:v>未提供（单期横截面）</x:v>
      </x:c>
      <x:c r="Q2552" s="23" t="n">
        <x:v>5531</x:v>
      </x:c>
    </x:row>
    <x:row r="2553">
      <x:c r="A2553" s="30" t="n">
        <x:v>350600</x:v>
      </x:c>
      <x:c r="B2553" s="22" t="str">
        <x:v>漳州市</x:v>
      </x:c>
      <x:c r="C2553" s="31" t="n">
        <x:v>350625</x:v>
      </x:c>
      <x:c r="D2553" s="22" t="str">
        <x:v>长泰区</x:v>
      </x:c>
      <x:c r="E2553" s="22" t="str">
        <x:v>未利用地</x:v>
      </x:c>
      <x:c r="F2553" s="22" t="str">
        <x:v>水域及水利设施</x:v>
      </x:c>
      <x:c r="G2553" s="32" t="str">
        <x:v>1106</x:v>
      </x:c>
      <x:c r="H2553" s="32" t="str">
        <x:v>1106</x:v>
      </x:c>
      <x:c r="I2553" s="22" t="str">
        <x:v>内陆滩涂</x:v>
      </x:c>
      <x:c r="J2553" s="22" t="str">
        <x:v>农业生态</x:v>
      </x:c>
      <x:c r="K2553" s="32" t="str"/>
      <x:c r="L2553" s="22" t="str">
        <x:v>不适用/未标注</x:v>
      </x:c>
      <x:c r="M2553" s="33" t="n">
        <x:v>1002667.0699999998</x:v>
      </x:c>
      <x:c r="N2553" s="33" t="n">
        <x:v>100.26670699999998</x:v>
      </x:c>
      <x:c r="O2553" s="22" t="str">
        <x:v>公顷</x:v>
      </x:c>
      <x:c r="P2553" s="22" t="str">
        <x:v>未提供（单期横截面）</x:v>
      </x:c>
      <x:c r="Q2553" s="23" t="n">
        <x:v>5532</x:v>
      </x:c>
    </x:row>
    <x:row r="2554">
      <x:c r="A2554" s="30" t="n">
        <x:v>350600</x:v>
      </x:c>
      <x:c r="B2554" s="22" t="str">
        <x:v>漳州市</x:v>
      </x:c>
      <x:c r="C2554" s="31" t="n">
        <x:v>350625</x:v>
      </x:c>
      <x:c r="D2554" s="22" t="str">
        <x:v>长泰区</x:v>
      </x:c>
      <x:c r="E2554" s="22" t="str">
        <x:v>未利用地</x:v>
      </x:c>
      <x:c r="F2554" s="22" t="str">
        <x:v>未利用地</x:v>
      </x:c>
      <x:c r="G2554" s="32" t="str">
        <x:v>1206</x:v>
      </x:c>
      <x:c r="H2554" s="32" t="str">
        <x:v>1206</x:v>
      </x:c>
      <x:c r="I2554" s="22" t="str">
        <x:v>裸土地</x:v>
      </x:c>
      <x:c r="J2554" s="22" t="str">
        <x:v>未利用地</x:v>
      </x:c>
      <x:c r="K2554" s="32" t="str"/>
      <x:c r="L2554" s="22" t="str">
        <x:v>不适用/未标注</x:v>
      </x:c>
      <x:c r="M2554" s="33" t="n">
        <x:v>268237.71</x:v>
      </x:c>
      <x:c r="N2554" s="33" t="n">
        <x:v>26.823771</x:v>
      </x:c>
      <x:c r="O2554" s="22" t="str">
        <x:v>公顷</x:v>
      </x:c>
      <x:c r="P2554" s="22" t="str">
        <x:v>未提供（单期横截面）</x:v>
      </x:c>
      <x:c r="Q2554" s="23" t="n">
        <x:v>5533</x:v>
      </x:c>
    </x:row>
    <x:row r="2555">
      <x:c r="A2555" s="30" t="n">
        <x:v>350600</x:v>
      </x:c>
      <x:c r="B2555" s="22" t="str">
        <x:v>漳州市</x:v>
      </x:c>
      <x:c r="C2555" s="31" t="n">
        <x:v>350625</x:v>
      </x:c>
      <x:c r="D2555" s="22" t="str">
        <x:v>长泰区</x:v>
      </x:c>
      <x:c r="E2555" s="22" t="str">
        <x:v>未利用地</x:v>
      </x:c>
      <x:c r="F2555" s="22" t="str">
        <x:v>未利用地</x:v>
      </x:c>
      <x:c r="G2555" s="32" t="str">
        <x:v>1207</x:v>
      </x:c>
      <x:c r="H2555" s="32" t="str">
        <x:v>1207</x:v>
      </x:c>
      <x:c r="I2555" s="22" t="str">
        <x:v>裸岩石砾地</x:v>
      </x:c>
      <x:c r="J2555" s="22" t="str">
        <x:v>未利用地</x:v>
      </x:c>
      <x:c r="K2555" s="32" t="str"/>
      <x:c r="L2555" s="22" t="str">
        <x:v>不适用/未标注</x:v>
      </x:c>
      <x:c r="M2555" s="33" t="n">
        <x:v>4621032.0600000005</x:v>
      </x:c>
      <x:c r="N2555" s="33" t="n">
        <x:v>462.10320600000006</x:v>
      </x:c>
      <x:c r="O2555" s="22" t="str">
        <x:v>公顷</x:v>
      </x:c>
      <x:c r="P2555" s="22" t="str">
        <x:v>未提供（单期横截面）</x:v>
      </x:c>
      <x:c r="Q2555" s="23" t="n">
        <x:v>5534</x:v>
      </x:c>
    </x:row>
    <x:row r="2556">
      <x:c r="A2556" s="30" t="n">
        <x:v>350600</x:v>
      </x:c>
      <x:c r="B2556" s="22" t="str">
        <x:v>漳州市</x:v>
      </x:c>
      <x:c r="C2556" s="31" t="n">
        <x:v>350625</x:v>
      </x:c>
      <x:c r="D2556" s="22" t="str">
        <x:v>长泰区</x:v>
      </x:c>
      <x:c r="E2556" s="22" t="str">
        <x:v>未利用地</x:v>
      </x:c>
      <x:c r="F2556" s="22" t="str">
        <x:v>草地</x:v>
      </x:c>
      <x:c r="G2556" s="32" t="str">
        <x:v>404</x:v>
      </x:c>
      <x:c r="H2556" s="32" t="str">
        <x:v>404</x:v>
      </x:c>
      <x:c r="I2556" s="22" t="str">
        <x:v>其他草地</x:v>
      </x:c>
      <x:c r="J2556" s="22" t="str">
        <x:v>农业生态</x:v>
      </x:c>
      <x:c r="K2556" s="32" t="str">
        <x:v>202</x:v>
      </x:c>
      <x:c r="L2556" s="22" t="str">
        <x:v>建制镇范围</x:v>
      </x:c>
      <x:c r="M2556" s="33" t="n">
        <x:v>259598.56</x:v>
      </x:c>
      <x:c r="N2556" s="33" t="n">
        <x:v>25.959856</x:v>
      </x:c>
      <x:c r="O2556" s="22" t="str">
        <x:v>公顷</x:v>
      </x:c>
      <x:c r="P2556" s="22" t="str">
        <x:v>未提供（单期横截面）</x:v>
      </x:c>
      <x:c r="Q2556" s="23" t="n">
        <x:v>5535</x:v>
      </x:c>
    </x:row>
    <x:row r="2557">
      <x:c r="A2557" s="30" t="n">
        <x:v>350600</x:v>
      </x:c>
      <x:c r="B2557" s="22" t="str">
        <x:v>漳州市</x:v>
      </x:c>
      <x:c r="C2557" s="31" t="n">
        <x:v>350625</x:v>
      </x:c>
      <x:c r="D2557" s="22" t="str">
        <x:v>长泰区</x:v>
      </x:c>
      <x:c r="E2557" s="22" t="str">
        <x:v>未利用地</x:v>
      </x:c>
      <x:c r="F2557" s="22" t="str">
        <x:v>水域及水利设施</x:v>
      </x:c>
      <x:c r="G2557" s="32" t="str">
        <x:v>1101</x:v>
      </x:c>
      <x:c r="H2557" s="32" t="str">
        <x:v>1101</x:v>
      </x:c>
      <x:c r="I2557" s="22" t="str">
        <x:v>河流水面</x:v>
      </x:c>
      <x:c r="J2557" s="22" t="str">
        <x:v>农业生态</x:v>
      </x:c>
      <x:c r="K2557" s="32" t="str">
        <x:v>202</x:v>
      </x:c>
      <x:c r="L2557" s="22" t="str">
        <x:v>建制镇范围</x:v>
      </x:c>
      <x:c r="M2557" s="33" t="n">
        <x:v>7882.34</x:v>
      </x:c>
      <x:c r="N2557" s="33" t="n">
        <x:v>0.788234</x:v>
      </x:c>
      <x:c r="O2557" s="22" t="str">
        <x:v>公顷</x:v>
      </x:c>
      <x:c r="P2557" s="22" t="str">
        <x:v>未提供（单期横截面）</x:v>
      </x:c>
      <x:c r="Q2557" s="23" t="n">
        <x:v>5536</x:v>
      </x:c>
    </x:row>
    <x:row r="2558">
      <x:c r="A2558" s="30" t="n">
        <x:v>350600</x:v>
      </x:c>
      <x:c r="B2558" s="22" t="str">
        <x:v>漳州市</x:v>
      </x:c>
      <x:c r="C2558" s="31" t="n">
        <x:v>350625</x:v>
      </x:c>
      <x:c r="D2558" s="22" t="str">
        <x:v>长泰区</x:v>
      </x:c>
      <x:c r="E2558" s="22" t="str">
        <x:v>未利用地</x:v>
      </x:c>
      <x:c r="F2558" s="22" t="str">
        <x:v>草地</x:v>
      </x:c>
      <x:c r="G2558" s="32" t="str">
        <x:v>404</x:v>
      </x:c>
      <x:c r="H2558" s="32" t="str">
        <x:v>404</x:v>
      </x:c>
      <x:c r="I2558" s="22" t="str">
        <x:v>其他草地</x:v>
      </x:c>
      <x:c r="J2558" s="22" t="str">
        <x:v>农业生态</x:v>
      </x:c>
      <x:c r="K2558" s="32" t="str">
        <x:v>203</x:v>
      </x:c>
      <x:c r="L2558" s="22" t="str">
        <x:v>村庄范围</x:v>
      </x:c>
      <x:c r="M2558" s="33" t="n">
        <x:v>14259.319999999996</x:v>
      </x:c>
      <x:c r="N2558" s="33" t="n">
        <x:v>1.4259319999999995</x:v>
      </x:c>
      <x:c r="O2558" s="22" t="str">
        <x:v>公顷</x:v>
      </x:c>
      <x:c r="P2558" s="22" t="str">
        <x:v>未提供（单期横截面）</x:v>
      </x:c>
      <x:c r="Q2558" s="23" t="n">
        <x:v>5537</x:v>
      </x:c>
    </x:row>
    <x:row r="2559">
      <x:c r="A2559" s="30" t="n">
        <x:v>350600</x:v>
      </x:c>
      <x:c r="B2559" s="22" t="str">
        <x:v>漳州市</x:v>
      </x:c>
      <x:c r="C2559" s="31" t="n">
        <x:v>350625</x:v>
      </x:c>
      <x:c r="D2559" s="22" t="str">
        <x:v>长泰区</x:v>
      </x:c>
      <x:c r="E2559" s="22" t="str">
        <x:v>未利用地</x:v>
      </x:c>
      <x:c r="F2559" s="22" t="str">
        <x:v>水域及水利设施</x:v>
      </x:c>
      <x:c r="G2559" s="32" t="str">
        <x:v>1101</x:v>
      </x:c>
      <x:c r="H2559" s="32" t="str">
        <x:v>1101</x:v>
      </x:c>
      <x:c r="I2559" s="22" t="str">
        <x:v>河流水面</x:v>
      </x:c>
      <x:c r="J2559" s="22" t="str">
        <x:v>农业生态</x:v>
      </x:c>
      <x:c r="K2559" s="32" t="str">
        <x:v>203</x:v>
      </x:c>
      <x:c r="L2559" s="22" t="str">
        <x:v>村庄范围</x:v>
      </x:c>
      <x:c r="M2559" s="33" t="n">
        <x:v>641.13</x:v>
      </x:c>
      <x:c r="N2559" s="33" t="n">
        <x:v>0.064113</x:v>
      </x:c>
      <x:c r="O2559" s="22" t="str">
        <x:v>公顷</x:v>
      </x:c>
      <x:c r="P2559" s="22" t="str">
        <x:v>未提供（单期横截面）</x:v>
      </x:c>
      <x:c r="Q2559" s="23" t="n">
        <x:v>5538</x:v>
      </x:c>
    </x:row>
    <x:row r="2560">
      <x:c r="A2560" s="30" t="n">
        <x:v>350600</x:v>
      </x:c>
      <x:c r="B2560" s="22" t="str">
        <x:v>漳州市</x:v>
      </x:c>
      <x:c r="C2560" s="31" t="n">
        <x:v>350626</x:v>
      </x:c>
      <x:c r="D2560" s="22" t="str">
        <x:v>东山县</x:v>
      </x:c>
      <x:c r="E2560" s="22" t="str">
        <x:v>建设用地</x:v>
      </x:c>
      <x:c r="F2560" s="22" t="str">
        <x:v>交通运输用地</x:v>
      </x:c>
      <x:c r="G2560" s="32" t="str">
        <x:v>1003</x:v>
      </x:c>
      <x:c r="H2560" s="32" t="str">
        <x:v>1003</x:v>
      </x:c>
      <x:c r="I2560" s="22" t="str">
        <x:v>公路用地</x:v>
      </x:c>
      <x:c r="J2560" s="22" t="str">
        <x:v>交通门户</x:v>
      </x:c>
      <x:c r="K2560" s="32" t="str"/>
      <x:c r="L2560" s="22" t="str">
        <x:v>不适用/未标注</x:v>
      </x:c>
      <x:c r="M2560" s="33" t="n">
        <x:v>6224010.629999995</x:v>
      </x:c>
      <x:c r="N2560" s="33" t="n">
        <x:v>622.4010629999996</x:v>
      </x:c>
      <x:c r="O2560" s="22" t="str">
        <x:v>公顷</x:v>
      </x:c>
      <x:c r="P2560" s="22" t="str">
        <x:v>未提供（单期横截面）</x:v>
      </x:c>
      <x:c r="Q2560" s="23" t="n">
        <x:v>5539</x:v>
      </x:c>
    </x:row>
    <x:row r="2561">
      <x:c r="A2561" s="30" t="n">
        <x:v>350600</x:v>
      </x:c>
      <x:c r="B2561" s="22" t="str">
        <x:v>漳州市</x:v>
      </x:c>
      <x:c r="C2561" s="31" t="n">
        <x:v>350626</x:v>
      </x:c>
      <x:c r="D2561" s="22" t="str">
        <x:v>东山县</x:v>
      </x:c>
      <x:c r="E2561" s="22" t="str">
        <x:v>建设用地</x:v>
      </x:c>
      <x:c r="F2561" s="22" t="str">
        <x:v>交通运输用地</x:v>
      </x:c>
      <x:c r="G2561" s="32" t="str">
        <x:v>1008</x:v>
      </x:c>
      <x:c r="H2561" s="32" t="str">
        <x:v>1008</x:v>
      </x:c>
      <x:c r="I2561" s="22" t="str">
        <x:v>港口码头用地</x:v>
      </x:c>
      <x:c r="J2561" s="22" t="str">
        <x:v>交通门户</x:v>
      </x:c>
      <x:c r="K2561" s="32" t="str"/>
      <x:c r="L2561" s="22" t="str">
        <x:v>不适用/未标注</x:v>
      </x:c>
      <x:c r="M2561" s="33" t="n">
        <x:v>476978.69</x:v>
      </x:c>
      <x:c r="N2561" s="33" t="n">
        <x:v>47.697869</x:v>
      </x:c>
      <x:c r="O2561" s="22" t="str">
        <x:v>公顷</x:v>
      </x:c>
      <x:c r="P2561" s="22" t="str">
        <x:v>未提供（单期横截面）</x:v>
      </x:c>
      <x:c r="Q2561" s="23" t="n">
        <x:v>5540</x:v>
      </x:c>
    </x:row>
    <x:row r="2562">
      <x:c r="A2562" s="30" t="n">
        <x:v>350600</x:v>
      </x:c>
      <x:c r="B2562" s="22" t="str">
        <x:v>漳州市</x:v>
      </x:c>
      <x:c r="C2562" s="31" t="n">
        <x:v>350626</x:v>
      </x:c>
      <x:c r="D2562" s="22" t="str">
        <x:v>东山县</x:v>
      </x:c>
      <x:c r="E2562" s="22" t="str">
        <x:v>建设用地</x:v>
      </x:c>
      <x:c r="F2562" s="22" t="str">
        <x:v>水域及水利设施</x:v>
      </x:c>
      <x:c r="G2562" s="32" t="str">
        <x:v>1109</x:v>
      </x:c>
      <x:c r="H2562" s="32" t="str">
        <x:v>1109</x:v>
      </x:c>
      <x:c r="I2562" s="22" t="str">
        <x:v>水工建筑用地</x:v>
      </x:c>
      <x:c r="J2562" s="22" t="str">
        <x:v>其他建设</x:v>
      </x:c>
      <x:c r="K2562" s="32" t="str"/>
      <x:c r="L2562" s="22" t="str">
        <x:v>不适用/未标注</x:v>
      </x:c>
      <x:c r="M2562" s="33" t="n">
        <x:v>542002.5100000001</x:v>
      </x:c>
      <x:c r="N2562" s="33" t="n">
        <x:v>54.200251000000016</x:v>
      </x:c>
      <x:c r="O2562" s="22" t="str">
        <x:v>公顷</x:v>
      </x:c>
      <x:c r="P2562" s="22" t="str">
        <x:v>未提供（单期横截面）</x:v>
      </x:c>
      <x:c r="Q2562" s="23" t="n">
        <x:v>5541</x:v>
      </x:c>
    </x:row>
    <x:row r="2563">
      <x:c r="A2563" s="30" t="n">
        <x:v>350600</x:v>
      </x:c>
      <x:c r="B2563" s="22" t="str">
        <x:v>漳州市</x:v>
      </x:c>
      <x:c r="C2563" s="31" t="n">
        <x:v>350626</x:v>
      </x:c>
      <x:c r="D2563" s="22" t="str">
        <x:v>东山县</x:v>
      </x:c>
      <x:c r="E2563" s="22" t="str">
        <x:v>建设用地</x:v>
      </x:c>
      <x:c r="F2563" s="22" t="str">
        <x:v>工矿仓储用地</x:v>
      </x:c>
      <x:c r="G2563" s="32" t="str">
        <x:v>508</x:v>
      </x:c>
      <x:c r="H2563" s="32" t="str">
        <x:v>508</x:v>
      </x:c>
      <x:c r="I2563" s="22" t="str">
        <x:v>物流仓储用地</x:v>
      </x:c>
      <x:c r="J2563" s="22" t="str">
        <x:v>产业功能</x:v>
      </x:c>
      <x:c r="K2563" s="32" t="str">
        <x:v>202</x:v>
      </x:c>
      <x:c r="L2563" s="22" t="str">
        <x:v>建制镇范围</x:v>
      </x:c>
      <x:c r="M2563" s="33" t="n">
        <x:v>69568.78</x:v>
      </x:c>
      <x:c r="N2563" s="33" t="n">
        <x:v>6.956878</x:v>
      </x:c>
      <x:c r="O2563" s="22" t="str">
        <x:v>公顷</x:v>
      </x:c>
      <x:c r="P2563" s="22" t="str">
        <x:v>未提供（单期横截面）</x:v>
      </x:c>
      <x:c r="Q2563" s="23" t="n">
        <x:v>5542</x:v>
      </x:c>
    </x:row>
    <x:row r="2564">
      <x:c r="A2564" s="30" t="n">
        <x:v>350600</x:v>
      </x:c>
      <x:c r="B2564" s="22" t="str">
        <x:v>漳州市</x:v>
      </x:c>
      <x:c r="C2564" s="31" t="n">
        <x:v>350626</x:v>
      </x:c>
      <x:c r="D2564" s="22" t="str">
        <x:v>东山县</x:v>
      </x:c>
      <x:c r="E2564" s="22" t="str">
        <x:v>建设用地</x:v>
      </x:c>
      <x:c r="F2564" s="22" t="str">
        <x:v>商业服务业用地</x:v>
      </x:c>
      <x:c r="G2564" s="32" t="str">
        <x:v>05H1</x:v>
      </x:c>
      <x:c r="H2564" s="32" t="str">
        <x:v>05H1</x:v>
      </x:c>
      <x:c r="I2564" s="22" t="str">
        <x:v>商业服务业设施用地</x:v>
      </x:c>
      <x:c r="J2564" s="22" t="str">
        <x:v>商业服务</x:v>
      </x:c>
      <x:c r="K2564" s="32" t="str">
        <x:v>202</x:v>
      </x:c>
      <x:c r="L2564" s="22" t="str">
        <x:v>建制镇范围</x:v>
      </x:c>
      <x:c r="M2564" s="33" t="n">
        <x:v>1110398.1099999999</x:v>
      </x:c>
      <x:c r="N2564" s="33" t="n">
        <x:v>111.03981099999999</x:v>
      </x:c>
      <x:c r="O2564" s="22" t="str">
        <x:v>公顷</x:v>
      </x:c>
      <x:c r="P2564" s="22" t="str">
        <x:v>未提供（单期横截面）</x:v>
      </x:c>
      <x:c r="Q2564" s="23" t="n">
        <x:v>5543</x:v>
      </x:c>
    </x:row>
    <x:row r="2565">
      <x:c r="A2565" s="30" t="n">
        <x:v>350600</x:v>
      </x:c>
      <x:c r="B2565" s="22" t="str">
        <x:v>漳州市</x:v>
      </x:c>
      <x:c r="C2565" s="31" t="n">
        <x:v>350626</x:v>
      </x:c>
      <x:c r="D2565" s="22" t="str">
        <x:v>东山县</x:v>
      </x:c>
      <x:c r="E2565" s="22" t="str">
        <x:v>建设用地</x:v>
      </x:c>
      <x:c r="F2565" s="22" t="str">
        <x:v>工矿仓储用地</x:v>
      </x:c>
      <x:c r="G2565" s="32" t="str">
        <x:v>601</x:v>
      </x:c>
      <x:c r="H2565" s="32" t="str">
        <x:v>601</x:v>
      </x:c>
      <x:c r="I2565" s="22" t="str">
        <x:v>工业用地</x:v>
      </x:c>
      <x:c r="J2565" s="22" t="str">
        <x:v>产业功能</x:v>
      </x:c>
      <x:c r="K2565" s="32" t="str">
        <x:v>202</x:v>
      </x:c>
      <x:c r="L2565" s="22" t="str">
        <x:v>建制镇范围</x:v>
      </x:c>
      <x:c r="M2565" s="33" t="n">
        <x:v>3681955.9600000014</x:v>
      </x:c>
      <x:c r="N2565" s="33" t="n">
        <x:v>368.19559600000014</x:v>
      </x:c>
      <x:c r="O2565" s="22" t="str">
        <x:v>公顷</x:v>
      </x:c>
      <x:c r="P2565" s="22" t="str">
        <x:v>未提供（单期横截面）</x:v>
      </x:c>
      <x:c r="Q2565" s="23" t="n">
        <x:v>5544</x:v>
      </x:c>
    </x:row>
    <x:row r="2566">
      <x:c r="A2566" s="30" t="n">
        <x:v>350600</x:v>
      </x:c>
      <x:c r="B2566" s="22" t="str">
        <x:v>漳州市</x:v>
      </x:c>
      <x:c r="C2566" s="31" t="n">
        <x:v>350626</x:v>
      </x:c>
      <x:c r="D2566" s="22" t="str">
        <x:v>东山县</x:v>
      </x:c>
      <x:c r="E2566" s="22" t="str">
        <x:v>建设用地</x:v>
      </x:c>
      <x:c r="F2566" s="22" t="str">
        <x:v>居住用地</x:v>
      </x:c>
      <x:c r="G2566" s="32" t="str">
        <x:v>701</x:v>
      </x:c>
      <x:c r="H2566" s="32" t="str">
        <x:v>701</x:v>
      </x:c>
      <x:c r="I2566" s="22" t="str">
        <x:v>城镇住宅用地</x:v>
      </x:c>
      <x:c r="J2566" s="22" t="str">
        <x:v>居住功能</x:v>
      </x:c>
      <x:c r="K2566" s="32" t="str">
        <x:v>202</x:v>
      </x:c>
      <x:c r="L2566" s="22" t="str">
        <x:v>建制镇范围</x:v>
      </x:c>
      <x:c r="M2566" s="33" t="n">
        <x:v>10726131.050000012</x:v>
      </x:c>
      <x:c r="N2566" s="33" t="n">
        <x:v>1072.6131050000013</x:v>
      </x:c>
      <x:c r="O2566" s="22" t="str">
        <x:v>公顷</x:v>
      </x:c>
      <x:c r="P2566" s="22" t="str">
        <x:v>未提供（单期横截面）</x:v>
      </x:c>
      <x:c r="Q2566" s="23" t="n">
        <x:v>5545</x:v>
      </x:c>
    </x:row>
    <x:row r="2567">
      <x:c r="A2567" s="30" t="n">
        <x:v>350600</x:v>
      </x:c>
      <x:c r="B2567" s="22" t="str">
        <x:v>漳州市</x:v>
      </x:c>
      <x:c r="C2567" s="31" t="n">
        <x:v>350626</x:v>
      </x:c>
      <x:c r="D2567" s="22" t="str">
        <x:v>东山县</x:v>
      </x:c>
      <x:c r="E2567" s="22" t="str">
        <x:v>建设用地</x:v>
      </x:c>
      <x:c r="F2567" s="22" t="str">
        <x:v>居住用地</x:v>
      </x:c>
      <x:c r="G2567" s="32" t="str">
        <x:v>702</x:v>
      </x:c>
      <x:c r="H2567" s="32" t="str">
        <x:v>702</x:v>
      </x:c>
      <x:c r="I2567" s="22" t="str">
        <x:v>农村宅基地</x:v>
      </x:c>
      <x:c r="J2567" s="22" t="str">
        <x:v>居住功能</x:v>
      </x:c>
      <x:c r="K2567" s="32" t="str">
        <x:v>202</x:v>
      </x:c>
      <x:c r="L2567" s="22" t="str">
        <x:v>建制镇范围</x:v>
      </x:c>
      <x:c r="M2567" s="33" t="n">
        <x:v>7599.589999999999</x:v>
      </x:c>
      <x:c r="N2567" s="33" t="n">
        <x:v>0.7599589999999999</x:v>
      </x:c>
      <x:c r="O2567" s="22" t="str">
        <x:v>公顷</x:v>
      </x:c>
      <x:c r="P2567" s="22" t="str">
        <x:v>未提供（单期横截面）</x:v>
      </x:c>
      <x:c r="Q2567" s="23" t="n">
        <x:v>5546</x:v>
      </x:c>
    </x:row>
    <x:row r="2568">
      <x:c r="A2568" s="30" t="n">
        <x:v>350600</x:v>
      </x:c>
      <x:c r="B2568" s="22" t="str">
        <x:v>漳州市</x:v>
      </x:c>
      <x:c r="C2568" s="31" t="n">
        <x:v>350626</x:v>
      </x:c>
      <x:c r="D2568" s="22" t="str">
        <x:v>东山县</x:v>
      </x:c>
      <x:c r="E2568" s="22" t="str">
        <x:v>建设用地</x:v>
      </x:c>
      <x:c r="F2568" s="22" t="str">
        <x:v>公用设施用地</x:v>
      </x:c>
      <x:c r="G2568" s="32" t="str">
        <x:v>809</x:v>
      </x:c>
      <x:c r="H2568" s="32" t="str">
        <x:v>809</x:v>
      </x:c>
      <x:c r="I2568" s="22" t="str">
        <x:v>公用设施用地</x:v>
      </x:c>
      <x:c r="J2568" s="22" t="str">
        <x:v>其他建设</x:v>
      </x:c>
      <x:c r="K2568" s="32" t="str">
        <x:v>202</x:v>
      </x:c>
      <x:c r="L2568" s="22" t="str">
        <x:v>建制镇范围</x:v>
      </x:c>
      <x:c r="M2568" s="33" t="n">
        <x:v>125012.56999999999</x:v>
      </x:c>
      <x:c r="N2568" s="33" t="n">
        <x:v>12.501256999999999</x:v>
      </x:c>
      <x:c r="O2568" s="22" t="str">
        <x:v>公顷</x:v>
      </x:c>
      <x:c r="P2568" s="22" t="str">
        <x:v>未提供（单期横截面）</x:v>
      </x:c>
      <x:c r="Q2568" s="23" t="n">
        <x:v>5547</x:v>
      </x:c>
    </x:row>
    <x:row r="2569">
      <x:c r="A2569" s="30" t="n">
        <x:v>350600</x:v>
      </x:c>
      <x:c r="B2569" s="22" t="str">
        <x:v>漳州市</x:v>
      </x:c>
      <x:c r="C2569" s="31" t="n">
        <x:v>350626</x:v>
      </x:c>
      <x:c r="D2569" s="22" t="str">
        <x:v>东山县</x:v>
      </x:c>
      <x:c r="E2569" s="22" t="str">
        <x:v>建设用地</x:v>
      </x:c>
      <x:c r="F2569" s="22" t="str">
        <x:v>绿地与广场用地</x:v>
      </x:c>
      <x:c r="G2569" s="32" t="str">
        <x:v>810</x:v>
      </x:c>
      <x:c r="H2569" s="32" t="str">
        <x:v>810</x:v>
      </x:c>
      <x:c r="I2569" s="22" t="str">
        <x:v>公园与绿地</x:v>
      </x:c>
      <x:c r="J2569" s="22" t="str">
        <x:v>公共空间</x:v>
      </x:c>
      <x:c r="K2569" s="32" t="str">
        <x:v>202</x:v>
      </x:c>
      <x:c r="L2569" s="22" t="str">
        <x:v>建制镇范围</x:v>
      </x:c>
      <x:c r="M2569" s="33" t="n">
        <x:v>58231.219999999994</x:v>
      </x:c>
      <x:c r="N2569" s="33" t="n">
        <x:v>5.823122</x:v>
      </x:c>
      <x:c r="O2569" s="22" t="str">
        <x:v>公顷</x:v>
      </x:c>
      <x:c r="P2569" s="22" t="str">
        <x:v>未提供（单期横截面）</x:v>
      </x:c>
      <x:c r="Q2569" s="23" t="n">
        <x:v>5548</x:v>
      </x:c>
    </x:row>
    <x:row r="2570">
      <x:c r="A2570" s="30" t="n">
        <x:v>350600</x:v>
      </x:c>
      <x:c r="B2570" s="22" t="str">
        <x:v>漳州市</x:v>
      </x:c>
      <x:c r="C2570" s="31" t="n">
        <x:v>350626</x:v>
      </x:c>
      <x:c r="D2570" s="22" t="str">
        <x:v>东山县</x:v>
      </x:c>
      <x:c r="E2570" s="22" t="str">
        <x:v>建设用地</x:v>
      </x:c>
      <x:c r="F2570" s="22" t="str">
        <x:v>绿地与广场用地</x:v>
      </x:c>
      <x:c r="G2570" s="32" t="str">
        <x:v>0810A</x:v>
      </x:c>
      <x:c r="H2570" s="32" t="str">
        <x:v>0810</x:v>
      </x:c>
      <x:c r="I2570" s="22" t="str">
        <x:v>广场用地</x:v>
      </x:c>
      <x:c r="J2570" s="22" t="str">
        <x:v>公共空间</x:v>
      </x:c>
      <x:c r="K2570" s="32" t="str">
        <x:v>202</x:v>
      </x:c>
      <x:c r="L2570" s="22" t="str">
        <x:v>建制镇范围</x:v>
      </x:c>
      <x:c r="M2570" s="33" t="n">
        <x:v>2293.6</x:v>
      </x:c>
      <x:c r="N2570" s="33" t="n">
        <x:v>0.22935999999999998</x:v>
      </x:c>
      <x:c r="O2570" s="22" t="str">
        <x:v>公顷</x:v>
      </x:c>
      <x:c r="P2570" s="22" t="str">
        <x:v>未提供（单期横截面）</x:v>
      </x:c>
      <x:c r="Q2570" s="23" t="n">
        <x:v>5549</x:v>
      </x:c>
    </x:row>
    <x:row r="2571">
      <x:c r="A2571" s="30" t="n">
        <x:v>350600</x:v>
      </x:c>
      <x:c r="B2571" s="22" t="str">
        <x:v>漳州市</x:v>
      </x:c>
      <x:c r="C2571" s="31" t="n">
        <x:v>350626</x:v>
      </x:c>
      <x:c r="D2571" s="22" t="str">
        <x:v>东山县</x:v>
      </x:c>
      <x:c r="E2571" s="22" t="str">
        <x:v>建设用地</x:v>
      </x:c>
      <x:c r="F2571" s="22" t="str">
        <x:v>公共管理与公共服务用地</x:v>
      </x:c>
      <x:c r="G2571" s="32" t="str">
        <x:v>08H1</x:v>
      </x:c>
      <x:c r="H2571" s="32" t="str">
        <x:v>08H1</x:v>
      </x:c>
      <x:c r="I2571" s="22" t="str">
        <x:v>机关团体新闻出版用地</x:v>
      </x:c>
      <x:c r="J2571" s="22" t="str">
        <x:v>公共服务</x:v>
      </x:c>
      <x:c r="K2571" s="32" t="str">
        <x:v>202</x:v>
      </x:c>
      <x:c r="L2571" s="22" t="str">
        <x:v>建制镇范围</x:v>
      </x:c>
      <x:c r="M2571" s="33" t="n">
        <x:v>384646.3299999998</x:v>
      </x:c>
      <x:c r="N2571" s="33" t="n">
        <x:v>38.46463299999998</x:v>
      </x:c>
      <x:c r="O2571" s="22" t="str">
        <x:v>公顷</x:v>
      </x:c>
      <x:c r="P2571" s="22" t="str">
        <x:v>未提供（单期横截面）</x:v>
      </x:c>
      <x:c r="Q2571" s="23" t="n">
        <x:v>5550</x:v>
      </x:c>
    </x:row>
    <x:row r="2572">
      <x:c r="A2572" s="30" t="n">
        <x:v>350600</x:v>
      </x:c>
      <x:c r="B2572" s="22" t="str">
        <x:v>漳州市</x:v>
      </x:c>
      <x:c r="C2572" s="31" t="n">
        <x:v>350626</x:v>
      </x:c>
      <x:c r="D2572" s="22" t="str">
        <x:v>东山县</x:v>
      </x:c>
      <x:c r="E2572" s="22" t="str">
        <x:v>建设用地</x:v>
      </x:c>
      <x:c r="F2572" s="22" t="str">
        <x:v>公共管理与公共服务用地</x:v>
      </x:c>
      <x:c r="G2572" s="32" t="str">
        <x:v>08H2</x:v>
      </x:c>
      <x:c r="H2572" s="32" t="str">
        <x:v>08H2</x:v>
      </x:c>
      <x:c r="I2572" s="22" t="str">
        <x:v>科教文卫用地</x:v>
      </x:c>
      <x:c r="J2572" s="22" t="str">
        <x:v>公共服务</x:v>
      </x:c>
      <x:c r="K2572" s="32" t="str">
        <x:v>202</x:v>
      </x:c>
      <x:c r="L2572" s="22" t="str">
        <x:v>建制镇范围</x:v>
      </x:c>
      <x:c r="M2572" s="33" t="n">
        <x:v>1270244.5499999996</x:v>
      </x:c>
      <x:c r="N2572" s="33" t="n">
        <x:v>127.02445499999996</x:v>
      </x:c>
      <x:c r="O2572" s="22" t="str">
        <x:v>公顷</x:v>
      </x:c>
      <x:c r="P2572" s="22" t="str">
        <x:v>未提供（单期横截面）</x:v>
      </x:c>
      <x:c r="Q2572" s="23" t="n">
        <x:v>5551</x:v>
      </x:c>
    </x:row>
    <x:row r="2573">
      <x:c r="A2573" s="30" t="n">
        <x:v>350600</x:v>
      </x:c>
      <x:c r="B2573" s="22" t="str">
        <x:v>漳州市</x:v>
      </x:c>
      <x:c r="C2573" s="31" t="n">
        <x:v>350626</x:v>
      </x:c>
      <x:c r="D2573" s="22" t="str">
        <x:v>东山县</x:v>
      </x:c>
      <x:c r="E2573" s="22" t="str">
        <x:v>建设用地</x:v>
      </x:c>
      <x:c r="F2573" s="22" t="str">
        <x:v>特殊用地</x:v>
      </x:c>
      <x:c r="G2573" s="32" t="str">
        <x:v>9</x:v>
      </x:c>
      <x:c r="H2573" s="32" t="str">
        <x:v>9</x:v>
      </x:c>
      <x:c r="I2573" s="22" t="str">
        <x:v>特殊用地</x:v>
      </x:c>
      <x:c r="J2573" s="22" t="str">
        <x:v>其他建设</x:v>
      </x:c>
      <x:c r="K2573" s="32" t="str">
        <x:v>202</x:v>
      </x:c>
      <x:c r="L2573" s="22" t="str">
        <x:v>建制镇范围</x:v>
      </x:c>
      <x:c r="M2573" s="33" t="n">
        <x:v>59016.990000000005</x:v>
      </x:c>
      <x:c r="N2573" s="33" t="n">
        <x:v>5.901699000000001</x:v>
      </x:c>
      <x:c r="O2573" s="22" t="str">
        <x:v>公顷</x:v>
      </x:c>
      <x:c r="P2573" s="22" t="str">
        <x:v>未提供（单期横截面）</x:v>
      </x:c>
      <x:c r="Q2573" s="23" t="n">
        <x:v>5552</x:v>
      </x:c>
    </x:row>
    <x:row r="2574">
      <x:c r="A2574" s="30" t="n">
        <x:v>350600</x:v>
      </x:c>
      <x:c r="B2574" s="22" t="str">
        <x:v>漳州市</x:v>
      </x:c>
      <x:c r="C2574" s="31" t="n">
        <x:v>350626</x:v>
      </x:c>
      <x:c r="D2574" s="22" t="str">
        <x:v>东山县</x:v>
      </x:c>
      <x:c r="E2574" s="22" t="str">
        <x:v>建设用地</x:v>
      </x:c>
      <x:c r="F2574" s="22" t="str">
        <x:v>交通运输用地</x:v>
      </x:c>
      <x:c r="G2574" s="32" t="str">
        <x:v>1004</x:v>
      </x:c>
      <x:c r="H2574" s="32" t="str">
        <x:v>1004</x:v>
      </x:c>
      <x:c r="I2574" s="22" t="str">
        <x:v>城镇村道路用地</x:v>
      </x:c>
      <x:c r="J2574" s="22" t="str">
        <x:v>交通门户</x:v>
      </x:c>
      <x:c r="K2574" s="32" t="str">
        <x:v>202</x:v>
      </x:c>
      <x:c r="L2574" s="22" t="str">
        <x:v>建制镇范围</x:v>
      </x:c>
      <x:c r="M2574" s="33" t="n">
        <x:v>1259899.0299999993</x:v>
      </x:c>
      <x:c r="N2574" s="33" t="n">
        <x:v>125.98990299999993</x:v>
      </x:c>
      <x:c r="O2574" s="22" t="str">
        <x:v>公顷</x:v>
      </x:c>
      <x:c r="P2574" s="22" t="str">
        <x:v>未提供（单期横截面）</x:v>
      </x:c>
      <x:c r="Q2574" s="23" t="n">
        <x:v>5553</x:v>
      </x:c>
    </x:row>
    <x:row r="2575">
      <x:c r="A2575" s="30" t="n">
        <x:v>350600</x:v>
      </x:c>
      <x:c r="B2575" s="22" t="str">
        <x:v>漳州市</x:v>
      </x:c>
      <x:c r="C2575" s="31" t="n">
        <x:v>350626</x:v>
      </x:c>
      <x:c r="D2575" s="22" t="str">
        <x:v>东山县</x:v>
      </x:c>
      <x:c r="E2575" s="22" t="str">
        <x:v>建设用地</x:v>
      </x:c>
      <x:c r="F2575" s="22" t="str">
        <x:v>交通运输用地</x:v>
      </x:c>
      <x:c r="G2575" s="32" t="str">
        <x:v>1005</x:v>
      </x:c>
      <x:c r="H2575" s="32" t="str">
        <x:v>1005</x:v>
      </x:c>
      <x:c r="I2575" s="22" t="str">
        <x:v>交通服务场站用地</x:v>
      </x:c>
      <x:c r="J2575" s="22" t="str">
        <x:v>交通门户</x:v>
      </x:c>
      <x:c r="K2575" s="32" t="str">
        <x:v>202</x:v>
      </x:c>
      <x:c r="L2575" s="22" t="str">
        <x:v>建制镇范围</x:v>
      </x:c>
      <x:c r="M2575" s="33" t="n">
        <x:v>95691.44</x:v>
      </x:c>
      <x:c r="N2575" s="33" t="n">
        <x:v>9.569144</x:v>
      </x:c>
      <x:c r="O2575" s="22" t="str">
        <x:v>公顷</x:v>
      </x:c>
      <x:c r="P2575" s="22" t="str">
        <x:v>未提供（单期横截面）</x:v>
      </x:c>
      <x:c r="Q2575" s="23" t="n">
        <x:v>5554</x:v>
      </x:c>
    </x:row>
    <x:row r="2576">
      <x:c r="A2576" s="30" t="n">
        <x:v>350600</x:v>
      </x:c>
      <x:c r="B2576" s="22" t="str">
        <x:v>漳州市</x:v>
      </x:c>
      <x:c r="C2576" s="31" t="n">
        <x:v>350626</x:v>
      </x:c>
      <x:c r="D2576" s="22" t="str">
        <x:v>东山县</x:v>
      </x:c>
      <x:c r="E2576" s="22" t="str">
        <x:v>建设用地</x:v>
      </x:c>
      <x:c r="F2576" s="22" t="str">
        <x:v>其他建设用地</x:v>
      </x:c>
      <x:c r="G2576" s="32" t="str">
        <x:v>1201</x:v>
      </x:c>
      <x:c r="H2576" s="32" t="str">
        <x:v>1201</x:v>
      </x:c>
      <x:c r="I2576" s="22" t="str">
        <x:v>空闲地</x:v>
      </x:c>
      <x:c r="J2576" s="22" t="str">
        <x:v>其他建设</x:v>
      </x:c>
      <x:c r="K2576" s="32" t="str">
        <x:v>202</x:v>
      </x:c>
      <x:c r="L2576" s="22" t="str">
        <x:v>建制镇范围</x:v>
      </x:c>
      <x:c r="M2576" s="33" t="n">
        <x:v>19793.28</x:v>
      </x:c>
      <x:c r="N2576" s="33" t="n">
        <x:v>1.979328</x:v>
      </x:c>
      <x:c r="O2576" s="22" t="str">
        <x:v>公顷</x:v>
      </x:c>
      <x:c r="P2576" s="22" t="str">
        <x:v>未提供（单期横截面）</x:v>
      </x:c>
      <x:c r="Q2576" s="23" t="n">
        <x:v>5555</x:v>
      </x:c>
    </x:row>
    <x:row r="2577">
      <x:c r="A2577" s="30" t="n">
        <x:v>350600</x:v>
      </x:c>
      <x:c r="B2577" s="22" t="str">
        <x:v>漳州市</x:v>
      </x:c>
      <x:c r="C2577" s="31" t="n">
        <x:v>350626</x:v>
      </x:c>
      <x:c r="D2577" s="22" t="str">
        <x:v>东山县</x:v>
      </x:c>
      <x:c r="E2577" s="22" t="str">
        <x:v>建设用地</x:v>
      </x:c>
      <x:c r="F2577" s="22" t="str">
        <x:v>工矿仓储用地</x:v>
      </x:c>
      <x:c r="G2577" s="32" t="str">
        <x:v>601</x:v>
      </x:c>
      <x:c r="H2577" s="32" t="str">
        <x:v>601</x:v>
      </x:c>
      <x:c r="I2577" s="22" t="str">
        <x:v>工业用地</x:v>
      </x:c>
      <x:c r="J2577" s="22" t="str">
        <x:v>产业功能</x:v>
      </x:c>
      <x:c r="K2577" s="32" t="str">
        <x:v>202A</x:v>
      </x:c>
      <x:c r="L2577" s="22" t="str">
        <x:v>建制镇独立工业用地</x:v>
      </x:c>
      <x:c r="M2577" s="33" t="n">
        <x:v>158936.47000000003</x:v>
      </x:c>
      <x:c r="N2577" s="33" t="n">
        <x:v>15.893647000000003</x:v>
      </x:c>
      <x:c r="O2577" s="22" t="str">
        <x:v>公顷</x:v>
      </x:c>
      <x:c r="P2577" s="22" t="str">
        <x:v>未提供（单期横截面）</x:v>
      </x:c>
      <x:c r="Q2577" s="23" t="n">
        <x:v>5556</x:v>
      </x:c>
    </x:row>
    <x:row r="2578">
      <x:c r="A2578" s="30" t="n">
        <x:v>350600</x:v>
      </x:c>
      <x:c r="B2578" s="22" t="str">
        <x:v>漳州市</x:v>
      </x:c>
      <x:c r="C2578" s="31" t="n">
        <x:v>350626</x:v>
      </x:c>
      <x:c r="D2578" s="22" t="str">
        <x:v>东山县</x:v>
      </x:c>
      <x:c r="E2578" s="22" t="str">
        <x:v>建设用地</x:v>
      </x:c>
      <x:c r="F2578" s="22" t="str">
        <x:v>工矿仓储用地</x:v>
      </x:c>
      <x:c r="G2578" s="32" t="str">
        <x:v>508</x:v>
      </x:c>
      <x:c r="H2578" s="32" t="str">
        <x:v>508</x:v>
      </x:c>
      <x:c r="I2578" s="22" t="str">
        <x:v>物流仓储用地</x:v>
      </x:c>
      <x:c r="J2578" s="22" t="str">
        <x:v>产业功能</x:v>
      </x:c>
      <x:c r="K2578" s="32" t="str">
        <x:v>203</x:v>
      </x:c>
      <x:c r="L2578" s="22" t="str">
        <x:v>村庄范围</x:v>
      </x:c>
      <x:c r="M2578" s="33" t="n">
        <x:v>337858.7500000001</x:v>
      </x:c>
      <x:c r="N2578" s="33" t="n">
        <x:v>33.78587500000001</x:v>
      </x:c>
      <x:c r="O2578" s="22" t="str">
        <x:v>公顷</x:v>
      </x:c>
      <x:c r="P2578" s="22" t="str">
        <x:v>未提供（单期横截面）</x:v>
      </x:c>
      <x:c r="Q2578" s="23" t="n">
        <x:v>5557</x:v>
      </x:c>
    </x:row>
    <x:row r="2579">
      <x:c r="A2579" s="30" t="n">
        <x:v>350600</x:v>
      </x:c>
      <x:c r="B2579" s="22" t="str">
        <x:v>漳州市</x:v>
      </x:c>
      <x:c r="C2579" s="31" t="n">
        <x:v>350626</x:v>
      </x:c>
      <x:c r="D2579" s="22" t="str">
        <x:v>东山县</x:v>
      </x:c>
      <x:c r="E2579" s="22" t="str">
        <x:v>建设用地</x:v>
      </x:c>
      <x:c r="F2579" s="22" t="str">
        <x:v>商业服务业用地</x:v>
      </x:c>
      <x:c r="G2579" s="32" t="str">
        <x:v>05H1</x:v>
      </x:c>
      <x:c r="H2579" s="32" t="str">
        <x:v>05H1</x:v>
      </x:c>
      <x:c r="I2579" s="22" t="str">
        <x:v>商业服务业设施用地</x:v>
      </x:c>
      <x:c r="J2579" s="22" t="str">
        <x:v>商业服务</x:v>
      </x:c>
      <x:c r="K2579" s="32" t="str">
        <x:v>203</x:v>
      </x:c>
      <x:c r="L2579" s="22" t="str">
        <x:v>村庄范围</x:v>
      </x:c>
      <x:c r="M2579" s="33" t="n">
        <x:v>461548.67000000033</x:v>
      </x:c>
      <x:c r="N2579" s="33" t="n">
        <x:v>46.15486700000003</x:v>
      </x:c>
      <x:c r="O2579" s="22" t="str">
        <x:v>公顷</x:v>
      </x:c>
      <x:c r="P2579" s="22" t="str">
        <x:v>未提供（单期横截面）</x:v>
      </x:c>
      <x:c r="Q2579" s="23" t="n">
        <x:v>5558</x:v>
      </x:c>
    </x:row>
    <x:row r="2580">
      <x:c r="A2580" s="30" t="n">
        <x:v>350600</x:v>
      </x:c>
      <x:c r="B2580" s="22" t="str">
        <x:v>漳州市</x:v>
      </x:c>
      <x:c r="C2580" s="31" t="n">
        <x:v>350626</x:v>
      </x:c>
      <x:c r="D2580" s="22" t="str">
        <x:v>东山县</x:v>
      </x:c>
      <x:c r="E2580" s="22" t="str">
        <x:v>建设用地</x:v>
      </x:c>
      <x:c r="F2580" s="22" t="str">
        <x:v>工矿仓储用地</x:v>
      </x:c>
      <x:c r="G2580" s="32" t="str">
        <x:v>601</x:v>
      </x:c>
      <x:c r="H2580" s="32" t="str">
        <x:v>601</x:v>
      </x:c>
      <x:c r="I2580" s="22" t="str">
        <x:v>工业用地</x:v>
      </x:c>
      <x:c r="J2580" s="22" t="str">
        <x:v>产业功能</x:v>
      </x:c>
      <x:c r="K2580" s="32" t="str">
        <x:v>203</x:v>
      </x:c>
      <x:c r="L2580" s="22" t="str">
        <x:v>村庄范围</x:v>
      </x:c>
      <x:c r="M2580" s="33" t="n">
        <x:v>1015075.0299999996</x:v>
      </x:c>
      <x:c r="N2580" s="33" t="n">
        <x:v>101.50750299999996</x:v>
      </x:c>
      <x:c r="O2580" s="22" t="str">
        <x:v>公顷</x:v>
      </x:c>
      <x:c r="P2580" s="22" t="str">
        <x:v>未提供（单期横截面）</x:v>
      </x:c>
      <x:c r="Q2580" s="23" t="n">
        <x:v>5559</x:v>
      </x:c>
    </x:row>
    <x:row r="2581">
      <x:c r="A2581" s="30" t="n">
        <x:v>350600</x:v>
      </x:c>
      <x:c r="B2581" s="22" t="str">
        <x:v>漳州市</x:v>
      </x:c>
      <x:c r="C2581" s="31" t="n">
        <x:v>350626</x:v>
      </x:c>
      <x:c r="D2581" s="22" t="str">
        <x:v>东山县</x:v>
      </x:c>
      <x:c r="E2581" s="22" t="str">
        <x:v>建设用地</x:v>
      </x:c>
      <x:c r="F2581" s="22" t="str">
        <x:v>工矿仓储用地</x:v>
      </x:c>
      <x:c r="G2581" s="32" t="str">
        <x:v>602</x:v>
      </x:c>
      <x:c r="H2581" s="32" t="str">
        <x:v>602</x:v>
      </x:c>
      <x:c r="I2581" s="22" t="str">
        <x:v>采矿用地</x:v>
      </x:c>
      <x:c r="J2581" s="22" t="str">
        <x:v>产业功能</x:v>
      </x:c>
      <x:c r="K2581" s="32" t="str">
        <x:v>203</x:v>
      </x:c>
      <x:c r="L2581" s="22" t="str">
        <x:v>村庄范围</x:v>
      </x:c>
      <x:c r="M2581" s="33" t="n">
        <x:v>31641.5</x:v>
      </x:c>
      <x:c r="N2581" s="33" t="n">
        <x:v>3.16415</x:v>
      </x:c>
      <x:c r="O2581" s="22" t="str">
        <x:v>公顷</x:v>
      </x:c>
      <x:c r="P2581" s="22" t="str">
        <x:v>未提供（单期横截面）</x:v>
      </x:c>
      <x:c r="Q2581" s="23" t="n">
        <x:v>5560</x:v>
      </x:c>
    </x:row>
    <x:row r="2582">
      <x:c r="A2582" s="30" t="n">
        <x:v>350600</x:v>
      </x:c>
      <x:c r="B2582" s="22" t="str">
        <x:v>漳州市</x:v>
      </x:c>
      <x:c r="C2582" s="31" t="n">
        <x:v>350626</x:v>
      </x:c>
      <x:c r="D2582" s="22" t="str">
        <x:v>东山县</x:v>
      </x:c>
      <x:c r="E2582" s="22" t="str">
        <x:v>建设用地</x:v>
      </x:c>
      <x:c r="F2582" s="22" t="str">
        <x:v>居住用地</x:v>
      </x:c>
      <x:c r="G2582" s="32" t="str">
        <x:v>702</x:v>
      </x:c>
      <x:c r="H2582" s="32" t="str">
        <x:v>702</x:v>
      </x:c>
      <x:c r="I2582" s="22" t="str">
        <x:v>农村宅基地</x:v>
      </x:c>
      <x:c r="J2582" s="22" t="str">
        <x:v>居住功能</x:v>
      </x:c>
      <x:c r="K2582" s="32" t="str">
        <x:v>203</x:v>
      </x:c>
      <x:c r="L2582" s="22" t="str">
        <x:v>村庄范围</x:v>
      </x:c>
      <x:c r="M2582" s="33" t="n">
        <x:v>9735950.909999996</x:v>
      </x:c>
      <x:c r="N2582" s="33" t="n">
        <x:v>973.5950909999997</x:v>
      </x:c>
      <x:c r="O2582" s="22" t="str">
        <x:v>公顷</x:v>
      </x:c>
      <x:c r="P2582" s="22" t="str">
        <x:v>未提供（单期横截面）</x:v>
      </x:c>
      <x:c r="Q2582" s="23" t="n">
        <x:v>5561</x:v>
      </x:c>
    </x:row>
    <x:row r="2583">
      <x:c r="A2583" s="30" t="n">
        <x:v>350600</x:v>
      </x:c>
      <x:c r="B2583" s="22" t="str">
        <x:v>漳州市</x:v>
      </x:c>
      <x:c r="C2583" s="31" t="n">
        <x:v>350626</x:v>
      </x:c>
      <x:c r="D2583" s="22" t="str">
        <x:v>东山县</x:v>
      </x:c>
      <x:c r="E2583" s="22" t="str">
        <x:v>建设用地</x:v>
      </x:c>
      <x:c r="F2583" s="22" t="str">
        <x:v>公用设施用地</x:v>
      </x:c>
      <x:c r="G2583" s="32" t="str">
        <x:v>809</x:v>
      </x:c>
      <x:c r="H2583" s="32" t="str">
        <x:v>809</x:v>
      </x:c>
      <x:c r="I2583" s="22" t="str">
        <x:v>公用设施用地</x:v>
      </x:c>
      <x:c r="J2583" s="22" t="str">
        <x:v>其他建设</x:v>
      </x:c>
      <x:c r="K2583" s="32" t="str">
        <x:v>203</x:v>
      </x:c>
      <x:c r="L2583" s="22" t="str">
        <x:v>村庄范围</x:v>
      </x:c>
      <x:c r="M2583" s="33" t="n">
        <x:v>233457.01000000004</x:v>
      </x:c>
      <x:c r="N2583" s="33" t="n">
        <x:v>23.345701000000005</x:v>
      </x:c>
      <x:c r="O2583" s="22" t="str">
        <x:v>公顷</x:v>
      </x:c>
      <x:c r="P2583" s="22" t="str">
        <x:v>未提供（单期横截面）</x:v>
      </x:c>
      <x:c r="Q2583" s="23" t="n">
        <x:v>5562</x:v>
      </x:c>
    </x:row>
    <x:row r="2584">
      <x:c r="A2584" s="30" t="n">
        <x:v>350600</x:v>
      </x:c>
      <x:c r="B2584" s="22" t="str">
        <x:v>漳州市</x:v>
      </x:c>
      <x:c r="C2584" s="31" t="n">
        <x:v>350626</x:v>
      </x:c>
      <x:c r="D2584" s="22" t="str">
        <x:v>东山县</x:v>
      </x:c>
      <x:c r="E2584" s="22" t="str">
        <x:v>建设用地</x:v>
      </x:c>
      <x:c r="F2584" s="22" t="str">
        <x:v>绿地与广场用地</x:v>
      </x:c>
      <x:c r="G2584" s="32" t="str">
        <x:v>810</x:v>
      </x:c>
      <x:c r="H2584" s="32" t="str">
        <x:v>810</x:v>
      </x:c>
      <x:c r="I2584" s="22" t="str">
        <x:v>公园与绿地</x:v>
      </x:c>
      <x:c r="J2584" s="22" t="str">
        <x:v>公共空间</x:v>
      </x:c>
      <x:c r="K2584" s="32" t="str">
        <x:v>203</x:v>
      </x:c>
      <x:c r="L2584" s="22" t="str">
        <x:v>村庄范围</x:v>
      </x:c>
      <x:c r="M2584" s="33" t="n">
        <x:v>24720.83</x:v>
      </x:c>
      <x:c r="N2584" s="33" t="n">
        <x:v>2.472083</x:v>
      </x:c>
      <x:c r="O2584" s="22" t="str">
        <x:v>公顷</x:v>
      </x:c>
      <x:c r="P2584" s="22" t="str">
        <x:v>未提供（单期横截面）</x:v>
      </x:c>
      <x:c r="Q2584" s="23" t="n">
        <x:v>5563</x:v>
      </x:c>
    </x:row>
    <x:row r="2585">
      <x:c r="A2585" s="30" t="n">
        <x:v>350600</x:v>
      </x:c>
      <x:c r="B2585" s="22" t="str">
        <x:v>漳州市</x:v>
      </x:c>
      <x:c r="C2585" s="31" t="n">
        <x:v>350626</x:v>
      </x:c>
      <x:c r="D2585" s="22" t="str">
        <x:v>东山县</x:v>
      </x:c>
      <x:c r="E2585" s="22" t="str">
        <x:v>建设用地</x:v>
      </x:c>
      <x:c r="F2585" s="22" t="str">
        <x:v>绿地与广场用地</x:v>
      </x:c>
      <x:c r="G2585" s="32" t="str">
        <x:v>0810A</x:v>
      </x:c>
      <x:c r="H2585" s="32" t="str">
        <x:v>0810</x:v>
      </x:c>
      <x:c r="I2585" s="22" t="str">
        <x:v>广场用地</x:v>
      </x:c>
      <x:c r="J2585" s="22" t="str">
        <x:v>公共空间</x:v>
      </x:c>
      <x:c r="K2585" s="32" t="str">
        <x:v>203</x:v>
      </x:c>
      <x:c r="L2585" s="22" t="str">
        <x:v>村庄范围</x:v>
      </x:c>
      <x:c r="M2585" s="33" t="n">
        <x:v>5217.1</x:v>
      </x:c>
      <x:c r="N2585" s="33" t="n">
        <x:v>0.52171</x:v>
      </x:c>
      <x:c r="O2585" s="22" t="str">
        <x:v>公顷</x:v>
      </x:c>
      <x:c r="P2585" s="22" t="str">
        <x:v>未提供（单期横截面）</x:v>
      </x:c>
      <x:c r="Q2585" s="23" t="n">
        <x:v>5564</x:v>
      </x:c>
    </x:row>
    <x:row r="2586">
      <x:c r="A2586" s="30" t="n">
        <x:v>350600</x:v>
      </x:c>
      <x:c r="B2586" s="22" t="str">
        <x:v>漳州市</x:v>
      </x:c>
      <x:c r="C2586" s="31" t="n">
        <x:v>350626</x:v>
      </x:c>
      <x:c r="D2586" s="22" t="str">
        <x:v>东山县</x:v>
      </x:c>
      <x:c r="E2586" s="22" t="str">
        <x:v>建设用地</x:v>
      </x:c>
      <x:c r="F2586" s="22" t="str">
        <x:v>公共管理与公共服务用地</x:v>
      </x:c>
      <x:c r="G2586" s="32" t="str">
        <x:v>08H1</x:v>
      </x:c>
      <x:c r="H2586" s="32" t="str">
        <x:v>08H1</x:v>
      </x:c>
      <x:c r="I2586" s="22" t="str">
        <x:v>机关团体新闻出版用地</x:v>
      </x:c>
      <x:c r="J2586" s="22" t="str">
        <x:v>公共服务</x:v>
      </x:c>
      <x:c r="K2586" s="32" t="str">
        <x:v>203</x:v>
      </x:c>
      <x:c r="L2586" s="22" t="str">
        <x:v>村庄范围</x:v>
      </x:c>
      <x:c r="M2586" s="33" t="n">
        <x:v>119657.62000000002</x:v>
      </x:c>
      <x:c r="N2586" s="33" t="n">
        <x:v>11.965762000000002</x:v>
      </x:c>
      <x:c r="O2586" s="22" t="str">
        <x:v>公顷</x:v>
      </x:c>
      <x:c r="P2586" s="22" t="str">
        <x:v>未提供（单期横截面）</x:v>
      </x:c>
      <x:c r="Q2586" s="23" t="n">
        <x:v>5565</x:v>
      </x:c>
    </x:row>
    <x:row r="2587">
      <x:c r="A2587" s="30" t="n">
        <x:v>350600</x:v>
      </x:c>
      <x:c r="B2587" s="22" t="str">
        <x:v>漳州市</x:v>
      </x:c>
      <x:c r="C2587" s="31" t="n">
        <x:v>350626</x:v>
      </x:c>
      <x:c r="D2587" s="22" t="str">
        <x:v>东山县</x:v>
      </x:c>
      <x:c r="E2587" s="22" t="str">
        <x:v>建设用地</x:v>
      </x:c>
      <x:c r="F2587" s="22" t="str">
        <x:v>公共管理与公共服务用地</x:v>
      </x:c>
      <x:c r="G2587" s="32" t="str">
        <x:v>08H2</x:v>
      </x:c>
      <x:c r="H2587" s="32" t="str">
        <x:v>08H2</x:v>
      </x:c>
      <x:c r="I2587" s="22" t="str">
        <x:v>科教文卫用地</x:v>
      </x:c>
      <x:c r="J2587" s="22" t="str">
        <x:v>公共服务</x:v>
      </x:c>
      <x:c r="K2587" s="32" t="str">
        <x:v>203</x:v>
      </x:c>
      <x:c r="L2587" s="22" t="str">
        <x:v>村庄范围</x:v>
      </x:c>
      <x:c r="M2587" s="33" t="n">
        <x:v>256331.02</x:v>
      </x:c>
      <x:c r="N2587" s="33" t="n">
        <x:v>25.633101999999997</x:v>
      </x:c>
      <x:c r="O2587" s="22" t="str">
        <x:v>公顷</x:v>
      </x:c>
      <x:c r="P2587" s="22" t="str">
        <x:v>未提供（单期横截面）</x:v>
      </x:c>
      <x:c r="Q2587" s="23" t="n">
        <x:v>5566</x:v>
      </x:c>
    </x:row>
    <x:row r="2588">
      <x:c r="A2588" s="30" t="n">
        <x:v>350600</x:v>
      </x:c>
      <x:c r="B2588" s="22" t="str">
        <x:v>漳州市</x:v>
      </x:c>
      <x:c r="C2588" s="31" t="n">
        <x:v>350626</x:v>
      </x:c>
      <x:c r="D2588" s="22" t="str">
        <x:v>东山县</x:v>
      </x:c>
      <x:c r="E2588" s="22" t="str">
        <x:v>建设用地</x:v>
      </x:c>
      <x:c r="F2588" s="22" t="str">
        <x:v>特殊用地</x:v>
      </x:c>
      <x:c r="G2588" s="32" t="str">
        <x:v>9</x:v>
      </x:c>
      <x:c r="H2588" s="32" t="str">
        <x:v>9</x:v>
      </x:c>
      <x:c r="I2588" s="22" t="str">
        <x:v>特殊用地</x:v>
      </x:c>
      <x:c r="J2588" s="22" t="str">
        <x:v>其他建设</x:v>
      </x:c>
      <x:c r="K2588" s="32" t="str">
        <x:v>203</x:v>
      </x:c>
      <x:c r="L2588" s="22" t="str">
        <x:v>村庄范围</x:v>
      </x:c>
      <x:c r="M2588" s="33" t="n">
        <x:v>14592.12</x:v>
      </x:c>
      <x:c r="N2588" s="33" t="n">
        <x:v>1.4592120000000002</x:v>
      </x:c>
      <x:c r="O2588" s="22" t="str">
        <x:v>公顷</x:v>
      </x:c>
      <x:c r="P2588" s="22" t="str">
        <x:v>未提供（单期横截面）</x:v>
      </x:c>
      <x:c r="Q2588" s="23" t="n">
        <x:v>5567</x:v>
      </x:c>
    </x:row>
    <x:row r="2589">
      <x:c r="A2589" s="30" t="n">
        <x:v>350600</x:v>
      </x:c>
      <x:c r="B2589" s="22" t="str">
        <x:v>漳州市</x:v>
      </x:c>
      <x:c r="C2589" s="31" t="n">
        <x:v>350626</x:v>
      </x:c>
      <x:c r="D2589" s="22" t="str">
        <x:v>东山县</x:v>
      </x:c>
      <x:c r="E2589" s="22" t="str">
        <x:v>建设用地</x:v>
      </x:c>
      <x:c r="F2589" s="22" t="str">
        <x:v>交通运输用地</x:v>
      </x:c>
      <x:c r="G2589" s="32" t="str">
        <x:v>1004</x:v>
      </x:c>
      <x:c r="H2589" s="32" t="str">
        <x:v>1004</x:v>
      </x:c>
      <x:c r="I2589" s="22" t="str">
        <x:v>城镇村道路用地</x:v>
      </x:c>
      <x:c r="J2589" s="22" t="str">
        <x:v>交通门户</x:v>
      </x:c>
      <x:c r="K2589" s="32" t="str">
        <x:v>203</x:v>
      </x:c>
      <x:c r="L2589" s="22" t="str">
        <x:v>村庄范围</x:v>
      </x:c>
      <x:c r="M2589" s="33" t="n">
        <x:v>395915.2600000002</x:v>
      </x:c>
      <x:c r="N2589" s="33" t="n">
        <x:v>39.591526000000016</x:v>
      </x:c>
      <x:c r="O2589" s="22" t="str">
        <x:v>公顷</x:v>
      </x:c>
      <x:c r="P2589" s="22" t="str">
        <x:v>未提供（单期横截面）</x:v>
      </x:c>
      <x:c r="Q2589" s="23" t="n">
        <x:v>5568</x:v>
      </x:c>
    </x:row>
    <x:row r="2590">
      <x:c r="A2590" s="30" t="n">
        <x:v>350600</x:v>
      </x:c>
      <x:c r="B2590" s="22" t="str">
        <x:v>漳州市</x:v>
      </x:c>
      <x:c r="C2590" s="31" t="n">
        <x:v>350626</x:v>
      </x:c>
      <x:c r="D2590" s="22" t="str">
        <x:v>东山县</x:v>
      </x:c>
      <x:c r="E2590" s="22" t="str">
        <x:v>建设用地</x:v>
      </x:c>
      <x:c r="F2590" s="22" t="str">
        <x:v>交通运输用地</x:v>
      </x:c>
      <x:c r="G2590" s="32" t="str">
        <x:v>1005</x:v>
      </x:c>
      <x:c r="H2590" s="32" t="str">
        <x:v>1005</x:v>
      </x:c>
      <x:c r="I2590" s="22" t="str">
        <x:v>交通服务场站用地</x:v>
      </x:c>
      <x:c r="J2590" s="22" t="str">
        <x:v>交通门户</x:v>
      </x:c>
      <x:c r="K2590" s="32" t="str">
        <x:v>203</x:v>
      </x:c>
      <x:c r="L2590" s="22" t="str">
        <x:v>村庄范围</x:v>
      </x:c>
      <x:c r="M2590" s="33" t="n">
        <x:v>110226.09</x:v>
      </x:c>
      <x:c r="N2590" s="33" t="n">
        <x:v>11.022609</x:v>
      </x:c>
      <x:c r="O2590" s="22" t="str">
        <x:v>公顷</x:v>
      </x:c>
      <x:c r="P2590" s="22" t="str">
        <x:v>未提供（单期横截面）</x:v>
      </x:c>
      <x:c r="Q2590" s="23" t="n">
        <x:v>5569</x:v>
      </x:c>
    </x:row>
    <x:row r="2591">
      <x:c r="A2591" s="30" t="n">
        <x:v>350600</x:v>
      </x:c>
      <x:c r="B2591" s="22" t="str">
        <x:v>漳州市</x:v>
      </x:c>
      <x:c r="C2591" s="31" t="n">
        <x:v>350626</x:v>
      </x:c>
      <x:c r="D2591" s="22" t="str">
        <x:v>东山县</x:v>
      </x:c>
      <x:c r="E2591" s="22" t="str">
        <x:v>建设用地</x:v>
      </x:c>
      <x:c r="F2591" s="22" t="str">
        <x:v>其他建设用地</x:v>
      </x:c>
      <x:c r="G2591" s="32" t="str">
        <x:v>1201</x:v>
      </x:c>
      <x:c r="H2591" s="32" t="str">
        <x:v>1201</x:v>
      </x:c>
      <x:c r="I2591" s="22" t="str">
        <x:v>空闲地</x:v>
      </x:c>
      <x:c r="J2591" s="22" t="str">
        <x:v>其他建设</x:v>
      </x:c>
      <x:c r="K2591" s="32" t="str">
        <x:v>203</x:v>
      </x:c>
      <x:c r="L2591" s="22" t="str">
        <x:v>村庄范围</x:v>
      </x:c>
      <x:c r="M2591" s="33" t="n">
        <x:v>6398.800000000001</x:v>
      </x:c>
      <x:c r="N2591" s="33" t="n">
        <x:v>0.6398800000000001</x:v>
      </x:c>
      <x:c r="O2591" s="22" t="str">
        <x:v>公顷</x:v>
      </x:c>
      <x:c r="P2591" s="22" t="str">
        <x:v>未提供（单期横截面）</x:v>
      </x:c>
      <x:c r="Q2591" s="23" t="n">
        <x:v>5570</x:v>
      </x:c>
    </x:row>
    <x:row r="2592">
      <x:c r="A2592" s="30" t="n">
        <x:v>350600</x:v>
      </x:c>
      <x:c r="B2592" s="22" t="str">
        <x:v>漳州市</x:v>
      </x:c>
      <x:c r="C2592" s="31" t="n">
        <x:v>350626</x:v>
      </x:c>
      <x:c r="D2592" s="22" t="str">
        <x:v>东山县</x:v>
      </x:c>
      <x:c r="E2592" s="22" t="str">
        <x:v>建设用地</x:v>
      </x:c>
      <x:c r="F2592" s="22" t="str">
        <x:v>工矿仓储用地</x:v>
      </x:c>
      <x:c r="G2592" s="32" t="str">
        <x:v>601</x:v>
      </x:c>
      <x:c r="H2592" s="32" t="str">
        <x:v>601</x:v>
      </x:c>
      <x:c r="I2592" s="22" t="str">
        <x:v>工业用地</x:v>
      </x:c>
      <x:c r="J2592" s="22" t="str">
        <x:v>产业功能</x:v>
      </x:c>
      <x:c r="K2592" s="32" t="str">
        <x:v>203A</x:v>
      </x:c>
      <x:c r="L2592" s="22" t="str">
        <x:v>村庄独立工业用地</x:v>
      </x:c>
      <x:c r="M2592" s="33" t="n">
        <x:v>701340.2</x:v>
      </x:c>
      <x:c r="N2592" s="33" t="n">
        <x:v>70.13401999999999</x:v>
      </x:c>
      <x:c r="O2592" s="22" t="str">
        <x:v>公顷</x:v>
      </x:c>
      <x:c r="P2592" s="22" t="str">
        <x:v>未提供（单期横截面）</x:v>
      </x:c>
      <x:c r="Q2592" s="23" t="n">
        <x:v>5571</x:v>
      </x:c>
    </x:row>
    <x:row r="2593">
      <x:c r="A2593" s="30" t="n">
        <x:v>350600</x:v>
      </x:c>
      <x:c r="B2593" s="22" t="str">
        <x:v>漳州市</x:v>
      </x:c>
      <x:c r="C2593" s="31" t="n">
        <x:v>350626</x:v>
      </x:c>
      <x:c r="D2593" s="22" t="str">
        <x:v>东山县</x:v>
      </x:c>
      <x:c r="E2593" s="22" t="str">
        <x:v>建设用地</x:v>
      </x:c>
      <x:c r="F2593" s="22" t="str">
        <x:v>工矿仓储用地</x:v>
      </x:c>
      <x:c r="G2593" s="32" t="str">
        <x:v>602</x:v>
      </x:c>
      <x:c r="H2593" s="32" t="str">
        <x:v>602</x:v>
      </x:c>
      <x:c r="I2593" s="22" t="str">
        <x:v>采矿用地</x:v>
      </x:c>
      <x:c r="J2593" s="22" t="str">
        <x:v>产业功能</x:v>
      </x:c>
      <x:c r="K2593" s="32" t="str">
        <x:v>204</x:v>
      </x:c>
      <x:c r="L2593" s="22" t="str">
        <x:v>盐田及采矿用地</x:v>
      </x:c>
      <x:c r="M2593" s="33" t="n">
        <x:v>1996600.4100000004</x:v>
      </x:c>
      <x:c r="N2593" s="33" t="n">
        <x:v>199.66004100000004</x:v>
      </x:c>
      <x:c r="O2593" s="22" t="str">
        <x:v>公顷</x:v>
      </x:c>
      <x:c r="P2593" s="22" t="str">
        <x:v>未提供（单期横截面）</x:v>
      </x:c>
      <x:c r="Q2593" s="23" t="n">
        <x:v>5572</x:v>
      </x:c>
    </x:row>
    <x:row r="2594">
      <x:c r="A2594" s="30" t="n">
        <x:v>350600</x:v>
      </x:c>
      <x:c r="B2594" s="22" t="str">
        <x:v>漳州市</x:v>
      </x:c>
      <x:c r="C2594" s="31" t="n">
        <x:v>350626</x:v>
      </x:c>
      <x:c r="D2594" s="22" t="str">
        <x:v>东山县</x:v>
      </x:c>
      <x:c r="E2594" s="22" t="str">
        <x:v>建设用地</x:v>
      </x:c>
      <x:c r="F2594" s="22" t="str">
        <x:v>工矿仓储用地</x:v>
      </x:c>
      <x:c r="G2594" s="32" t="str">
        <x:v>603</x:v>
      </x:c>
      <x:c r="H2594" s="32" t="str">
        <x:v>603</x:v>
      </x:c>
      <x:c r="I2594" s="22" t="str">
        <x:v>盐田</x:v>
      </x:c>
      <x:c r="J2594" s="22" t="str">
        <x:v>产业功能</x:v>
      </x:c>
      <x:c r="K2594" s="32" t="str">
        <x:v>204</x:v>
      </x:c>
      <x:c r="L2594" s="22" t="str">
        <x:v>盐田及采矿用地</x:v>
      </x:c>
      <x:c r="M2594" s="33" t="n">
        <x:v>9649640.140000002</x:v>
      </x:c>
      <x:c r="N2594" s="33" t="n">
        <x:v>964.9640140000002</x:v>
      </x:c>
      <x:c r="O2594" s="22" t="str">
        <x:v>公顷</x:v>
      </x:c>
      <x:c r="P2594" s="22" t="str">
        <x:v>未提供（单期横截面）</x:v>
      </x:c>
      <x:c r="Q2594" s="23" t="n">
        <x:v>5573</x:v>
      </x:c>
    </x:row>
    <x:row r="2595">
      <x:c r="A2595" s="30" t="n">
        <x:v>350600</x:v>
      </x:c>
      <x:c r="B2595" s="22" t="str">
        <x:v>漳州市</x:v>
      </x:c>
      <x:c r="C2595" s="31" t="n">
        <x:v>350626</x:v>
      </x:c>
      <x:c r="D2595" s="22" t="str">
        <x:v>东山县</x:v>
      </x:c>
      <x:c r="E2595" s="22" t="str">
        <x:v>建设用地</x:v>
      </x:c>
      <x:c r="F2595" s="22" t="str">
        <x:v>特殊用地</x:v>
      </x:c>
      <x:c r="G2595" s="32" t="str">
        <x:v>9</x:v>
      </x:c>
      <x:c r="H2595" s="32" t="str">
        <x:v>9</x:v>
      </x:c>
      <x:c r="I2595" s="22" t="str">
        <x:v>特殊用地</x:v>
      </x:c>
      <x:c r="J2595" s="22" t="str">
        <x:v>其他建设</x:v>
      </x:c>
      <x:c r="K2595" s="32" t="str">
        <x:v>205</x:v>
      </x:c>
      <x:c r="L2595" s="22" t="str">
        <x:v>特殊用地</x:v>
      </x:c>
      <x:c r="M2595" s="33" t="n">
        <x:v>1809684.5500000007</x:v>
      </x:c>
      <x:c r="N2595" s="33" t="n">
        <x:v>180.96845500000006</x:v>
      </x:c>
      <x:c r="O2595" s="22" t="str">
        <x:v>公顷</x:v>
      </x:c>
      <x:c r="P2595" s="22" t="str">
        <x:v>未提供（单期横截面）</x:v>
      </x:c>
      <x:c r="Q2595" s="23" t="n">
        <x:v>5574</x:v>
      </x:c>
    </x:row>
    <x:row r="2596">
      <x:c r="A2596" s="30" t="n">
        <x:v>350600</x:v>
      </x:c>
      <x:c r="B2596" s="22" t="str">
        <x:v>漳州市</x:v>
      </x:c>
      <x:c r="C2596" s="31" t="n">
        <x:v>350626</x:v>
      </x:c>
      <x:c r="D2596" s="22" t="str">
        <x:v>东山县</x:v>
      </x:c>
      <x:c r="E2596" s="22" t="str">
        <x:v>农用地</x:v>
      </x:c>
      <x:c r="F2596" s="22" t="str">
        <x:v>耕地</x:v>
      </x:c>
      <x:c r="G2596" s="32" t="str">
        <x:v>101</x:v>
      </x:c>
      <x:c r="H2596" s="32" t="str">
        <x:v>101</x:v>
      </x:c>
      <x:c r="I2596" s="22" t="str">
        <x:v>水田</x:v>
      </x:c>
      <x:c r="J2596" s="22" t="str">
        <x:v>农业生态</x:v>
      </x:c>
      <x:c r="K2596" s="32" t="str"/>
      <x:c r="L2596" s="22" t="str">
        <x:v>不适用/未标注</x:v>
      </x:c>
      <x:c r="M2596" s="33" t="n">
        <x:v>780563.0900000004</x:v>
      </x:c>
      <x:c r="N2596" s="33" t="n">
        <x:v>78.05630900000004</x:v>
      </x:c>
      <x:c r="O2596" s="22" t="str">
        <x:v>公顷</x:v>
      </x:c>
      <x:c r="P2596" s="22" t="str">
        <x:v>未提供（单期横截面）</x:v>
      </x:c>
      <x:c r="Q2596" s="23" t="n">
        <x:v>5575</x:v>
      </x:c>
    </x:row>
    <x:row r="2597">
      <x:c r="A2597" s="30" t="n">
        <x:v>350600</x:v>
      </x:c>
      <x:c r="B2597" s="22" t="str">
        <x:v>漳州市</x:v>
      </x:c>
      <x:c r="C2597" s="31" t="n">
        <x:v>350626</x:v>
      </x:c>
      <x:c r="D2597" s="22" t="str">
        <x:v>东山县</x:v>
      </x:c>
      <x:c r="E2597" s="22" t="str">
        <x:v>农用地</x:v>
      </x:c>
      <x:c r="F2597" s="22" t="str">
        <x:v>耕地</x:v>
      </x:c>
      <x:c r="G2597" s="32" t="str">
        <x:v>102</x:v>
      </x:c>
      <x:c r="H2597" s="32" t="str">
        <x:v>102</x:v>
      </x:c>
      <x:c r="I2597" s="22" t="str">
        <x:v>水浇地</x:v>
      </x:c>
      <x:c r="J2597" s="22" t="str">
        <x:v>农业生态</x:v>
      </x:c>
      <x:c r="K2597" s="32" t="str"/>
      <x:c r="L2597" s="22" t="str">
        <x:v>不适用/未标注</x:v>
      </x:c>
      <x:c r="M2597" s="33" t="n">
        <x:v>6970566.980000003</x:v>
      </x:c>
      <x:c r="N2597" s="33" t="n">
        <x:v>697.0566980000003</x:v>
      </x:c>
      <x:c r="O2597" s="22" t="str">
        <x:v>公顷</x:v>
      </x:c>
      <x:c r="P2597" s="22" t="str">
        <x:v>未提供（单期横截面）</x:v>
      </x:c>
      <x:c r="Q2597" s="23" t="n">
        <x:v>5576</x:v>
      </x:c>
    </x:row>
    <x:row r="2598">
      <x:c r="A2598" s="30" t="n">
        <x:v>350600</x:v>
      </x:c>
      <x:c r="B2598" s="22" t="str">
        <x:v>漳州市</x:v>
      </x:c>
      <x:c r="C2598" s="31" t="n">
        <x:v>350626</x:v>
      </x:c>
      <x:c r="D2598" s="22" t="str">
        <x:v>东山县</x:v>
      </x:c>
      <x:c r="E2598" s="22" t="str">
        <x:v>农用地</x:v>
      </x:c>
      <x:c r="F2598" s="22" t="str">
        <x:v>耕地</x:v>
      </x:c>
      <x:c r="G2598" s="32" t="str">
        <x:v>103</x:v>
      </x:c>
      <x:c r="H2598" s="32" t="str">
        <x:v>103</x:v>
      </x:c>
      <x:c r="I2598" s="22" t="str">
        <x:v>旱地</x:v>
      </x:c>
      <x:c r="J2598" s="22" t="str">
        <x:v>农业生态</x:v>
      </x:c>
      <x:c r="K2598" s="32" t="str"/>
      <x:c r="L2598" s="22" t="str">
        <x:v>不适用/未标注</x:v>
      </x:c>
      <x:c r="M2598" s="33" t="n">
        <x:v>19717559.090000052</x:v>
      </x:c>
      <x:c r="N2598" s="33" t="n">
        <x:v>1971.7559090000052</x:v>
      </x:c>
      <x:c r="O2598" s="22" t="str">
        <x:v>公顷</x:v>
      </x:c>
      <x:c r="P2598" s="22" t="str">
        <x:v>未提供（单期横截面）</x:v>
      </x:c>
      <x:c r="Q2598" s="23" t="n">
        <x:v>5577</x:v>
      </x:c>
    </x:row>
    <x:row r="2599">
      <x:c r="A2599" s="30" t="n">
        <x:v>350600</x:v>
      </x:c>
      <x:c r="B2599" s="22" t="str">
        <x:v>漳州市</x:v>
      </x:c>
      <x:c r="C2599" s="31" t="n">
        <x:v>350626</x:v>
      </x:c>
      <x:c r="D2599" s="22" t="str">
        <x:v>东山县</x:v>
      </x:c>
      <x:c r="E2599" s="22" t="str">
        <x:v>农用地</x:v>
      </x:c>
      <x:c r="F2599" s="22" t="str">
        <x:v>园地</x:v>
      </x:c>
      <x:c r="G2599" s="32" t="str">
        <x:v>201</x:v>
      </x:c>
      <x:c r="H2599" s="32" t="str">
        <x:v>201</x:v>
      </x:c>
      <x:c r="I2599" s="22" t="str">
        <x:v>果园</x:v>
      </x:c>
      <x:c r="J2599" s="22" t="str">
        <x:v>农业生态</x:v>
      </x:c>
      <x:c r="K2599" s="32" t="str"/>
      <x:c r="L2599" s="22" t="str">
        <x:v>不适用/未标注</x:v>
      </x:c>
      <x:c r="M2599" s="33" t="n">
        <x:v>20990963.85000001</x:v>
      </x:c>
      <x:c r="N2599" s="33" t="n">
        <x:v>2099.0963850000007</x:v>
      </x:c>
      <x:c r="O2599" s="22" t="str">
        <x:v>公顷</x:v>
      </x:c>
      <x:c r="P2599" s="22" t="str">
        <x:v>未提供（单期横截面）</x:v>
      </x:c>
      <x:c r="Q2599" s="23" t="n">
        <x:v>5578</x:v>
      </x:c>
    </x:row>
    <x:row r="2600">
      <x:c r="A2600" s="30" t="n">
        <x:v>350600</x:v>
      </x:c>
      <x:c r="B2600" s="22" t="str">
        <x:v>漳州市</x:v>
      </x:c>
      <x:c r="C2600" s="31" t="n">
        <x:v>350626</x:v>
      </x:c>
      <x:c r="D2600" s="22" t="str">
        <x:v>东山县</x:v>
      </x:c>
      <x:c r="E2600" s="22" t="str">
        <x:v>农用地</x:v>
      </x:c>
      <x:c r="F2600" s="22" t="str">
        <x:v>园地</x:v>
      </x:c>
      <x:c r="G2600" s="32" t="str">
        <x:v>0201K</x:v>
      </x:c>
      <x:c r="H2600" s="32" t="str">
        <x:v>201</x:v>
      </x:c>
      <x:c r="I2600" s="22" t="str">
        <x:v>可调整果园</x:v>
      </x:c>
      <x:c r="J2600" s="22" t="str">
        <x:v>农业生态</x:v>
      </x:c>
      <x:c r="K2600" s="32" t="str"/>
      <x:c r="L2600" s="22" t="str">
        <x:v>不适用/未标注</x:v>
      </x:c>
      <x:c r="M2600" s="33" t="n">
        <x:v>657904.9500000001</x:v>
      </x:c>
      <x:c r="N2600" s="33" t="n">
        <x:v>65.790495</x:v>
      </x:c>
      <x:c r="O2600" s="22" t="str">
        <x:v>公顷</x:v>
      </x:c>
      <x:c r="P2600" s="22" t="str">
        <x:v>未提供（单期横截面）</x:v>
      </x:c>
      <x:c r="Q2600" s="23" t="n">
        <x:v>5579</x:v>
      </x:c>
    </x:row>
    <x:row r="2601">
      <x:c r="A2601" s="30" t="n">
        <x:v>350600</x:v>
      </x:c>
      <x:c r="B2601" s="22" t="str">
        <x:v>漳州市</x:v>
      </x:c>
      <x:c r="C2601" s="31" t="n">
        <x:v>350626</x:v>
      </x:c>
      <x:c r="D2601" s="22" t="str">
        <x:v>东山县</x:v>
      </x:c>
      <x:c r="E2601" s="22" t="str">
        <x:v>农用地</x:v>
      </x:c>
      <x:c r="F2601" s="22" t="str">
        <x:v>园地</x:v>
      </x:c>
      <x:c r="G2601" s="32" t="str">
        <x:v>204</x:v>
      </x:c>
      <x:c r="H2601" s="32" t="str">
        <x:v>204</x:v>
      </x:c>
      <x:c r="I2601" s="22" t="str">
        <x:v>其他园地</x:v>
      </x:c>
      <x:c r="J2601" s="22" t="str">
        <x:v>农业生态</x:v>
      </x:c>
      <x:c r="K2601" s="32" t="str"/>
      <x:c r="L2601" s="22" t="str">
        <x:v>不适用/未标注</x:v>
      </x:c>
      <x:c r="M2601" s="33" t="n">
        <x:v>854346.5800000001</x:v>
      </x:c>
      <x:c r="N2601" s="33" t="n">
        <x:v>85.43465800000001</x:v>
      </x:c>
      <x:c r="O2601" s="22" t="str">
        <x:v>公顷</x:v>
      </x:c>
      <x:c r="P2601" s="22" t="str">
        <x:v>未提供（单期横截面）</x:v>
      </x:c>
      <x:c r="Q2601" s="23" t="n">
        <x:v>5580</x:v>
      </x:c>
    </x:row>
    <x:row r="2602">
      <x:c r="A2602" s="30" t="n">
        <x:v>350600</x:v>
      </x:c>
      <x:c r="B2602" s="22" t="str">
        <x:v>漳州市</x:v>
      </x:c>
      <x:c r="C2602" s="31" t="n">
        <x:v>350626</x:v>
      </x:c>
      <x:c r="D2602" s="22" t="str">
        <x:v>东山县</x:v>
      </x:c>
      <x:c r="E2602" s="22" t="str">
        <x:v>农用地</x:v>
      </x:c>
      <x:c r="F2602" s="22" t="str">
        <x:v>园地</x:v>
      </x:c>
      <x:c r="G2602" s="32" t="str">
        <x:v>0204K</x:v>
      </x:c>
      <x:c r="H2602" s="32" t="str">
        <x:v>0204</x:v>
      </x:c>
      <x:c r="I2602" s="22" t="str">
        <x:v>可调整其他园地</x:v>
      </x:c>
      <x:c r="J2602" s="22" t="str">
        <x:v>农业生态</x:v>
      </x:c>
      <x:c r="K2602" s="32" t="str"/>
      <x:c r="L2602" s="22" t="str">
        <x:v>不适用/未标注</x:v>
      </x:c>
      <x:c r="M2602" s="33" t="n">
        <x:v>10002.17</x:v>
      </x:c>
      <x:c r="N2602" s="33" t="n">
        <x:v>1.000217</x:v>
      </x:c>
      <x:c r="O2602" s="22" t="str">
        <x:v>公顷</x:v>
      </x:c>
      <x:c r="P2602" s="22" t="str">
        <x:v>未提供（单期横截面）</x:v>
      </x:c>
      <x:c r="Q2602" s="23" t="n">
        <x:v>5581</x:v>
      </x:c>
    </x:row>
    <x:row r="2603">
      <x:c r="A2603" s="30" t="n">
        <x:v>350600</x:v>
      </x:c>
      <x:c r="B2603" s="22" t="str">
        <x:v>漳州市</x:v>
      </x:c>
      <x:c r="C2603" s="31" t="n">
        <x:v>350626</x:v>
      </x:c>
      <x:c r="D2603" s="22" t="str">
        <x:v>东山县</x:v>
      </x:c>
      <x:c r="E2603" s="22" t="str">
        <x:v>农用地</x:v>
      </x:c>
      <x:c r="F2603" s="22" t="str">
        <x:v>林地</x:v>
      </x:c>
      <x:c r="G2603" s="32" t="str">
        <x:v>301</x:v>
      </x:c>
      <x:c r="H2603" s="32" t="str">
        <x:v>301</x:v>
      </x:c>
      <x:c r="I2603" s="22" t="str">
        <x:v>乔木林地</x:v>
      </x:c>
      <x:c r="J2603" s="22" t="str">
        <x:v>农业生态</x:v>
      </x:c>
      <x:c r="K2603" s="32" t="str"/>
      <x:c r="L2603" s="22" t="str">
        <x:v>不适用/未标注</x:v>
      </x:c>
      <x:c r="M2603" s="33" t="n">
        <x:v>52522027.850000024</x:v>
      </x:c>
      <x:c r="N2603" s="33" t="n">
        <x:v>5252.202785000002</x:v>
      </x:c>
      <x:c r="O2603" s="22" t="str">
        <x:v>公顷</x:v>
      </x:c>
      <x:c r="P2603" s="22" t="str">
        <x:v>未提供（单期横截面）</x:v>
      </x:c>
      <x:c r="Q2603" s="23" t="n">
        <x:v>5582</x:v>
      </x:c>
    </x:row>
    <x:row r="2604">
      <x:c r="A2604" s="30" t="n">
        <x:v>350600</x:v>
      </x:c>
      <x:c r="B2604" s="22" t="str">
        <x:v>漳州市</x:v>
      </x:c>
      <x:c r="C2604" s="31" t="n">
        <x:v>350626</x:v>
      </x:c>
      <x:c r="D2604" s="22" t="str">
        <x:v>东山县</x:v>
      </x:c>
      <x:c r="E2604" s="22" t="str">
        <x:v>农用地</x:v>
      </x:c>
      <x:c r="F2604" s="22" t="str">
        <x:v>林地</x:v>
      </x:c>
      <x:c r="G2604" s="32" t="str">
        <x:v>0301K</x:v>
      </x:c>
      <x:c r="H2604" s="32" t="str">
        <x:v>0301</x:v>
      </x:c>
      <x:c r="I2604" s="22" t="str">
        <x:v>可调整乔木林地</x:v>
      </x:c>
      <x:c r="J2604" s="22" t="str">
        <x:v>农业生态</x:v>
      </x:c>
      <x:c r="K2604" s="32" t="str"/>
      <x:c r="L2604" s="22" t="str">
        <x:v>不适用/未标注</x:v>
      </x:c>
      <x:c r="M2604" s="33" t="n">
        <x:v>31830.67</x:v>
      </x:c>
      <x:c r="N2604" s="33" t="n">
        <x:v>3.183067</x:v>
      </x:c>
      <x:c r="O2604" s="22" t="str">
        <x:v>公顷</x:v>
      </x:c>
      <x:c r="P2604" s="22" t="str">
        <x:v>未提供（单期横截面）</x:v>
      </x:c>
      <x:c r="Q2604" s="23" t="n">
        <x:v>5583</x:v>
      </x:c>
    </x:row>
    <x:row r="2605">
      <x:c r="A2605" s="30" t="n">
        <x:v>350600</x:v>
      </x:c>
      <x:c r="B2605" s="22" t="str">
        <x:v>漳州市</x:v>
      </x:c>
      <x:c r="C2605" s="31" t="n">
        <x:v>350626</x:v>
      </x:c>
      <x:c r="D2605" s="22" t="str">
        <x:v>东山县</x:v>
      </x:c>
      <x:c r="E2605" s="22" t="str">
        <x:v>农用地</x:v>
      </x:c>
      <x:c r="F2605" s="22" t="str">
        <x:v>林地</x:v>
      </x:c>
      <x:c r="G2605" s="32" t="str">
        <x:v>302</x:v>
      </x:c>
      <x:c r="H2605" s="32" t="str">
        <x:v>302</x:v>
      </x:c>
      <x:c r="I2605" s="22" t="str">
        <x:v>竹林地</x:v>
      </x:c>
      <x:c r="J2605" s="22" t="str">
        <x:v>农业生态</x:v>
      </x:c>
      <x:c r="K2605" s="32" t="str"/>
      <x:c r="L2605" s="22" t="str">
        <x:v>不适用/未标注</x:v>
      </x:c>
      <x:c r="M2605" s="33" t="n">
        <x:v>3902.2200000000003</x:v>
      </x:c>
      <x:c r="N2605" s="33" t="n">
        <x:v>0.390222</x:v>
      </x:c>
      <x:c r="O2605" s="22" t="str">
        <x:v>公顷</x:v>
      </x:c>
      <x:c r="P2605" s="22" t="str">
        <x:v>未提供（单期横截面）</x:v>
      </x:c>
      <x:c r="Q2605" s="23" t="n">
        <x:v>5584</x:v>
      </x:c>
    </x:row>
    <x:row r="2606">
      <x:c r="A2606" s="30" t="n">
        <x:v>350600</x:v>
      </x:c>
      <x:c r="B2606" s="22" t="str">
        <x:v>漳州市</x:v>
      </x:c>
      <x:c r="C2606" s="31" t="n">
        <x:v>350626</x:v>
      </x:c>
      <x:c r="D2606" s="22" t="str">
        <x:v>东山县</x:v>
      </x:c>
      <x:c r="E2606" s="22" t="str">
        <x:v>农用地</x:v>
      </x:c>
      <x:c r="F2606" s="22" t="str">
        <x:v>林地</x:v>
      </x:c>
      <x:c r="G2606" s="32" t="str">
        <x:v>305</x:v>
      </x:c>
      <x:c r="H2606" s="32" t="str">
        <x:v>305</x:v>
      </x:c>
      <x:c r="I2606" s="22" t="str">
        <x:v>灌木林地</x:v>
      </x:c>
      <x:c r="J2606" s="22" t="str">
        <x:v>农业生态</x:v>
      </x:c>
      <x:c r="K2606" s="32" t="str"/>
      <x:c r="L2606" s="22" t="str">
        <x:v>不适用/未标注</x:v>
      </x:c>
      <x:c r="M2606" s="33" t="n">
        <x:v>395237.8199999999</x:v>
      </x:c>
      <x:c r="N2606" s="33" t="n">
        <x:v>39.52378199999999</x:v>
      </x:c>
      <x:c r="O2606" s="22" t="str">
        <x:v>公顷</x:v>
      </x:c>
      <x:c r="P2606" s="22" t="str">
        <x:v>未提供（单期横截面）</x:v>
      </x:c>
      <x:c r="Q2606" s="23" t="n">
        <x:v>5585</x:v>
      </x:c>
    </x:row>
    <x:row r="2607">
      <x:c r="A2607" s="30" t="n">
        <x:v>350600</x:v>
      </x:c>
      <x:c r="B2607" s="22" t="str">
        <x:v>漳州市</x:v>
      </x:c>
      <x:c r="C2607" s="31" t="n">
        <x:v>350626</x:v>
      </x:c>
      <x:c r="D2607" s="22" t="str">
        <x:v>东山县</x:v>
      </x:c>
      <x:c r="E2607" s="22" t="str">
        <x:v>农用地</x:v>
      </x:c>
      <x:c r="F2607" s="22" t="str">
        <x:v>林地</x:v>
      </x:c>
      <x:c r="G2607" s="32" t="str">
        <x:v>307</x:v>
      </x:c>
      <x:c r="H2607" s="32" t="str">
        <x:v>307</x:v>
      </x:c>
      <x:c r="I2607" s="22" t="str">
        <x:v>其他林地</x:v>
      </x:c>
      <x:c r="J2607" s="22" t="str">
        <x:v>农业生态</x:v>
      </x:c>
      <x:c r="K2607" s="32" t="str"/>
      <x:c r="L2607" s="22" t="str">
        <x:v>不适用/未标注</x:v>
      </x:c>
      <x:c r="M2607" s="33" t="n">
        <x:v>6971411.580000007</x:v>
      </x:c>
      <x:c r="N2607" s="33" t="n">
        <x:v>697.1411580000007</x:v>
      </x:c>
      <x:c r="O2607" s="22" t="str">
        <x:v>公顷</x:v>
      </x:c>
      <x:c r="P2607" s="22" t="str">
        <x:v>未提供（单期横截面）</x:v>
      </x:c>
      <x:c r="Q2607" s="23" t="n">
        <x:v>5586</x:v>
      </x:c>
    </x:row>
    <x:row r="2608">
      <x:c r="A2608" s="30" t="n">
        <x:v>350600</x:v>
      </x:c>
      <x:c r="B2608" s="22" t="str">
        <x:v>漳州市</x:v>
      </x:c>
      <x:c r="C2608" s="31" t="n">
        <x:v>350626</x:v>
      </x:c>
      <x:c r="D2608" s="22" t="str">
        <x:v>东山县</x:v>
      </x:c>
      <x:c r="E2608" s="22" t="str">
        <x:v>农用地</x:v>
      </x:c>
      <x:c r="F2608" s="22" t="str">
        <x:v>林地</x:v>
      </x:c>
      <x:c r="G2608" s="32" t="str">
        <x:v>0307K</x:v>
      </x:c>
      <x:c r="H2608" s="32" t="str">
        <x:v>0307</x:v>
      </x:c>
      <x:c r="I2608" s="22" t="str">
        <x:v>可调整其他林地</x:v>
      </x:c>
      <x:c r="J2608" s="22" t="str">
        <x:v>农业生态</x:v>
      </x:c>
      <x:c r="K2608" s="32" t="str"/>
      <x:c r="L2608" s="22" t="str">
        <x:v>不适用/未标注</x:v>
      </x:c>
      <x:c r="M2608" s="33" t="n">
        <x:v>1862.0500000000002</x:v>
      </x:c>
      <x:c r="N2608" s="33" t="n">
        <x:v>0.186205</x:v>
      </x:c>
      <x:c r="O2608" s="22" t="str">
        <x:v>公顷</x:v>
      </x:c>
      <x:c r="P2608" s="22" t="str">
        <x:v>未提供（单期横截面）</x:v>
      </x:c>
      <x:c r="Q2608" s="23" t="n">
        <x:v>5587</x:v>
      </x:c>
    </x:row>
    <x:row r="2609">
      <x:c r="A2609" s="30" t="n">
        <x:v>350600</x:v>
      </x:c>
      <x:c r="B2609" s="22" t="str">
        <x:v>漳州市</x:v>
      </x:c>
      <x:c r="C2609" s="31" t="n">
        <x:v>350626</x:v>
      </x:c>
      <x:c r="D2609" s="22" t="str">
        <x:v>东山县</x:v>
      </x:c>
      <x:c r="E2609" s="22" t="str">
        <x:v>农用地</x:v>
      </x:c>
      <x:c r="F2609" s="22" t="str">
        <x:v>其他农用地</x:v>
      </x:c>
      <x:c r="G2609" s="32" t="str">
        <x:v>1006</x:v>
      </x:c>
      <x:c r="H2609" s="32" t="str">
        <x:v>1006</x:v>
      </x:c>
      <x:c r="I2609" s="22" t="str">
        <x:v>农村道路</x:v>
      </x:c>
      <x:c r="J2609" s="22" t="str">
        <x:v>农业生态</x:v>
      </x:c>
      <x:c r="K2609" s="32" t="str"/>
      <x:c r="L2609" s="22" t="str">
        <x:v>不适用/未标注</x:v>
      </x:c>
      <x:c r="M2609" s="33" t="n">
        <x:v>2596649.3800000013</x:v>
      </x:c>
      <x:c r="N2609" s="33" t="n">
        <x:v>259.6649380000001</x:v>
      </x:c>
      <x:c r="O2609" s="22" t="str">
        <x:v>公顷</x:v>
      </x:c>
      <x:c r="P2609" s="22" t="str">
        <x:v>未提供（单期横截面）</x:v>
      </x:c>
      <x:c r="Q2609" s="23" t="n">
        <x:v>5588</x:v>
      </x:c>
    </x:row>
    <x:row r="2610">
      <x:c r="A2610" s="30" t="n">
        <x:v>350600</x:v>
      </x:c>
      <x:c r="B2610" s="22" t="str">
        <x:v>漳州市</x:v>
      </x:c>
      <x:c r="C2610" s="31" t="n">
        <x:v>350626</x:v>
      </x:c>
      <x:c r="D2610" s="22" t="str">
        <x:v>东山县</x:v>
      </x:c>
      <x:c r="E2610" s="22" t="str">
        <x:v>农用地</x:v>
      </x:c>
      <x:c r="F2610" s="22" t="str">
        <x:v>水域及水利设施</x:v>
      </x:c>
      <x:c r="G2610" s="32" t="str">
        <x:v>1103</x:v>
      </x:c>
      <x:c r="H2610" s="32" t="str">
        <x:v>1103</x:v>
      </x:c>
      <x:c r="I2610" s="22" t="str">
        <x:v>水库水面</x:v>
      </x:c>
      <x:c r="J2610" s="22" t="str">
        <x:v>农业生态</x:v>
      </x:c>
      <x:c r="K2610" s="32" t="str"/>
      <x:c r="L2610" s="22" t="str">
        <x:v>不适用/未标注</x:v>
      </x:c>
      <x:c r="M2610" s="33" t="n">
        <x:v>1741786.98</x:v>
      </x:c>
      <x:c r="N2610" s="33" t="n">
        <x:v>174.178698</x:v>
      </x:c>
      <x:c r="O2610" s="22" t="str">
        <x:v>公顷</x:v>
      </x:c>
      <x:c r="P2610" s="22" t="str">
        <x:v>未提供（单期横截面）</x:v>
      </x:c>
      <x:c r="Q2610" s="23" t="n">
        <x:v>5589</x:v>
      </x:c>
    </x:row>
    <x:row r="2611">
      <x:c r="A2611" s="30" t="n">
        <x:v>350600</x:v>
      </x:c>
      <x:c r="B2611" s="22" t="str">
        <x:v>漳州市</x:v>
      </x:c>
      <x:c r="C2611" s="31" t="n">
        <x:v>350626</x:v>
      </x:c>
      <x:c r="D2611" s="22" t="str">
        <x:v>东山县</x:v>
      </x:c>
      <x:c r="E2611" s="22" t="str">
        <x:v>农用地</x:v>
      </x:c>
      <x:c r="F2611" s="22" t="str">
        <x:v>水域及水利设施</x:v>
      </x:c>
      <x:c r="G2611" s="32" t="str">
        <x:v>1104</x:v>
      </x:c>
      <x:c r="H2611" s="32" t="str">
        <x:v>1104</x:v>
      </x:c>
      <x:c r="I2611" s="22" t="str">
        <x:v>坑塘水面</x:v>
      </x:c>
      <x:c r="J2611" s="22" t="str">
        <x:v>农业生态</x:v>
      </x:c>
      <x:c r="K2611" s="32" t="str"/>
      <x:c r="L2611" s="22" t="str">
        <x:v>不适用/未标注</x:v>
      </x:c>
      <x:c r="M2611" s="33" t="n">
        <x:v>13861755.06</x:v>
      </x:c>
      <x:c r="N2611" s="33" t="n">
        <x:v>1386.175506</x:v>
      </x:c>
      <x:c r="O2611" s="22" t="str">
        <x:v>公顷</x:v>
      </x:c>
      <x:c r="P2611" s="22" t="str">
        <x:v>未提供（单期横截面）</x:v>
      </x:c>
      <x:c r="Q2611" s="23" t="n">
        <x:v>5590</x:v>
      </x:c>
    </x:row>
    <x:row r="2612">
      <x:c r="A2612" s="30" t="n">
        <x:v>350600</x:v>
      </x:c>
      <x:c r="B2612" s="22" t="str">
        <x:v>漳州市</x:v>
      </x:c>
      <x:c r="C2612" s="31" t="n">
        <x:v>350626</x:v>
      </x:c>
      <x:c r="D2612" s="22" t="str">
        <x:v>东山县</x:v>
      </x:c>
      <x:c r="E2612" s="22" t="str">
        <x:v>农用地</x:v>
      </x:c>
      <x:c r="F2612" s="22" t="str">
        <x:v>水域及水利设施</x:v>
      </x:c>
      <x:c r="G2612" s="32" t="str">
        <x:v>1104A</x:v>
      </x:c>
      <x:c r="H2612" s="32" t="str">
        <x:v>1104</x:v>
      </x:c>
      <x:c r="I2612" s="22" t="str">
        <x:v>养殖坑塘</x:v>
      </x:c>
      <x:c r="J2612" s="22" t="str">
        <x:v>农业生态</x:v>
      </x:c>
      <x:c r="K2612" s="32" t="str"/>
      <x:c r="L2612" s="22" t="str">
        <x:v>不适用/未标注</x:v>
      </x:c>
      <x:c r="M2612" s="33" t="n">
        <x:v>24326108.87</x:v>
      </x:c>
      <x:c r="N2612" s="33" t="n">
        <x:v>2432.6108870000003</x:v>
      </x:c>
      <x:c r="O2612" s="22" t="str">
        <x:v>公顷</x:v>
      </x:c>
      <x:c r="P2612" s="22" t="str">
        <x:v>未提供（单期横截面）</x:v>
      </x:c>
      <x:c r="Q2612" s="23" t="n">
        <x:v>5591</x:v>
      </x:c>
    </x:row>
    <x:row r="2613">
      <x:c r="A2613" s="30" t="n">
        <x:v>350600</x:v>
      </x:c>
      <x:c r="B2613" s="22" t="str">
        <x:v>漳州市</x:v>
      </x:c>
      <x:c r="C2613" s="31" t="n">
        <x:v>350626</x:v>
      </x:c>
      <x:c r="D2613" s="22" t="str">
        <x:v>东山县</x:v>
      </x:c>
      <x:c r="E2613" s="22" t="str">
        <x:v>农用地</x:v>
      </x:c>
      <x:c r="F2613" s="22" t="str">
        <x:v>水域及水利设施</x:v>
      </x:c>
      <x:c r="G2613" s="32" t="str">
        <x:v>1104K</x:v>
      </x:c>
      <x:c r="H2613" s="32" t="str">
        <x:v>1104</x:v>
      </x:c>
      <x:c r="I2613" s="22" t="str">
        <x:v>可调整养殖坑塘</x:v>
      </x:c>
      <x:c r="J2613" s="22" t="str">
        <x:v>农业生态</x:v>
      </x:c>
      <x:c r="K2613" s="32" t="str"/>
      <x:c r="L2613" s="22" t="str">
        <x:v>不适用/未标注</x:v>
      </x:c>
      <x:c r="M2613" s="33" t="n">
        <x:v>18088.11</x:v>
      </x:c>
      <x:c r="N2613" s="33" t="n">
        <x:v>1.8088110000000002</x:v>
      </x:c>
      <x:c r="O2613" s="22" t="str">
        <x:v>公顷</x:v>
      </x:c>
      <x:c r="P2613" s="22" t="str">
        <x:v>未提供（单期横截面）</x:v>
      </x:c>
      <x:c r="Q2613" s="23" t="n">
        <x:v>5592</x:v>
      </x:c>
    </x:row>
    <x:row r="2614">
      <x:c r="A2614" s="30" t="n">
        <x:v>350600</x:v>
      </x:c>
      <x:c r="B2614" s="22" t="str">
        <x:v>漳州市</x:v>
      </x:c>
      <x:c r="C2614" s="31" t="n">
        <x:v>350626</x:v>
      </x:c>
      <x:c r="D2614" s="22" t="str">
        <x:v>东山县</x:v>
      </x:c>
      <x:c r="E2614" s="22" t="str">
        <x:v>农用地</x:v>
      </x:c>
      <x:c r="F2614" s="22" t="str">
        <x:v>水域及水利设施</x:v>
      </x:c>
      <x:c r="G2614" s="32" t="str">
        <x:v>1107</x:v>
      </x:c>
      <x:c r="H2614" s="32" t="str">
        <x:v>1107</x:v>
      </x:c>
      <x:c r="I2614" s="22" t="str">
        <x:v>沟渠</x:v>
      </x:c>
      <x:c r="J2614" s="22" t="str">
        <x:v>农业生态</x:v>
      </x:c>
      <x:c r="K2614" s="32" t="str"/>
      <x:c r="L2614" s="22" t="str">
        <x:v>不适用/未标注</x:v>
      </x:c>
      <x:c r="M2614" s="33" t="n">
        <x:v>2143950.8199999994</x:v>
      </x:c>
      <x:c r="N2614" s="33" t="n">
        <x:v>214.39508199999995</x:v>
      </x:c>
      <x:c r="O2614" s="22" t="str">
        <x:v>公顷</x:v>
      </x:c>
      <x:c r="P2614" s="22" t="str">
        <x:v>未提供（单期横截面）</x:v>
      </x:c>
      <x:c r="Q2614" s="23" t="n">
        <x:v>5593</x:v>
      </x:c>
    </x:row>
    <x:row r="2615">
      <x:c r="A2615" s="30" t="n">
        <x:v>350600</x:v>
      </x:c>
      <x:c r="B2615" s="22" t="str">
        <x:v>漳州市</x:v>
      </x:c>
      <x:c r="C2615" s="31" t="n">
        <x:v>350626</x:v>
      </x:c>
      <x:c r="D2615" s="22" t="str">
        <x:v>东山县</x:v>
      </x:c>
      <x:c r="E2615" s="22" t="str">
        <x:v>农用地</x:v>
      </x:c>
      <x:c r="F2615" s="22" t="str">
        <x:v>其他农用地</x:v>
      </x:c>
      <x:c r="G2615" s="32" t="str">
        <x:v>1202</x:v>
      </x:c>
      <x:c r="H2615" s="32" t="str">
        <x:v>1202</x:v>
      </x:c>
      <x:c r="I2615" s="22" t="str">
        <x:v>设施农用地</x:v>
      </x:c>
      <x:c r="J2615" s="22" t="str">
        <x:v>农业生态</x:v>
      </x:c>
      <x:c r="K2615" s="32" t="str"/>
      <x:c r="L2615" s="22" t="str">
        <x:v>不适用/未标注</x:v>
      </x:c>
      <x:c r="M2615" s="33" t="n">
        <x:v>8832947.740000006</x:v>
      </x:c>
      <x:c r="N2615" s="33" t="n">
        <x:v>883.2947740000005</x:v>
      </x:c>
      <x:c r="O2615" s="22" t="str">
        <x:v>公顷</x:v>
      </x:c>
      <x:c r="P2615" s="22" t="str">
        <x:v>未提供（单期横截面）</x:v>
      </x:c>
      <x:c r="Q2615" s="23" t="n">
        <x:v>5594</x:v>
      </x:c>
    </x:row>
    <x:row r="2616">
      <x:c r="A2616" s="30" t="n">
        <x:v>350600</x:v>
      </x:c>
      <x:c r="B2616" s="22" t="str">
        <x:v>漳州市</x:v>
      </x:c>
      <x:c r="C2616" s="31" t="n">
        <x:v>350626</x:v>
      </x:c>
      <x:c r="D2616" s="22" t="str">
        <x:v>东山县</x:v>
      </x:c>
      <x:c r="E2616" s="22" t="str">
        <x:v>农用地</x:v>
      </x:c>
      <x:c r="F2616" s="22" t="str">
        <x:v>耕地</x:v>
      </x:c>
      <x:c r="G2616" s="32" t="str">
        <x:v>102</x:v>
      </x:c>
      <x:c r="H2616" s="32" t="str">
        <x:v>102</x:v>
      </x:c>
      <x:c r="I2616" s="22" t="str">
        <x:v>水浇地</x:v>
      </x:c>
      <x:c r="J2616" s="22" t="str">
        <x:v>农业生态</x:v>
      </x:c>
      <x:c r="K2616" s="32" t="str">
        <x:v>202</x:v>
      </x:c>
      <x:c r="L2616" s="22" t="str">
        <x:v>建制镇范围</x:v>
      </x:c>
      <x:c r="M2616" s="33" t="n">
        <x:v>9266.800000000001</x:v>
      </x:c>
      <x:c r="N2616" s="33" t="n">
        <x:v>0.9266800000000001</x:v>
      </x:c>
      <x:c r="O2616" s="22" t="str">
        <x:v>公顷</x:v>
      </x:c>
      <x:c r="P2616" s="22" t="str">
        <x:v>未提供（单期横截面）</x:v>
      </x:c>
      <x:c r="Q2616" s="23" t="n">
        <x:v>5595</x:v>
      </x:c>
    </x:row>
    <x:row r="2617">
      <x:c r="A2617" s="30" t="n">
        <x:v>350600</x:v>
      </x:c>
      <x:c r="B2617" s="22" t="str">
        <x:v>漳州市</x:v>
      </x:c>
      <x:c r="C2617" s="31" t="n">
        <x:v>350626</x:v>
      </x:c>
      <x:c r="D2617" s="22" t="str">
        <x:v>东山县</x:v>
      </x:c>
      <x:c r="E2617" s="22" t="str">
        <x:v>农用地</x:v>
      </x:c>
      <x:c r="F2617" s="22" t="str">
        <x:v>耕地</x:v>
      </x:c>
      <x:c r="G2617" s="32" t="str">
        <x:v>103</x:v>
      </x:c>
      <x:c r="H2617" s="32" t="str">
        <x:v>103</x:v>
      </x:c>
      <x:c r="I2617" s="22" t="str">
        <x:v>旱地</x:v>
      </x:c>
      <x:c r="J2617" s="22" t="str">
        <x:v>农业生态</x:v>
      </x:c>
      <x:c r="K2617" s="32" t="str">
        <x:v>202</x:v>
      </x:c>
      <x:c r="L2617" s="22" t="str">
        <x:v>建制镇范围</x:v>
      </x:c>
      <x:c r="M2617" s="33" t="n">
        <x:v>58782.01000000002</x:v>
      </x:c>
      <x:c r="N2617" s="33" t="n">
        <x:v>5.878201000000002</x:v>
      </x:c>
      <x:c r="O2617" s="22" t="str">
        <x:v>公顷</x:v>
      </x:c>
      <x:c r="P2617" s="22" t="str">
        <x:v>未提供（单期横截面）</x:v>
      </x:c>
      <x:c r="Q2617" s="23" t="n">
        <x:v>5596</x:v>
      </x:c>
    </x:row>
    <x:row r="2618">
      <x:c r="A2618" s="30" t="n">
        <x:v>350600</x:v>
      </x:c>
      <x:c r="B2618" s="22" t="str">
        <x:v>漳州市</x:v>
      </x:c>
      <x:c r="C2618" s="31" t="n">
        <x:v>350626</x:v>
      </x:c>
      <x:c r="D2618" s="22" t="str">
        <x:v>东山县</x:v>
      </x:c>
      <x:c r="E2618" s="22" t="str">
        <x:v>农用地</x:v>
      </x:c>
      <x:c r="F2618" s="22" t="str">
        <x:v>园地</x:v>
      </x:c>
      <x:c r="G2618" s="32" t="str">
        <x:v>201</x:v>
      </x:c>
      <x:c r="H2618" s="32" t="str">
        <x:v>201</x:v>
      </x:c>
      <x:c r="I2618" s="22" t="str">
        <x:v>果园</x:v>
      </x:c>
      <x:c r="J2618" s="22" t="str">
        <x:v>农业生态</x:v>
      </x:c>
      <x:c r="K2618" s="32" t="str">
        <x:v>202</x:v>
      </x:c>
      <x:c r="L2618" s="22" t="str">
        <x:v>建制镇范围</x:v>
      </x:c>
      <x:c r="M2618" s="33" t="n">
        <x:v>20645.4</x:v>
      </x:c>
      <x:c r="N2618" s="33" t="n">
        <x:v>2.06454</x:v>
      </x:c>
      <x:c r="O2618" s="22" t="str">
        <x:v>公顷</x:v>
      </x:c>
      <x:c r="P2618" s="22" t="str">
        <x:v>未提供（单期横截面）</x:v>
      </x:c>
      <x:c r="Q2618" s="23" t="n">
        <x:v>5597</x:v>
      </x:c>
    </x:row>
    <x:row r="2619">
      <x:c r="A2619" s="30" t="n">
        <x:v>350600</x:v>
      </x:c>
      <x:c r="B2619" s="22" t="str">
        <x:v>漳州市</x:v>
      </x:c>
      <x:c r="C2619" s="31" t="n">
        <x:v>350626</x:v>
      </x:c>
      <x:c r="D2619" s="22" t="str">
        <x:v>东山县</x:v>
      </x:c>
      <x:c r="E2619" s="22" t="str">
        <x:v>农用地</x:v>
      </x:c>
      <x:c r="F2619" s="22" t="str">
        <x:v>林地</x:v>
      </x:c>
      <x:c r="G2619" s="32" t="str">
        <x:v>301</x:v>
      </x:c>
      <x:c r="H2619" s="32" t="str">
        <x:v>301</x:v>
      </x:c>
      <x:c r="I2619" s="22" t="str">
        <x:v>乔木林地</x:v>
      </x:c>
      <x:c r="J2619" s="22" t="str">
        <x:v>农业生态</x:v>
      </x:c>
      <x:c r="K2619" s="32" t="str">
        <x:v>202</x:v>
      </x:c>
      <x:c r="L2619" s="22" t="str">
        <x:v>建制镇范围</x:v>
      </x:c>
      <x:c r="M2619" s="33" t="n">
        <x:v>132949.71</x:v>
      </x:c>
      <x:c r="N2619" s="33" t="n">
        <x:v>13.294970999999999</x:v>
      </x:c>
      <x:c r="O2619" s="22" t="str">
        <x:v>公顷</x:v>
      </x:c>
      <x:c r="P2619" s="22" t="str">
        <x:v>未提供（单期横截面）</x:v>
      </x:c>
      <x:c r="Q2619" s="23" t="n">
        <x:v>5598</x:v>
      </x:c>
    </x:row>
    <x:row r="2620">
      <x:c r="A2620" s="30" t="n">
        <x:v>350600</x:v>
      </x:c>
      <x:c r="B2620" s="22" t="str">
        <x:v>漳州市</x:v>
      </x:c>
      <x:c r="C2620" s="31" t="n">
        <x:v>350626</x:v>
      </x:c>
      <x:c r="D2620" s="22" t="str">
        <x:v>东山县</x:v>
      </x:c>
      <x:c r="E2620" s="22" t="str">
        <x:v>农用地</x:v>
      </x:c>
      <x:c r="F2620" s="22" t="str">
        <x:v>林地</x:v>
      </x:c>
      <x:c r="G2620" s="32" t="str">
        <x:v>305</x:v>
      </x:c>
      <x:c r="H2620" s="32" t="str">
        <x:v>305</x:v>
      </x:c>
      <x:c r="I2620" s="22" t="str">
        <x:v>灌木林地</x:v>
      </x:c>
      <x:c r="J2620" s="22" t="str">
        <x:v>农业生态</x:v>
      </x:c>
      <x:c r="K2620" s="32" t="str">
        <x:v>202</x:v>
      </x:c>
      <x:c r="L2620" s="22" t="str">
        <x:v>建制镇范围</x:v>
      </x:c>
      <x:c r="M2620" s="33" t="n">
        <x:v>10196.94</x:v>
      </x:c>
      <x:c r="N2620" s="33" t="n">
        <x:v>1.019694</x:v>
      </x:c>
      <x:c r="O2620" s="22" t="str">
        <x:v>公顷</x:v>
      </x:c>
      <x:c r="P2620" s="22" t="str">
        <x:v>未提供（单期横截面）</x:v>
      </x:c>
      <x:c r="Q2620" s="23" t="n">
        <x:v>5599</x:v>
      </x:c>
    </x:row>
    <x:row r="2621">
      <x:c r="A2621" s="30" t="n">
        <x:v>350600</x:v>
      </x:c>
      <x:c r="B2621" s="22" t="str">
        <x:v>漳州市</x:v>
      </x:c>
      <x:c r="C2621" s="31" t="n">
        <x:v>350626</x:v>
      </x:c>
      <x:c r="D2621" s="22" t="str">
        <x:v>东山县</x:v>
      </x:c>
      <x:c r="E2621" s="22" t="str">
        <x:v>农用地</x:v>
      </x:c>
      <x:c r="F2621" s="22" t="str">
        <x:v>林地</x:v>
      </x:c>
      <x:c r="G2621" s="32" t="str">
        <x:v>307</x:v>
      </x:c>
      <x:c r="H2621" s="32" t="str">
        <x:v>307</x:v>
      </x:c>
      <x:c r="I2621" s="22" t="str">
        <x:v>其他林地</x:v>
      </x:c>
      <x:c r="J2621" s="22" t="str">
        <x:v>农业生态</x:v>
      </x:c>
      <x:c r="K2621" s="32" t="str">
        <x:v>202</x:v>
      </x:c>
      <x:c r="L2621" s="22" t="str">
        <x:v>建制镇范围</x:v>
      </x:c>
      <x:c r="M2621" s="33" t="n">
        <x:v>36908.5</x:v>
      </x:c>
      <x:c r="N2621" s="33" t="n">
        <x:v>3.69085</x:v>
      </x:c>
      <x:c r="O2621" s="22" t="str">
        <x:v>公顷</x:v>
      </x:c>
      <x:c r="P2621" s="22" t="str">
        <x:v>未提供（单期横截面）</x:v>
      </x:c>
      <x:c r="Q2621" s="23" t="n">
        <x:v>5600</x:v>
      </x:c>
    </x:row>
    <x:row r="2622">
      <x:c r="A2622" s="30" t="n">
        <x:v>350600</x:v>
      </x:c>
      <x:c r="B2622" s="22" t="str">
        <x:v>漳州市</x:v>
      </x:c>
      <x:c r="C2622" s="31" t="n">
        <x:v>350626</x:v>
      </x:c>
      <x:c r="D2622" s="22" t="str">
        <x:v>东山县</x:v>
      </x:c>
      <x:c r="E2622" s="22" t="str">
        <x:v>农用地</x:v>
      </x:c>
      <x:c r="F2622" s="22" t="str">
        <x:v>水域及水利设施</x:v>
      </x:c>
      <x:c r="G2622" s="32" t="str">
        <x:v>1104</x:v>
      </x:c>
      <x:c r="H2622" s="32" t="str">
        <x:v>1104</x:v>
      </x:c>
      <x:c r="I2622" s="22" t="str">
        <x:v>坑塘水面</x:v>
      </x:c>
      <x:c r="J2622" s="22" t="str">
        <x:v>农业生态</x:v>
      </x:c>
      <x:c r="K2622" s="32" t="str">
        <x:v>202</x:v>
      </x:c>
      <x:c r="L2622" s="22" t="str">
        <x:v>建制镇范围</x:v>
      </x:c>
      <x:c r="M2622" s="33" t="n">
        <x:v>9281.480000000001</x:v>
      </x:c>
      <x:c r="N2622" s="33" t="n">
        <x:v>0.9281480000000001</x:v>
      </x:c>
      <x:c r="O2622" s="22" t="str">
        <x:v>公顷</x:v>
      </x:c>
      <x:c r="P2622" s="22" t="str">
        <x:v>未提供（单期横截面）</x:v>
      </x:c>
      <x:c r="Q2622" s="23" t="n">
        <x:v>5601</x:v>
      </x:c>
    </x:row>
    <x:row r="2623">
      <x:c r="A2623" s="30" t="n">
        <x:v>350600</x:v>
      </x:c>
      <x:c r="B2623" s="22" t="str">
        <x:v>漳州市</x:v>
      </x:c>
      <x:c r="C2623" s="31" t="n">
        <x:v>350626</x:v>
      </x:c>
      <x:c r="D2623" s="22" t="str">
        <x:v>东山县</x:v>
      </x:c>
      <x:c r="E2623" s="22" t="str">
        <x:v>农用地</x:v>
      </x:c>
      <x:c r="F2623" s="22" t="str">
        <x:v>其他农用地</x:v>
      </x:c>
      <x:c r="G2623" s="32" t="str">
        <x:v>1202</x:v>
      </x:c>
      <x:c r="H2623" s="32" t="str">
        <x:v>1202</x:v>
      </x:c>
      <x:c r="I2623" s="22" t="str">
        <x:v>设施农用地</x:v>
      </x:c>
      <x:c r="J2623" s="22" t="str">
        <x:v>农业生态</x:v>
      </x:c>
      <x:c r="K2623" s="32" t="str">
        <x:v>202</x:v>
      </x:c>
      <x:c r="L2623" s="22" t="str">
        <x:v>建制镇范围</x:v>
      </x:c>
      <x:c r="M2623" s="33" t="n">
        <x:v>240.4</x:v>
      </x:c>
      <x:c r="N2623" s="33" t="n">
        <x:v>0.02404</x:v>
      </x:c>
      <x:c r="O2623" s="22" t="str">
        <x:v>公顷</x:v>
      </x:c>
      <x:c r="P2623" s="22" t="str">
        <x:v>未提供（单期横截面）</x:v>
      </x:c>
      <x:c r="Q2623" s="23" t="n">
        <x:v>5602</x:v>
      </x:c>
    </x:row>
    <x:row r="2624">
      <x:c r="A2624" s="30" t="n">
        <x:v>350600</x:v>
      </x:c>
      <x:c r="B2624" s="22" t="str">
        <x:v>漳州市</x:v>
      </x:c>
      <x:c r="C2624" s="31" t="n">
        <x:v>350626</x:v>
      </x:c>
      <x:c r="D2624" s="22" t="str">
        <x:v>东山县</x:v>
      </x:c>
      <x:c r="E2624" s="22" t="str">
        <x:v>农用地</x:v>
      </x:c>
      <x:c r="F2624" s="22" t="str">
        <x:v>耕地</x:v>
      </x:c>
      <x:c r="G2624" s="32" t="str">
        <x:v>102</x:v>
      </x:c>
      <x:c r="H2624" s="32" t="str">
        <x:v>102</x:v>
      </x:c>
      <x:c r="I2624" s="22" t="str">
        <x:v>水浇地</x:v>
      </x:c>
      <x:c r="J2624" s="22" t="str">
        <x:v>农业生态</x:v>
      </x:c>
      <x:c r="K2624" s="32" t="str">
        <x:v>203</x:v>
      </x:c>
      <x:c r="L2624" s="22" t="str">
        <x:v>村庄范围</x:v>
      </x:c>
      <x:c r="M2624" s="33" t="n">
        <x:v>689.79</x:v>
      </x:c>
      <x:c r="N2624" s="33" t="n">
        <x:v>0.068979</x:v>
      </x:c>
      <x:c r="O2624" s="22" t="str">
        <x:v>公顷</x:v>
      </x:c>
      <x:c r="P2624" s="22" t="str">
        <x:v>未提供（单期横截面）</x:v>
      </x:c>
      <x:c r="Q2624" s="23" t="n">
        <x:v>5603</x:v>
      </x:c>
    </x:row>
    <x:row r="2625">
      <x:c r="A2625" s="30" t="n">
        <x:v>350600</x:v>
      </x:c>
      <x:c r="B2625" s="22" t="str">
        <x:v>漳州市</x:v>
      </x:c>
      <x:c r="C2625" s="31" t="n">
        <x:v>350626</x:v>
      </x:c>
      <x:c r="D2625" s="22" t="str">
        <x:v>东山县</x:v>
      </x:c>
      <x:c r="E2625" s="22" t="str">
        <x:v>农用地</x:v>
      </x:c>
      <x:c r="F2625" s="22" t="str">
        <x:v>耕地</x:v>
      </x:c>
      <x:c r="G2625" s="32" t="str">
        <x:v>103</x:v>
      </x:c>
      <x:c r="H2625" s="32" t="str">
        <x:v>103</x:v>
      </x:c>
      <x:c r="I2625" s="22" t="str">
        <x:v>旱地</x:v>
      </x:c>
      <x:c r="J2625" s="22" t="str">
        <x:v>农业生态</x:v>
      </x:c>
      <x:c r="K2625" s="32" t="str">
        <x:v>203</x:v>
      </x:c>
      <x:c r="L2625" s="22" t="str">
        <x:v>村庄范围</x:v>
      </x:c>
      <x:c r="M2625" s="33" t="n">
        <x:v>96963.49</x:v>
      </x:c>
      <x:c r="N2625" s="33" t="n">
        <x:v>9.696349</x:v>
      </x:c>
      <x:c r="O2625" s="22" t="str">
        <x:v>公顷</x:v>
      </x:c>
      <x:c r="P2625" s="22" t="str">
        <x:v>未提供（单期横截面）</x:v>
      </x:c>
      <x:c r="Q2625" s="23" t="n">
        <x:v>5604</x:v>
      </x:c>
    </x:row>
    <x:row r="2626">
      <x:c r="A2626" s="30" t="n">
        <x:v>350600</x:v>
      </x:c>
      <x:c r="B2626" s="22" t="str">
        <x:v>漳州市</x:v>
      </x:c>
      <x:c r="C2626" s="31" t="n">
        <x:v>350626</x:v>
      </x:c>
      <x:c r="D2626" s="22" t="str">
        <x:v>东山县</x:v>
      </x:c>
      <x:c r="E2626" s="22" t="str">
        <x:v>农用地</x:v>
      </x:c>
      <x:c r="F2626" s="22" t="str">
        <x:v>园地</x:v>
      </x:c>
      <x:c r="G2626" s="32" t="str">
        <x:v>201</x:v>
      </x:c>
      <x:c r="H2626" s="32" t="str">
        <x:v>201</x:v>
      </x:c>
      <x:c r="I2626" s="22" t="str">
        <x:v>果园</x:v>
      </x:c>
      <x:c r="J2626" s="22" t="str">
        <x:v>农业生态</x:v>
      </x:c>
      <x:c r="K2626" s="32" t="str">
        <x:v>203</x:v>
      </x:c>
      <x:c r="L2626" s="22" t="str">
        <x:v>村庄范围</x:v>
      </x:c>
      <x:c r="M2626" s="33" t="n">
        <x:v>20071.39</x:v>
      </x:c>
      <x:c r="N2626" s="33" t="n">
        <x:v>2.007139</x:v>
      </x:c>
      <x:c r="O2626" s="22" t="str">
        <x:v>公顷</x:v>
      </x:c>
      <x:c r="P2626" s="22" t="str">
        <x:v>未提供（单期横截面）</x:v>
      </x:c>
      <x:c r="Q2626" s="23" t="n">
        <x:v>5605</x:v>
      </x:c>
    </x:row>
    <x:row r="2627">
      <x:c r="A2627" s="30" t="n">
        <x:v>350600</x:v>
      </x:c>
      <x:c r="B2627" s="22" t="str">
        <x:v>漳州市</x:v>
      </x:c>
      <x:c r="C2627" s="31" t="n">
        <x:v>350626</x:v>
      </x:c>
      <x:c r="D2627" s="22" t="str">
        <x:v>东山县</x:v>
      </x:c>
      <x:c r="E2627" s="22" t="str">
        <x:v>农用地</x:v>
      </x:c>
      <x:c r="F2627" s="22" t="str">
        <x:v>林地</x:v>
      </x:c>
      <x:c r="G2627" s="32" t="str">
        <x:v>301</x:v>
      </x:c>
      <x:c r="H2627" s="32" t="str">
        <x:v>301</x:v>
      </x:c>
      <x:c r="I2627" s="22" t="str">
        <x:v>乔木林地</x:v>
      </x:c>
      <x:c r="J2627" s="22" t="str">
        <x:v>农业生态</x:v>
      </x:c>
      <x:c r="K2627" s="32" t="str">
        <x:v>203</x:v>
      </x:c>
      <x:c r="L2627" s="22" t="str">
        <x:v>村庄范围</x:v>
      </x:c>
      <x:c r="M2627" s="33" t="n">
        <x:v>103405.43999999999</x:v>
      </x:c>
      <x:c r="N2627" s="33" t="n">
        <x:v>10.340544</x:v>
      </x:c>
      <x:c r="O2627" s="22" t="str">
        <x:v>公顷</x:v>
      </x:c>
      <x:c r="P2627" s="22" t="str">
        <x:v>未提供（单期横截面）</x:v>
      </x:c>
      <x:c r="Q2627" s="23" t="n">
        <x:v>5606</x:v>
      </x:c>
    </x:row>
    <x:row r="2628">
      <x:c r="A2628" s="30" t="n">
        <x:v>350600</x:v>
      </x:c>
      <x:c r="B2628" s="22" t="str">
        <x:v>漳州市</x:v>
      </x:c>
      <x:c r="C2628" s="31" t="n">
        <x:v>350626</x:v>
      </x:c>
      <x:c r="D2628" s="22" t="str">
        <x:v>东山县</x:v>
      </x:c>
      <x:c r="E2628" s="22" t="str">
        <x:v>农用地</x:v>
      </x:c>
      <x:c r="F2628" s="22" t="str">
        <x:v>林地</x:v>
      </x:c>
      <x:c r="G2628" s="32" t="str">
        <x:v>302</x:v>
      </x:c>
      <x:c r="H2628" s="32" t="str">
        <x:v>302</x:v>
      </x:c>
      <x:c r="I2628" s="22" t="str">
        <x:v>竹林地</x:v>
      </x:c>
      <x:c r="J2628" s="22" t="str">
        <x:v>农业生态</x:v>
      </x:c>
      <x:c r="K2628" s="32" t="str">
        <x:v>203</x:v>
      </x:c>
      <x:c r="L2628" s="22" t="str">
        <x:v>村庄范围</x:v>
      </x:c>
      <x:c r="M2628" s="33" t="n">
        <x:v>1499.33</x:v>
      </x:c>
      <x:c r="N2628" s="33" t="n">
        <x:v>0.14993299999999998</x:v>
      </x:c>
      <x:c r="O2628" s="22" t="str">
        <x:v>公顷</x:v>
      </x:c>
      <x:c r="P2628" s="22" t="str">
        <x:v>未提供（单期横截面）</x:v>
      </x:c>
      <x:c r="Q2628" s="23" t="n">
        <x:v>5607</x:v>
      </x:c>
    </x:row>
    <x:row r="2629">
      <x:c r="A2629" s="30" t="n">
        <x:v>350600</x:v>
      </x:c>
      <x:c r="B2629" s="22" t="str">
        <x:v>漳州市</x:v>
      </x:c>
      <x:c r="C2629" s="31" t="n">
        <x:v>350626</x:v>
      </x:c>
      <x:c r="D2629" s="22" t="str">
        <x:v>东山县</x:v>
      </x:c>
      <x:c r="E2629" s="22" t="str">
        <x:v>农用地</x:v>
      </x:c>
      <x:c r="F2629" s="22" t="str">
        <x:v>林地</x:v>
      </x:c>
      <x:c r="G2629" s="32" t="str">
        <x:v>305</x:v>
      </x:c>
      <x:c r="H2629" s="32" t="str">
        <x:v>305</x:v>
      </x:c>
      <x:c r="I2629" s="22" t="str">
        <x:v>灌木林地</x:v>
      </x:c>
      <x:c r="J2629" s="22" t="str">
        <x:v>农业生态</x:v>
      </x:c>
      <x:c r="K2629" s="32" t="str">
        <x:v>203</x:v>
      </x:c>
      <x:c r="L2629" s="22" t="str">
        <x:v>村庄范围</x:v>
      </x:c>
      <x:c r="M2629" s="33" t="n">
        <x:v>3207.61</x:v>
      </x:c>
      <x:c r="N2629" s="33" t="n">
        <x:v>0.320761</x:v>
      </x:c>
      <x:c r="O2629" s="22" t="str">
        <x:v>公顷</x:v>
      </x:c>
      <x:c r="P2629" s="22" t="str">
        <x:v>未提供（单期横截面）</x:v>
      </x:c>
      <x:c r="Q2629" s="23" t="n">
        <x:v>5608</x:v>
      </x:c>
    </x:row>
    <x:row r="2630">
      <x:c r="A2630" s="30" t="n">
        <x:v>350600</x:v>
      </x:c>
      <x:c r="B2630" s="22" t="str">
        <x:v>漳州市</x:v>
      </x:c>
      <x:c r="C2630" s="31" t="n">
        <x:v>350626</x:v>
      </x:c>
      <x:c r="D2630" s="22" t="str">
        <x:v>东山县</x:v>
      </x:c>
      <x:c r="E2630" s="22" t="str">
        <x:v>农用地</x:v>
      </x:c>
      <x:c r="F2630" s="22" t="str">
        <x:v>林地</x:v>
      </x:c>
      <x:c r="G2630" s="32" t="str">
        <x:v>307</x:v>
      </x:c>
      <x:c r="H2630" s="32" t="str">
        <x:v>307</x:v>
      </x:c>
      <x:c r="I2630" s="22" t="str">
        <x:v>其他林地</x:v>
      </x:c>
      <x:c r="J2630" s="22" t="str">
        <x:v>农业生态</x:v>
      </x:c>
      <x:c r="K2630" s="32" t="str">
        <x:v>203</x:v>
      </x:c>
      <x:c r="L2630" s="22" t="str">
        <x:v>村庄范围</x:v>
      </x:c>
      <x:c r="M2630" s="33" t="n">
        <x:v>8643.470000000001</x:v>
      </x:c>
      <x:c r="N2630" s="33" t="n">
        <x:v>0.8643470000000001</x:v>
      </x:c>
      <x:c r="O2630" s="22" t="str">
        <x:v>公顷</x:v>
      </x:c>
      <x:c r="P2630" s="22" t="str">
        <x:v>未提供（单期横截面）</x:v>
      </x:c>
      <x:c r="Q2630" s="23" t="n">
        <x:v>5609</x:v>
      </x:c>
    </x:row>
    <x:row r="2631">
      <x:c r="A2631" s="30" t="n">
        <x:v>350600</x:v>
      </x:c>
      <x:c r="B2631" s="22" t="str">
        <x:v>漳州市</x:v>
      </x:c>
      <x:c r="C2631" s="31" t="n">
        <x:v>350626</x:v>
      </x:c>
      <x:c r="D2631" s="22" t="str">
        <x:v>东山县</x:v>
      </x:c>
      <x:c r="E2631" s="22" t="str">
        <x:v>农用地</x:v>
      </x:c>
      <x:c r="F2631" s="22" t="str">
        <x:v>水域及水利设施</x:v>
      </x:c>
      <x:c r="G2631" s="32" t="str">
        <x:v>1104</x:v>
      </x:c>
      <x:c r="H2631" s="32" t="str">
        <x:v>1104</x:v>
      </x:c>
      <x:c r="I2631" s="22" t="str">
        <x:v>坑塘水面</x:v>
      </x:c>
      <x:c r="J2631" s="22" t="str">
        <x:v>农业生态</x:v>
      </x:c>
      <x:c r="K2631" s="32" t="str">
        <x:v>203</x:v>
      </x:c>
      <x:c r="L2631" s="22" t="str">
        <x:v>村庄范围</x:v>
      </x:c>
      <x:c r="M2631" s="33" t="n">
        <x:v>40346.51000000001</x:v>
      </x:c>
      <x:c r="N2631" s="33" t="n">
        <x:v>4.034651000000001</x:v>
      </x:c>
      <x:c r="O2631" s="22" t="str">
        <x:v>公顷</x:v>
      </x:c>
      <x:c r="P2631" s="22" t="str">
        <x:v>未提供（单期横截面）</x:v>
      </x:c>
      <x:c r="Q2631" s="23" t="n">
        <x:v>5610</x:v>
      </x:c>
    </x:row>
    <x:row r="2632">
      <x:c r="A2632" s="30" t="n">
        <x:v>350600</x:v>
      </x:c>
      <x:c r="B2632" s="22" t="str">
        <x:v>漳州市</x:v>
      </x:c>
      <x:c r="C2632" s="31" t="n">
        <x:v>350626</x:v>
      </x:c>
      <x:c r="D2632" s="22" t="str">
        <x:v>东山县</x:v>
      </x:c>
      <x:c r="E2632" s="22" t="str">
        <x:v>农用地</x:v>
      </x:c>
      <x:c r="F2632" s="22" t="str">
        <x:v>水域及水利设施</x:v>
      </x:c>
      <x:c r="G2632" s="32" t="str">
        <x:v>1104A</x:v>
      </x:c>
      <x:c r="H2632" s="32" t="str">
        <x:v>1104</x:v>
      </x:c>
      <x:c r="I2632" s="22" t="str">
        <x:v>养殖坑塘</x:v>
      </x:c>
      <x:c r="J2632" s="22" t="str">
        <x:v>农业生态</x:v>
      </x:c>
      <x:c r="K2632" s="32" t="str">
        <x:v>203</x:v>
      </x:c>
      <x:c r="L2632" s="22" t="str">
        <x:v>村庄范围</x:v>
      </x:c>
      <x:c r="M2632" s="33" t="n">
        <x:v>1453.38</x:v>
      </x:c>
      <x:c r="N2632" s="33" t="n">
        <x:v>0.14533800000000002</x:v>
      </x:c>
      <x:c r="O2632" s="22" t="str">
        <x:v>公顷</x:v>
      </x:c>
      <x:c r="P2632" s="22" t="str">
        <x:v>未提供（单期横截面）</x:v>
      </x:c>
      <x:c r="Q2632" s="23" t="n">
        <x:v>5611</x:v>
      </x:c>
    </x:row>
    <x:row r="2633">
      <x:c r="A2633" s="30" t="n">
        <x:v>350600</x:v>
      </x:c>
      <x:c r="B2633" s="22" t="str">
        <x:v>漳州市</x:v>
      </x:c>
      <x:c r="C2633" s="31" t="n">
        <x:v>350626</x:v>
      </x:c>
      <x:c r="D2633" s="22" t="str">
        <x:v>东山县</x:v>
      </x:c>
      <x:c r="E2633" s="22" t="str">
        <x:v>农用地</x:v>
      </x:c>
      <x:c r="F2633" s="22" t="str">
        <x:v>水域及水利设施</x:v>
      </x:c>
      <x:c r="G2633" s="32" t="str">
        <x:v>1107</x:v>
      </x:c>
      <x:c r="H2633" s="32" t="str">
        <x:v>1107</x:v>
      </x:c>
      <x:c r="I2633" s="22" t="str">
        <x:v>沟渠</x:v>
      </x:c>
      <x:c r="J2633" s="22" t="str">
        <x:v>农业生态</x:v>
      </x:c>
      <x:c r="K2633" s="32" t="str">
        <x:v>203</x:v>
      </x:c>
      <x:c r="L2633" s="22" t="str">
        <x:v>村庄范围</x:v>
      </x:c>
      <x:c r="M2633" s="33" t="n">
        <x:v>8542.99</x:v>
      </x:c>
      <x:c r="N2633" s="33" t="n">
        <x:v>0.854299</x:v>
      </x:c>
      <x:c r="O2633" s="22" t="str">
        <x:v>公顷</x:v>
      </x:c>
      <x:c r="P2633" s="22" t="str">
        <x:v>未提供（单期横截面）</x:v>
      </x:c>
      <x:c r="Q2633" s="23" t="n">
        <x:v>5612</x:v>
      </x:c>
    </x:row>
    <x:row r="2634">
      <x:c r="A2634" s="30" t="n">
        <x:v>350600</x:v>
      </x:c>
      <x:c r="B2634" s="22" t="str">
        <x:v>漳州市</x:v>
      </x:c>
      <x:c r="C2634" s="31" t="n">
        <x:v>350626</x:v>
      </x:c>
      <x:c r="D2634" s="22" t="str">
        <x:v>东山县</x:v>
      </x:c>
      <x:c r="E2634" s="22" t="str">
        <x:v>农用地</x:v>
      </x:c>
      <x:c r="F2634" s="22" t="str">
        <x:v>其他农用地</x:v>
      </x:c>
      <x:c r="G2634" s="32" t="str">
        <x:v>1202</x:v>
      </x:c>
      <x:c r="H2634" s="32" t="str">
        <x:v>1202</x:v>
      </x:c>
      <x:c r="I2634" s="22" t="str">
        <x:v>设施农用地</x:v>
      </x:c>
      <x:c r="J2634" s="22" t="str">
        <x:v>农业生态</x:v>
      </x:c>
      <x:c r="K2634" s="32" t="str">
        <x:v>203</x:v>
      </x:c>
      <x:c r="L2634" s="22" t="str">
        <x:v>村庄范围</x:v>
      </x:c>
      <x:c r="M2634" s="33" t="n">
        <x:v>7492.49</x:v>
      </x:c>
      <x:c r="N2634" s="33" t="n">
        <x:v>0.7492489999999999</x:v>
      </x:c>
      <x:c r="O2634" s="22" t="str">
        <x:v>公顷</x:v>
      </x:c>
      <x:c r="P2634" s="22" t="str">
        <x:v>未提供（单期横截面）</x:v>
      </x:c>
      <x:c r="Q2634" s="23" t="n">
        <x:v>5613</x:v>
      </x:c>
    </x:row>
    <x:row r="2635">
      <x:c r="A2635" s="30" t="n">
        <x:v>350600</x:v>
      </x:c>
      <x:c r="B2635" s="22" t="str">
        <x:v>漳州市</x:v>
      </x:c>
      <x:c r="C2635" s="31" t="n">
        <x:v>350626</x:v>
      </x:c>
      <x:c r="D2635" s="22" t="str">
        <x:v>东山县</x:v>
      </x:c>
      <x:c r="E2635" s="22" t="str">
        <x:v>农用地</x:v>
      </x:c>
      <x:c r="F2635" s="22" t="str">
        <x:v>林地</x:v>
      </x:c>
      <x:c r="G2635" s="32" t="str">
        <x:v>307</x:v>
      </x:c>
      <x:c r="H2635" s="32" t="str">
        <x:v>307</x:v>
      </x:c>
      <x:c r="I2635" s="22" t="str">
        <x:v>其他林地</x:v>
      </x:c>
      <x:c r="J2635" s="22" t="str">
        <x:v>农业生态</x:v>
      </x:c>
      <x:c r="K2635" s="32" t="str">
        <x:v>204</x:v>
      </x:c>
      <x:c r="L2635" s="22" t="str">
        <x:v>盐田及采矿用地</x:v>
      </x:c>
      <x:c r="M2635" s="33" t="n">
        <x:v>280.45</x:v>
      </x:c>
      <x:c r="N2635" s="33" t="n">
        <x:v>0.028045</x:v>
      </x:c>
      <x:c r="O2635" s="22" t="str">
        <x:v>公顷</x:v>
      </x:c>
      <x:c r="P2635" s="22" t="str">
        <x:v>未提供（单期横截面）</x:v>
      </x:c>
      <x:c r="Q2635" s="23" t="n">
        <x:v>5614</x:v>
      </x:c>
    </x:row>
    <x:row r="2636">
      <x:c r="A2636" s="30" t="n">
        <x:v>350600</x:v>
      </x:c>
      <x:c r="B2636" s="22" t="str">
        <x:v>漳州市</x:v>
      </x:c>
      <x:c r="C2636" s="31" t="n">
        <x:v>350626</x:v>
      </x:c>
      <x:c r="D2636" s="22" t="str">
        <x:v>东山县</x:v>
      </x:c>
      <x:c r="E2636" s="22" t="str">
        <x:v>未利用地</x:v>
      </x:c>
      <x:c r="F2636" s="22" t="str">
        <x:v>草地</x:v>
      </x:c>
      <x:c r="G2636" s="32" t="str">
        <x:v>404</x:v>
      </x:c>
      <x:c r="H2636" s="32" t="str">
        <x:v>404</x:v>
      </x:c>
      <x:c r="I2636" s="22" t="str">
        <x:v>其他草地</x:v>
      </x:c>
      <x:c r="J2636" s="22" t="str">
        <x:v>农业生态</x:v>
      </x:c>
      <x:c r="K2636" s="32" t="str"/>
      <x:c r="L2636" s="22" t="str">
        <x:v>不适用/未标注</x:v>
      </x:c>
      <x:c r="M2636" s="33" t="n">
        <x:v>2917493.529999998</x:v>
      </x:c>
      <x:c r="N2636" s="33" t="n">
        <x:v>291.7493529999998</x:v>
      </x:c>
      <x:c r="O2636" s="22" t="str">
        <x:v>公顷</x:v>
      </x:c>
      <x:c r="P2636" s="22" t="str">
        <x:v>未提供（单期横截面）</x:v>
      </x:c>
      <x:c r="Q2636" s="23" t="n">
        <x:v>5615</x:v>
      </x:c>
    </x:row>
    <x:row r="2637">
      <x:c r="A2637" s="30" t="n">
        <x:v>350600</x:v>
      </x:c>
      <x:c r="B2637" s="22" t="str">
        <x:v>漳州市</x:v>
      </x:c>
      <x:c r="C2637" s="31" t="n">
        <x:v>350626</x:v>
      </x:c>
      <x:c r="D2637" s="22" t="str">
        <x:v>东山县</x:v>
      </x:c>
      <x:c r="E2637" s="22" t="str">
        <x:v>未利用地</x:v>
      </x:c>
      <x:c r="F2637" s="22" t="str">
        <x:v>水域及水利设施</x:v>
      </x:c>
      <x:c r="G2637" s="32" t="str">
        <x:v>1101</x:v>
      </x:c>
      <x:c r="H2637" s="32" t="str">
        <x:v>1101</x:v>
      </x:c>
      <x:c r="I2637" s="22" t="str">
        <x:v>河流水面</x:v>
      </x:c>
      <x:c r="J2637" s="22" t="str">
        <x:v>农业生态</x:v>
      </x:c>
      <x:c r="K2637" s="32" t="str"/>
      <x:c r="L2637" s="22" t="str">
        <x:v>不适用/未标注</x:v>
      </x:c>
      <x:c r="M2637" s="33" t="n">
        <x:v>2310191.25</x:v>
      </x:c>
      <x:c r="N2637" s="33" t="n">
        <x:v>231.019125</x:v>
      </x:c>
      <x:c r="O2637" s="22" t="str">
        <x:v>公顷</x:v>
      </x:c>
      <x:c r="P2637" s="22" t="str">
        <x:v>未提供（单期横截面）</x:v>
      </x:c>
      <x:c r="Q2637" s="23" t="n">
        <x:v>5616</x:v>
      </x:c>
    </x:row>
    <x:row r="2638">
      <x:c r="A2638" s="30" t="n">
        <x:v>350600</x:v>
      </x:c>
      <x:c r="B2638" s="22" t="str">
        <x:v>漳州市</x:v>
      </x:c>
      <x:c r="C2638" s="31" t="n">
        <x:v>350626</x:v>
      </x:c>
      <x:c r="D2638" s="22" t="str">
        <x:v>东山县</x:v>
      </x:c>
      <x:c r="E2638" s="22" t="str">
        <x:v>未利用地</x:v>
      </x:c>
      <x:c r="F2638" s="22" t="str">
        <x:v>水域及水利设施</x:v>
      </x:c>
      <x:c r="G2638" s="32" t="str">
        <x:v>1105</x:v>
      </x:c>
      <x:c r="H2638" s="32" t="str">
        <x:v>1105</x:v>
      </x:c>
      <x:c r="I2638" s="22" t="str">
        <x:v>沿海滩涂</x:v>
      </x:c>
      <x:c r="J2638" s="22" t="str">
        <x:v>农业生态</x:v>
      </x:c>
      <x:c r="K2638" s="32" t="str"/>
      <x:c r="L2638" s="22" t="str">
        <x:v>不适用/未标注</x:v>
      </x:c>
      <x:c r="M2638" s="33" t="n">
        <x:v>18866773.66</x:v>
      </x:c>
      <x:c r="N2638" s="33" t="n">
        <x:v>1886.6773660000001</x:v>
      </x:c>
      <x:c r="O2638" s="22" t="str">
        <x:v>公顷</x:v>
      </x:c>
      <x:c r="P2638" s="22" t="str">
        <x:v>未提供（单期横截面）</x:v>
      </x:c>
      <x:c r="Q2638" s="23" t="n">
        <x:v>5617</x:v>
      </x:c>
    </x:row>
    <x:row r="2639">
      <x:c r="A2639" s="30" t="n">
        <x:v>350600</x:v>
      </x:c>
      <x:c r="B2639" s="22" t="str">
        <x:v>漳州市</x:v>
      </x:c>
      <x:c r="C2639" s="31" t="n">
        <x:v>350626</x:v>
      </x:c>
      <x:c r="D2639" s="22" t="str">
        <x:v>东山县</x:v>
      </x:c>
      <x:c r="E2639" s="22" t="str">
        <x:v>未利用地</x:v>
      </x:c>
      <x:c r="F2639" s="22" t="str">
        <x:v>水域及水利设施</x:v>
      </x:c>
      <x:c r="G2639" s="32" t="str">
        <x:v>1106</x:v>
      </x:c>
      <x:c r="H2639" s="32" t="str">
        <x:v>1106</x:v>
      </x:c>
      <x:c r="I2639" s="22" t="str">
        <x:v>内陆滩涂</x:v>
      </x:c>
      <x:c r="J2639" s="22" t="str">
        <x:v>农业生态</x:v>
      </x:c>
      <x:c r="K2639" s="32" t="str"/>
      <x:c r="L2639" s="22" t="str">
        <x:v>不适用/未标注</x:v>
      </x:c>
      <x:c r="M2639" s="33" t="n">
        <x:v>66587.84</x:v>
      </x:c>
      <x:c r="N2639" s="33" t="n">
        <x:v>6.658784</x:v>
      </x:c>
      <x:c r="O2639" s="22" t="str">
        <x:v>公顷</x:v>
      </x:c>
      <x:c r="P2639" s="22" t="str">
        <x:v>未提供（单期横截面）</x:v>
      </x:c>
      <x:c r="Q2639" s="23" t="n">
        <x:v>5618</x:v>
      </x:c>
    </x:row>
    <x:row r="2640">
      <x:c r="A2640" s="30" t="n">
        <x:v>350600</x:v>
      </x:c>
      <x:c r="B2640" s="22" t="str">
        <x:v>漳州市</x:v>
      </x:c>
      <x:c r="C2640" s="31" t="n">
        <x:v>350626</x:v>
      </x:c>
      <x:c r="D2640" s="22" t="str">
        <x:v>东山县</x:v>
      </x:c>
      <x:c r="E2640" s="22" t="str">
        <x:v>未利用地</x:v>
      </x:c>
      <x:c r="F2640" s="22" t="str">
        <x:v>未利用地</x:v>
      </x:c>
      <x:c r="G2640" s="32" t="str">
        <x:v>1206</x:v>
      </x:c>
      <x:c r="H2640" s="32" t="str">
        <x:v>1206</x:v>
      </x:c>
      <x:c r="I2640" s="22" t="str">
        <x:v>裸土地</x:v>
      </x:c>
      <x:c r="J2640" s="22" t="str">
        <x:v>未利用地</x:v>
      </x:c>
      <x:c r="K2640" s="32" t="str"/>
      <x:c r="L2640" s="22" t="str">
        <x:v>不适用/未标注</x:v>
      </x:c>
      <x:c r="M2640" s="33" t="n">
        <x:v>91685.98999999999</x:v>
      </x:c>
      <x:c r="N2640" s="33" t="n">
        <x:v>9.168598999999999</x:v>
      </x:c>
      <x:c r="O2640" s="22" t="str">
        <x:v>公顷</x:v>
      </x:c>
      <x:c r="P2640" s="22" t="str">
        <x:v>未提供（单期横截面）</x:v>
      </x:c>
      <x:c r="Q2640" s="23" t="n">
        <x:v>5619</x:v>
      </x:c>
    </x:row>
    <x:row r="2641">
      <x:c r="A2641" s="30" t="n">
        <x:v>350600</x:v>
      </x:c>
      <x:c r="B2641" s="22" t="str">
        <x:v>漳州市</x:v>
      </x:c>
      <x:c r="C2641" s="31" t="n">
        <x:v>350626</x:v>
      </x:c>
      <x:c r="D2641" s="22" t="str">
        <x:v>东山县</x:v>
      </x:c>
      <x:c r="E2641" s="22" t="str">
        <x:v>未利用地</x:v>
      </x:c>
      <x:c r="F2641" s="22" t="str">
        <x:v>未利用地</x:v>
      </x:c>
      <x:c r="G2641" s="32" t="str">
        <x:v>1207</x:v>
      </x:c>
      <x:c r="H2641" s="32" t="str">
        <x:v>1207</x:v>
      </x:c>
      <x:c r="I2641" s="22" t="str">
        <x:v>裸岩石砾地</x:v>
      </x:c>
      <x:c r="J2641" s="22" t="str">
        <x:v>未利用地</x:v>
      </x:c>
      <x:c r="K2641" s="32" t="str"/>
      <x:c r="L2641" s="22" t="str">
        <x:v>不适用/未标注</x:v>
      </x:c>
      <x:c r="M2641" s="33" t="n">
        <x:v>1949315.4899999993</x:v>
      </x:c>
      <x:c r="N2641" s="33" t="n">
        <x:v>194.93154899999993</x:v>
      </x:c>
      <x:c r="O2641" s="22" t="str">
        <x:v>公顷</x:v>
      </x:c>
      <x:c r="P2641" s="22" t="str">
        <x:v>未提供（单期横截面）</x:v>
      </x:c>
      <x:c r="Q2641" s="23" t="n">
        <x:v>5620</x:v>
      </x:c>
    </x:row>
    <x:row r="2642">
      <x:c r="A2642" s="30" t="n">
        <x:v>350600</x:v>
      </x:c>
      <x:c r="B2642" s="22" t="str">
        <x:v>漳州市</x:v>
      </x:c>
      <x:c r="C2642" s="31" t="n">
        <x:v>350626</x:v>
      </x:c>
      <x:c r="D2642" s="22" t="str">
        <x:v>东山县</x:v>
      </x:c>
      <x:c r="E2642" s="22" t="str">
        <x:v>未利用地</x:v>
      </x:c>
      <x:c r="F2642" s="22" t="str">
        <x:v>草地</x:v>
      </x:c>
      <x:c r="G2642" s="32" t="str">
        <x:v>404</x:v>
      </x:c>
      <x:c r="H2642" s="32" t="str">
        <x:v>404</x:v>
      </x:c>
      <x:c r="I2642" s="22" t="str">
        <x:v>其他草地</x:v>
      </x:c>
      <x:c r="J2642" s="22" t="str">
        <x:v>农业生态</x:v>
      </x:c>
      <x:c r="K2642" s="32" t="str">
        <x:v>202</x:v>
      </x:c>
      <x:c r="L2642" s="22" t="str">
        <x:v>建制镇范围</x:v>
      </x:c>
      <x:c r="M2642" s="33" t="n">
        <x:v>17409.07</x:v>
      </x:c>
      <x:c r="N2642" s="33" t="n">
        <x:v>1.740907</x:v>
      </x:c>
      <x:c r="O2642" s="22" t="str">
        <x:v>公顷</x:v>
      </x:c>
      <x:c r="P2642" s="22" t="str">
        <x:v>未提供（单期横截面）</x:v>
      </x:c>
      <x:c r="Q2642" s="23" t="n">
        <x:v>5621</x:v>
      </x:c>
    </x:row>
    <x:row r="2643">
      <x:c r="A2643" s="30" t="n">
        <x:v>350600</x:v>
      </x:c>
      <x:c r="B2643" s="22" t="str">
        <x:v>漳州市</x:v>
      </x:c>
      <x:c r="C2643" s="31" t="n">
        <x:v>350626</x:v>
      </x:c>
      <x:c r="D2643" s="22" t="str">
        <x:v>东山县</x:v>
      </x:c>
      <x:c r="E2643" s="22" t="str">
        <x:v>未利用地</x:v>
      </x:c>
      <x:c r="F2643" s="22" t="str">
        <x:v>草地</x:v>
      </x:c>
      <x:c r="G2643" s="32" t="str">
        <x:v>404</x:v>
      </x:c>
      <x:c r="H2643" s="32" t="str">
        <x:v>404</x:v>
      </x:c>
      <x:c r="I2643" s="22" t="str">
        <x:v>其他草地</x:v>
      </x:c>
      <x:c r="J2643" s="22" t="str">
        <x:v>农业生态</x:v>
      </x:c>
      <x:c r="K2643" s="32" t="str">
        <x:v>203</x:v>
      </x:c>
      <x:c r="L2643" s="22" t="str">
        <x:v>村庄范围</x:v>
      </x:c>
      <x:c r="M2643" s="33" t="n">
        <x:v>6173.12</x:v>
      </x:c>
      <x:c r="N2643" s="33" t="n">
        <x:v>0.617312</x:v>
      </x:c>
      <x:c r="O2643" s="22" t="str">
        <x:v>公顷</x:v>
      </x:c>
      <x:c r="P2643" s="22" t="str">
        <x:v>未提供（单期横截面）</x:v>
      </x:c>
      <x:c r="Q2643" s="23" t="n">
        <x:v>5622</x:v>
      </x:c>
    </x:row>
    <x:row r="2644">
      <x:c r="A2644" s="30" t="n">
        <x:v>350600</x:v>
      </x:c>
      <x:c r="B2644" s="22" t="str">
        <x:v>漳州市</x:v>
      </x:c>
      <x:c r="C2644" s="31" t="n">
        <x:v>350627</x:v>
      </x:c>
      <x:c r="D2644" s="22" t="str">
        <x:v>南靖县</x:v>
      </x:c>
      <x:c r="E2644" s="22" t="str">
        <x:v>建设用地</x:v>
      </x:c>
      <x:c r="F2644" s="22" t="str">
        <x:v>交通运输用地</x:v>
      </x:c>
      <x:c r="G2644" s="32" t="str">
        <x:v>1001</x:v>
      </x:c>
      <x:c r="H2644" s="32" t="str">
        <x:v>1001</x:v>
      </x:c>
      <x:c r="I2644" s="22" t="str">
        <x:v>铁路用地</x:v>
      </x:c>
      <x:c r="J2644" s="22" t="str">
        <x:v>交通门户</x:v>
      </x:c>
      <x:c r="K2644" s="32" t="str"/>
      <x:c r="L2644" s="22" t="str">
        <x:v>不适用/未标注</x:v>
      </x:c>
      <x:c r="M2644" s="33" t="n">
        <x:v>1779499.87</x:v>
      </x:c>
      <x:c r="N2644" s="33" t="n">
        <x:v>177.94998700000002</x:v>
      </x:c>
      <x:c r="O2644" s="22" t="str">
        <x:v>公顷</x:v>
      </x:c>
      <x:c r="P2644" s="22" t="str">
        <x:v>未提供（单期横截面）</x:v>
      </x:c>
      <x:c r="Q2644" s="23" t="n">
        <x:v>5623</x:v>
      </x:c>
    </x:row>
    <x:row r="2645">
      <x:c r="A2645" s="30" t="n">
        <x:v>350600</x:v>
      </x:c>
      <x:c r="B2645" s="22" t="str">
        <x:v>漳州市</x:v>
      </x:c>
      <x:c r="C2645" s="31" t="n">
        <x:v>350627</x:v>
      </x:c>
      <x:c r="D2645" s="22" t="str">
        <x:v>南靖县</x:v>
      </x:c>
      <x:c r="E2645" s="22" t="str">
        <x:v>建设用地</x:v>
      </x:c>
      <x:c r="F2645" s="22" t="str">
        <x:v>交通运输用地</x:v>
      </x:c>
      <x:c r="G2645" s="32" t="str">
        <x:v>1003</x:v>
      </x:c>
      <x:c r="H2645" s="32" t="str">
        <x:v>1003</x:v>
      </x:c>
      <x:c r="I2645" s="22" t="str">
        <x:v>公路用地</x:v>
      </x:c>
      <x:c r="J2645" s="22" t="str">
        <x:v>交通门户</x:v>
      </x:c>
      <x:c r="K2645" s="32" t="str"/>
      <x:c r="L2645" s="22" t="str">
        <x:v>不适用/未标注</x:v>
      </x:c>
      <x:c r="M2645" s="33" t="n">
        <x:v>22719640.930000015</x:v>
      </x:c>
      <x:c r="N2645" s="33" t="n">
        <x:v>2271.9640930000014</x:v>
      </x:c>
      <x:c r="O2645" s="22" t="str">
        <x:v>公顷</x:v>
      </x:c>
      <x:c r="P2645" s="22" t="str">
        <x:v>未提供（单期横截面）</x:v>
      </x:c>
      <x:c r="Q2645" s="23" t="n">
        <x:v>5624</x:v>
      </x:c>
    </x:row>
    <x:row r="2646">
      <x:c r="A2646" s="30" t="n">
        <x:v>350600</x:v>
      </x:c>
      <x:c r="B2646" s="22" t="str">
        <x:v>漳州市</x:v>
      </x:c>
      <x:c r="C2646" s="31" t="n">
        <x:v>350627</x:v>
      </x:c>
      <x:c r="D2646" s="22" t="str">
        <x:v>南靖县</x:v>
      </x:c>
      <x:c r="E2646" s="22" t="str">
        <x:v>建设用地</x:v>
      </x:c>
      <x:c r="F2646" s="22" t="str">
        <x:v>水域及水利设施</x:v>
      </x:c>
      <x:c r="G2646" s="32" t="str">
        <x:v>1109</x:v>
      </x:c>
      <x:c r="H2646" s="32" t="str">
        <x:v>1109</x:v>
      </x:c>
      <x:c r="I2646" s="22" t="str">
        <x:v>水工建筑用地</x:v>
      </x:c>
      <x:c r="J2646" s="22" t="str">
        <x:v>其他建设</x:v>
      </x:c>
      <x:c r="K2646" s="32" t="str"/>
      <x:c r="L2646" s="22" t="str">
        <x:v>不适用/未标注</x:v>
      </x:c>
      <x:c r="M2646" s="33" t="n">
        <x:v>2610567.79</x:v>
      </x:c>
      <x:c r="N2646" s="33" t="n">
        <x:v>261.056779</x:v>
      </x:c>
      <x:c r="O2646" s="22" t="str">
        <x:v>公顷</x:v>
      </x:c>
      <x:c r="P2646" s="22" t="str">
        <x:v>未提供（单期横截面）</x:v>
      </x:c>
      <x:c r="Q2646" s="23" t="n">
        <x:v>5625</x:v>
      </x:c>
    </x:row>
    <x:row r="2647">
      <x:c r="A2647" s="30" t="n">
        <x:v>350600</x:v>
      </x:c>
      <x:c r="B2647" s="22" t="str">
        <x:v>漳州市</x:v>
      </x:c>
      <x:c r="C2647" s="31" t="n">
        <x:v>350627</x:v>
      </x:c>
      <x:c r="D2647" s="22" t="str">
        <x:v>南靖县</x:v>
      </x:c>
      <x:c r="E2647" s="22" t="str">
        <x:v>建设用地</x:v>
      </x:c>
      <x:c r="F2647" s="22" t="str">
        <x:v>工矿仓储用地</x:v>
      </x:c>
      <x:c r="G2647" s="32" t="str">
        <x:v>508</x:v>
      </x:c>
      <x:c r="H2647" s="32" t="str">
        <x:v>508</x:v>
      </x:c>
      <x:c r="I2647" s="22" t="str">
        <x:v>物流仓储用地</x:v>
      </x:c>
      <x:c r="J2647" s="22" t="str">
        <x:v>产业功能</x:v>
      </x:c>
      <x:c r="K2647" s="32" t="str">
        <x:v>202</x:v>
      </x:c>
      <x:c r="L2647" s="22" t="str">
        <x:v>建制镇范围</x:v>
      </x:c>
      <x:c r="M2647" s="33" t="n">
        <x:v>188107.74</x:v>
      </x:c>
      <x:c r="N2647" s="33" t="n">
        <x:v>18.810774</x:v>
      </x:c>
      <x:c r="O2647" s="22" t="str">
        <x:v>公顷</x:v>
      </x:c>
      <x:c r="P2647" s="22" t="str">
        <x:v>未提供（单期横截面）</x:v>
      </x:c>
      <x:c r="Q2647" s="23" t="n">
        <x:v>5626</x:v>
      </x:c>
    </x:row>
    <x:row r="2648">
      <x:c r="A2648" s="30" t="n">
        <x:v>350600</x:v>
      </x:c>
      <x:c r="B2648" s="22" t="str">
        <x:v>漳州市</x:v>
      </x:c>
      <x:c r="C2648" s="31" t="n">
        <x:v>350627</x:v>
      </x:c>
      <x:c r="D2648" s="22" t="str">
        <x:v>南靖县</x:v>
      </x:c>
      <x:c r="E2648" s="22" t="str">
        <x:v>建设用地</x:v>
      </x:c>
      <x:c r="F2648" s="22" t="str">
        <x:v>商业服务业用地</x:v>
      </x:c>
      <x:c r="G2648" s="32" t="str">
        <x:v>05H1</x:v>
      </x:c>
      <x:c r="H2648" s="32" t="str">
        <x:v>05H1</x:v>
      </x:c>
      <x:c r="I2648" s="22" t="str">
        <x:v>商业服务业设施用地</x:v>
      </x:c>
      <x:c r="J2648" s="22" t="str">
        <x:v>商业服务</x:v>
      </x:c>
      <x:c r="K2648" s="32" t="str">
        <x:v>202</x:v>
      </x:c>
      <x:c r="L2648" s="22" t="str">
        <x:v>建制镇范围</x:v>
      </x:c>
      <x:c r="M2648" s="33" t="n">
        <x:v>830604.2900000003</x:v>
      </x:c>
      <x:c r="N2648" s="33" t="n">
        <x:v>83.06042900000003</x:v>
      </x:c>
      <x:c r="O2648" s="22" t="str">
        <x:v>公顷</x:v>
      </x:c>
      <x:c r="P2648" s="22" t="str">
        <x:v>未提供（单期横截面）</x:v>
      </x:c>
      <x:c r="Q2648" s="23" t="n">
        <x:v>5627</x:v>
      </x:c>
    </x:row>
    <x:row r="2649">
      <x:c r="A2649" s="30" t="n">
        <x:v>350600</x:v>
      </x:c>
      <x:c r="B2649" s="22" t="str">
        <x:v>漳州市</x:v>
      </x:c>
      <x:c r="C2649" s="31" t="n">
        <x:v>350627</x:v>
      </x:c>
      <x:c r="D2649" s="22" t="str">
        <x:v>南靖县</x:v>
      </x:c>
      <x:c r="E2649" s="22" t="str">
        <x:v>建设用地</x:v>
      </x:c>
      <x:c r="F2649" s="22" t="str">
        <x:v>工矿仓储用地</x:v>
      </x:c>
      <x:c r="G2649" s="32" t="str">
        <x:v>601</x:v>
      </x:c>
      <x:c r="H2649" s="32" t="str">
        <x:v>601</x:v>
      </x:c>
      <x:c r="I2649" s="22" t="str">
        <x:v>工业用地</x:v>
      </x:c>
      <x:c r="J2649" s="22" t="str">
        <x:v>产业功能</x:v>
      </x:c>
      <x:c r="K2649" s="32" t="str">
        <x:v>202</x:v>
      </x:c>
      <x:c r="L2649" s="22" t="str">
        <x:v>建制镇范围</x:v>
      </x:c>
      <x:c r="M2649" s="33" t="n">
        <x:v>6300290.97</x:v>
      </x:c>
      <x:c r="N2649" s="33" t="n">
        <x:v>630.029097</x:v>
      </x:c>
      <x:c r="O2649" s="22" t="str">
        <x:v>公顷</x:v>
      </x:c>
      <x:c r="P2649" s="22" t="str">
        <x:v>未提供（单期横截面）</x:v>
      </x:c>
      <x:c r="Q2649" s="23" t="n">
        <x:v>5628</x:v>
      </x:c>
    </x:row>
    <x:row r="2650">
      <x:c r="A2650" s="30" t="n">
        <x:v>350600</x:v>
      </x:c>
      <x:c r="B2650" s="22" t="str">
        <x:v>漳州市</x:v>
      </x:c>
      <x:c r="C2650" s="31" t="n">
        <x:v>350627</x:v>
      </x:c>
      <x:c r="D2650" s="22" t="str">
        <x:v>南靖县</x:v>
      </x:c>
      <x:c r="E2650" s="22" t="str">
        <x:v>建设用地</x:v>
      </x:c>
      <x:c r="F2650" s="22" t="str">
        <x:v>居住用地</x:v>
      </x:c>
      <x:c r="G2650" s="32" t="str">
        <x:v>701</x:v>
      </x:c>
      <x:c r="H2650" s="32" t="str">
        <x:v>701</x:v>
      </x:c>
      <x:c r="I2650" s="22" t="str">
        <x:v>城镇住宅用地</x:v>
      </x:c>
      <x:c r="J2650" s="22" t="str">
        <x:v>居住功能</x:v>
      </x:c>
      <x:c r="K2650" s="32" t="str">
        <x:v>202</x:v>
      </x:c>
      <x:c r="L2650" s="22" t="str">
        <x:v>建制镇范围</x:v>
      </x:c>
      <x:c r="M2650" s="33" t="n">
        <x:v>7786216.930000004</x:v>
      </x:c>
      <x:c r="N2650" s="33" t="n">
        <x:v>778.6216930000004</x:v>
      </x:c>
      <x:c r="O2650" s="22" t="str">
        <x:v>公顷</x:v>
      </x:c>
      <x:c r="P2650" s="22" t="str">
        <x:v>未提供（单期横截面）</x:v>
      </x:c>
      <x:c r="Q2650" s="23" t="n">
        <x:v>5629</x:v>
      </x:c>
    </x:row>
    <x:row r="2651">
      <x:c r="A2651" s="30" t="n">
        <x:v>350600</x:v>
      </x:c>
      <x:c r="B2651" s="22" t="str">
        <x:v>漳州市</x:v>
      </x:c>
      <x:c r="C2651" s="31" t="n">
        <x:v>350627</x:v>
      </x:c>
      <x:c r="D2651" s="22" t="str">
        <x:v>南靖县</x:v>
      </x:c>
      <x:c r="E2651" s="22" t="str">
        <x:v>建设用地</x:v>
      </x:c>
      <x:c r="F2651" s="22" t="str">
        <x:v>居住用地</x:v>
      </x:c>
      <x:c r="G2651" s="32" t="str">
        <x:v>702</x:v>
      </x:c>
      <x:c r="H2651" s="32" t="str">
        <x:v>702</x:v>
      </x:c>
      <x:c r="I2651" s="22" t="str">
        <x:v>农村宅基地</x:v>
      </x:c>
      <x:c r="J2651" s="22" t="str">
        <x:v>居住功能</x:v>
      </x:c>
      <x:c r="K2651" s="32" t="str">
        <x:v>202</x:v>
      </x:c>
      <x:c r="L2651" s="22" t="str">
        <x:v>建制镇范围</x:v>
      </x:c>
      <x:c r="M2651" s="33" t="n">
        <x:v>93800.06999999999</x:v>
      </x:c>
      <x:c r="N2651" s="33" t="n">
        <x:v>9.380006999999999</x:v>
      </x:c>
      <x:c r="O2651" s="22" t="str">
        <x:v>公顷</x:v>
      </x:c>
      <x:c r="P2651" s="22" t="str">
        <x:v>未提供（单期横截面）</x:v>
      </x:c>
      <x:c r="Q2651" s="23" t="n">
        <x:v>5630</x:v>
      </x:c>
    </x:row>
    <x:row r="2652">
      <x:c r="A2652" s="30" t="n">
        <x:v>350600</x:v>
      </x:c>
      <x:c r="B2652" s="22" t="str">
        <x:v>漳州市</x:v>
      </x:c>
      <x:c r="C2652" s="31" t="n">
        <x:v>350627</x:v>
      </x:c>
      <x:c r="D2652" s="22" t="str">
        <x:v>南靖县</x:v>
      </x:c>
      <x:c r="E2652" s="22" t="str">
        <x:v>建设用地</x:v>
      </x:c>
      <x:c r="F2652" s="22" t="str">
        <x:v>公用设施用地</x:v>
      </x:c>
      <x:c r="G2652" s="32" t="str">
        <x:v>809</x:v>
      </x:c>
      <x:c r="H2652" s="32" t="str">
        <x:v>809</x:v>
      </x:c>
      <x:c r="I2652" s="22" t="str">
        <x:v>公用设施用地</x:v>
      </x:c>
      <x:c r="J2652" s="22" t="str">
        <x:v>其他建设</x:v>
      </x:c>
      <x:c r="K2652" s="32" t="str">
        <x:v>202</x:v>
      </x:c>
      <x:c r="L2652" s="22" t="str">
        <x:v>建制镇范围</x:v>
      </x:c>
      <x:c r="M2652" s="33" t="n">
        <x:v>79889.56000000003</x:v>
      </x:c>
      <x:c r="N2652" s="33" t="n">
        <x:v>7.988956000000003</x:v>
      </x:c>
      <x:c r="O2652" s="22" t="str">
        <x:v>公顷</x:v>
      </x:c>
      <x:c r="P2652" s="22" t="str">
        <x:v>未提供（单期横截面）</x:v>
      </x:c>
      <x:c r="Q2652" s="23" t="n">
        <x:v>5631</x:v>
      </x:c>
    </x:row>
    <x:row r="2653">
      <x:c r="A2653" s="30" t="n">
        <x:v>350600</x:v>
      </x:c>
      <x:c r="B2653" s="22" t="str">
        <x:v>漳州市</x:v>
      </x:c>
      <x:c r="C2653" s="31" t="n">
        <x:v>350627</x:v>
      </x:c>
      <x:c r="D2653" s="22" t="str">
        <x:v>南靖县</x:v>
      </x:c>
      <x:c r="E2653" s="22" t="str">
        <x:v>建设用地</x:v>
      </x:c>
      <x:c r="F2653" s="22" t="str">
        <x:v>绿地与广场用地</x:v>
      </x:c>
      <x:c r="G2653" s="32" t="str">
        <x:v>810</x:v>
      </x:c>
      <x:c r="H2653" s="32" t="str">
        <x:v>810</x:v>
      </x:c>
      <x:c r="I2653" s="22" t="str">
        <x:v>公园与绿地</x:v>
      </x:c>
      <x:c r="J2653" s="22" t="str">
        <x:v>公共空间</x:v>
      </x:c>
      <x:c r="K2653" s="32" t="str">
        <x:v>202</x:v>
      </x:c>
      <x:c r="L2653" s="22" t="str">
        <x:v>建制镇范围</x:v>
      </x:c>
      <x:c r="M2653" s="33" t="n">
        <x:v>558687.2899999999</x:v>
      </x:c>
      <x:c r="N2653" s="33" t="n">
        <x:v>55.868728999999995</x:v>
      </x:c>
      <x:c r="O2653" s="22" t="str">
        <x:v>公顷</x:v>
      </x:c>
      <x:c r="P2653" s="22" t="str">
        <x:v>未提供（单期横截面）</x:v>
      </x:c>
      <x:c r="Q2653" s="23" t="n">
        <x:v>5632</x:v>
      </x:c>
    </x:row>
    <x:row r="2654">
      <x:c r="A2654" s="30" t="n">
        <x:v>350600</x:v>
      </x:c>
      <x:c r="B2654" s="22" t="str">
        <x:v>漳州市</x:v>
      </x:c>
      <x:c r="C2654" s="31" t="n">
        <x:v>350627</x:v>
      </x:c>
      <x:c r="D2654" s="22" t="str">
        <x:v>南靖县</x:v>
      </x:c>
      <x:c r="E2654" s="22" t="str">
        <x:v>建设用地</x:v>
      </x:c>
      <x:c r="F2654" s="22" t="str">
        <x:v>绿地与广场用地</x:v>
      </x:c>
      <x:c r="G2654" s="32" t="str">
        <x:v>0810A</x:v>
      </x:c>
      <x:c r="H2654" s="32" t="str">
        <x:v>0810</x:v>
      </x:c>
      <x:c r="I2654" s="22" t="str">
        <x:v>广场用地</x:v>
      </x:c>
      <x:c r="J2654" s="22" t="str">
        <x:v>公共空间</x:v>
      </x:c>
      <x:c r="K2654" s="32" t="str">
        <x:v>202</x:v>
      </x:c>
      <x:c r="L2654" s="22" t="str">
        <x:v>建制镇范围</x:v>
      </x:c>
      <x:c r="M2654" s="33" t="n">
        <x:v>16204.530000000002</x:v>
      </x:c>
      <x:c r="N2654" s="33" t="n">
        <x:v>1.6204530000000001</x:v>
      </x:c>
      <x:c r="O2654" s="22" t="str">
        <x:v>公顷</x:v>
      </x:c>
      <x:c r="P2654" s="22" t="str">
        <x:v>未提供（单期横截面）</x:v>
      </x:c>
      <x:c r="Q2654" s="23" t="n">
        <x:v>5633</x:v>
      </x:c>
    </x:row>
    <x:row r="2655">
      <x:c r="A2655" s="30" t="n">
        <x:v>350600</x:v>
      </x:c>
      <x:c r="B2655" s="22" t="str">
        <x:v>漳州市</x:v>
      </x:c>
      <x:c r="C2655" s="31" t="n">
        <x:v>350627</x:v>
      </x:c>
      <x:c r="D2655" s="22" t="str">
        <x:v>南靖县</x:v>
      </x:c>
      <x:c r="E2655" s="22" t="str">
        <x:v>建设用地</x:v>
      </x:c>
      <x:c r="F2655" s="22" t="str">
        <x:v>公共管理与公共服务用地</x:v>
      </x:c>
      <x:c r="G2655" s="32" t="str">
        <x:v>08H1</x:v>
      </x:c>
      <x:c r="H2655" s="32" t="str">
        <x:v>08H1</x:v>
      </x:c>
      <x:c r="I2655" s="22" t="str">
        <x:v>机关团体新闻出版用地</x:v>
      </x:c>
      <x:c r="J2655" s="22" t="str">
        <x:v>公共服务</x:v>
      </x:c>
      <x:c r="K2655" s="32" t="str">
        <x:v>202</x:v>
      </x:c>
      <x:c r="L2655" s="22" t="str">
        <x:v>建制镇范围</x:v>
      </x:c>
      <x:c r="M2655" s="33" t="n">
        <x:v>477905.50999999995</x:v>
      </x:c>
      <x:c r="N2655" s="33" t="n">
        <x:v>47.790550999999994</x:v>
      </x:c>
      <x:c r="O2655" s="22" t="str">
        <x:v>公顷</x:v>
      </x:c>
      <x:c r="P2655" s="22" t="str">
        <x:v>未提供（单期横截面）</x:v>
      </x:c>
      <x:c r="Q2655" s="23" t="n">
        <x:v>5634</x:v>
      </x:c>
    </x:row>
    <x:row r="2656">
      <x:c r="A2656" s="30" t="n">
        <x:v>350600</x:v>
      </x:c>
      <x:c r="B2656" s="22" t="str">
        <x:v>漳州市</x:v>
      </x:c>
      <x:c r="C2656" s="31" t="n">
        <x:v>350627</x:v>
      </x:c>
      <x:c r="D2656" s="22" t="str">
        <x:v>南靖县</x:v>
      </x:c>
      <x:c r="E2656" s="22" t="str">
        <x:v>建设用地</x:v>
      </x:c>
      <x:c r="F2656" s="22" t="str">
        <x:v>公共管理与公共服务用地</x:v>
      </x:c>
      <x:c r="G2656" s="32" t="str">
        <x:v>08H2</x:v>
      </x:c>
      <x:c r="H2656" s="32" t="str">
        <x:v>08H2</x:v>
      </x:c>
      <x:c r="I2656" s="22" t="str">
        <x:v>科教文卫用地</x:v>
      </x:c>
      <x:c r="J2656" s="22" t="str">
        <x:v>公共服务</x:v>
      </x:c>
      <x:c r="K2656" s="32" t="str">
        <x:v>202</x:v>
      </x:c>
      <x:c r="L2656" s="22" t="str">
        <x:v>建制镇范围</x:v>
      </x:c>
      <x:c r="M2656" s="33" t="n">
        <x:v>1692760.9899999998</x:v>
      </x:c>
      <x:c r="N2656" s="33" t="n">
        <x:v>169.276099</x:v>
      </x:c>
      <x:c r="O2656" s="22" t="str">
        <x:v>公顷</x:v>
      </x:c>
      <x:c r="P2656" s="22" t="str">
        <x:v>未提供（单期横截面）</x:v>
      </x:c>
      <x:c r="Q2656" s="23" t="n">
        <x:v>5635</x:v>
      </x:c>
    </x:row>
    <x:row r="2657">
      <x:c r="A2657" s="30" t="n">
        <x:v>350600</x:v>
      </x:c>
      <x:c r="B2657" s="22" t="str">
        <x:v>漳州市</x:v>
      </x:c>
      <x:c r="C2657" s="31" t="n">
        <x:v>350627</x:v>
      </x:c>
      <x:c r="D2657" s="22" t="str">
        <x:v>南靖县</x:v>
      </x:c>
      <x:c r="E2657" s="22" t="str">
        <x:v>建设用地</x:v>
      </x:c>
      <x:c r="F2657" s="22" t="str">
        <x:v>公共管理与公共服务用地</x:v>
      </x:c>
      <x:c r="G2657" s="32" t="str">
        <x:v>08H2A</x:v>
      </x:c>
      <x:c r="H2657" s="32" t="str">
        <x:v>08H2</x:v>
      </x:c>
      <x:c r="I2657" s="22" t="str">
        <x:v>高教用地</x:v>
      </x:c>
      <x:c r="J2657" s="22" t="str">
        <x:v>公共服务</x:v>
      </x:c>
      <x:c r="K2657" s="32" t="str">
        <x:v>202</x:v>
      </x:c>
      <x:c r="L2657" s="22" t="str">
        <x:v>建制镇范围</x:v>
      </x:c>
      <x:c r="M2657" s="33" t="n">
        <x:v>1749.39</x:v>
      </x:c>
      <x:c r="N2657" s="33" t="n">
        <x:v>0.174939</x:v>
      </x:c>
      <x:c r="O2657" s="22" t="str">
        <x:v>公顷</x:v>
      </x:c>
      <x:c r="P2657" s="22" t="str">
        <x:v>未提供（单期横截面）</x:v>
      </x:c>
      <x:c r="Q2657" s="23" t="n">
        <x:v>5636</x:v>
      </x:c>
    </x:row>
    <x:row r="2658">
      <x:c r="A2658" s="30" t="n">
        <x:v>350600</x:v>
      </x:c>
      <x:c r="B2658" s="22" t="str">
        <x:v>漳州市</x:v>
      </x:c>
      <x:c r="C2658" s="31" t="n">
        <x:v>350627</x:v>
      </x:c>
      <x:c r="D2658" s="22" t="str">
        <x:v>南靖县</x:v>
      </x:c>
      <x:c r="E2658" s="22" t="str">
        <x:v>建设用地</x:v>
      </x:c>
      <x:c r="F2658" s="22" t="str">
        <x:v>特殊用地</x:v>
      </x:c>
      <x:c r="G2658" s="32" t="str">
        <x:v>9</x:v>
      </x:c>
      <x:c r="H2658" s="32" t="str">
        <x:v>9</x:v>
      </x:c>
      <x:c r="I2658" s="22" t="str">
        <x:v>特殊用地</x:v>
      </x:c>
      <x:c r="J2658" s="22" t="str">
        <x:v>其他建设</x:v>
      </x:c>
      <x:c r="K2658" s="32" t="str">
        <x:v>202</x:v>
      </x:c>
      <x:c r="L2658" s="22" t="str">
        <x:v>建制镇范围</x:v>
      </x:c>
      <x:c r="M2658" s="33" t="n">
        <x:v>124457.20000000001</x:v>
      </x:c>
      <x:c r="N2658" s="33" t="n">
        <x:v>12.445720000000001</x:v>
      </x:c>
      <x:c r="O2658" s="22" t="str">
        <x:v>公顷</x:v>
      </x:c>
      <x:c r="P2658" s="22" t="str">
        <x:v>未提供（单期横截面）</x:v>
      </x:c>
      <x:c r="Q2658" s="23" t="n">
        <x:v>5637</x:v>
      </x:c>
    </x:row>
    <x:row r="2659">
      <x:c r="A2659" s="30" t="n">
        <x:v>350600</x:v>
      </x:c>
      <x:c r="B2659" s="22" t="str">
        <x:v>漳州市</x:v>
      </x:c>
      <x:c r="C2659" s="31" t="n">
        <x:v>350627</x:v>
      </x:c>
      <x:c r="D2659" s="22" t="str">
        <x:v>南靖县</x:v>
      </x:c>
      <x:c r="E2659" s="22" t="str">
        <x:v>建设用地</x:v>
      </x:c>
      <x:c r="F2659" s="22" t="str">
        <x:v>交通运输用地</x:v>
      </x:c>
      <x:c r="G2659" s="32" t="str">
        <x:v>1003</x:v>
      </x:c>
      <x:c r="H2659" s="32" t="str">
        <x:v>1003</x:v>
      </x:c>
      <x:c r="I2659" s="22" t="str">
        <x:v>公路用地</x:v>
      </x:c>
      <x:c r="J2659" s="22" t="str">
        <x:v>交通门户</x:v>
      </x:c>
      <x:c r="K2659" s="32" t="str">
        <x:v>202</x:v>
      </x:c>
      <x:c r="L2659" s="22" t="str">
        <x:v>建制镇范围</x:v>
      </x:c>
      <x:c r="M2659" s="33" t="n">
        <x:v>1945.5200000000002</x:v>
      </x:c>
      <x:c r="N2659" s="33" t="n">
        <x:v>0.19455200000000003</x:v>
      </x:c>
      <x:c r="O2659" s="22" t="str">
        <x:v>公顷</x:v>
      </x:c>
      <x:c r="P2659" s="22" t="str">
        <x:v>未提供（单期横截面）</x:v>
      </x:c>
      <x:c r="Q2659" s="23" t="n">
        <x:v>5638</x:v>
      </x:c>
    </x:row>
    <x:row r="2660">
      <x:c r="A2660" s="30" t="n">
        <x:v>350600</x:v>
      </x:c>
      <x:c r="B2660" s="22" t="str">
        <x:v>漳州市</x:v>
      </x:c>
      <x:c r="C2660" s="31" t="n">
        <x:v>350627</x:v>
      </x:c>
      <x:c r="D2660" s="22" t="str">
        <x:v>南靖县</x:v>
      </x:c>
      <x:c r="E2660" s="22" t="str">
        <x:v>建设用地</x:v>
      </x:c>
      <x:c r="F2660" s="22" t="str">
        <x:v>交通运输用地</x:v>
      </x:c>
      <x:c r="G2660" s="32" t="str">
        <x:v>1004</x:v>
      </x:c>
      <x:c r="H2660" s="32" t="str">
        <x:v>1004</x:v>
      </x:c>
      <x:c r="I2660" s="22" t="str">
        <x:v>城镇村道路用地</x:v>
      </x:c>
      <x:c r="J2660" s="22" t="str">
        <x:v>交通门户</x:v>
      </x:c>
      <x:c r="K2660" s="32" t="str">
        <x:v>202</x:v>
      </x:c>
      <x:c r="L2660" s="22" t="str">
        <x:v>建制镇范围</x:v>
      </x:c>
      <x:c r="M2660" s="33" t="n">
        <x:v>1327688.500000001</x:v>
      </x:c>
      <x:c r="N2660" s="33" t="n">
        <x:v>132.7688500000001</x:v>
      </x:c>
      <x:c r="O2660" s="22" t="str">
        <x:v>公顷</x:v>
      </x:c>
      <x:c r="P2660" s="22" t="str">
        <x:v>未提供（单期横截面）</x:v>
      </x:c>
      <x:c r="Q2660" s="23" t="n">
        <x:v>5639</x:v>
      </x:c>
    </x:row>
    <x:row r="2661">
      <x:c r="A2661" s="30" t="n">
        <x:v>350600</x:v>
      </x:c>
      <x:c r="B2661" s="22" t="str">
        <x:v>漳州市</x:v>
      </x:c>
      <x:c r="C2661" s="31" t="n">
        <x:v>350627</x:v>
      </x:c>
      <x:c r="D2661" s="22" t="str">
        <x:v>南靖县</x:v>
      </x:c>
      <x:c r="E2661" s="22" t="str">
        <x:v>建设用地</x:v>
      </x:c>
      <x:c r="F2661" s="22" t="str">
        <x:v>交通运输用地</x:v>
      </x:c>
      <x:c r="G2661" s="32" t="str">
        <x:v>1005</x:v>
      </x:c>
      <x:c r="H2661" s="32" t="str">
        <x:v>1005</x:v>
      </x:c>
      <x:c r="I2661" s="22" t="str">
        <x:v>交通服务场站用地</x:v>
      </x:c>
      <x:c r="J2661" s="22" t="str">
        <x:v>交通门户</x:v>
      </x:c>
      <x:c r="K2661" s="32" t="str">
        <x:v>202</x:v>
      </x:c>
      <x:c r="L2661" s="22" t="str">
        <x:v>建制镇范围</x:v>
      </x:c>
      <x:c r="M2661" s="33" t="n">
        <x:v>152566.1</x:v>
      </x:c>
      <x:c r="N2661" s="33" t="n">
        <x:v>15.25661</x:v>
      </x:c>
      <x:c r="O2661" s="22" t="str">
        <x:v>公顷</x:v>
      </x:c>
      <x:c r="P2661" s="22" t="str">
        <x:v>未提供（单期横截面）</x:v>
      </x:c>
      <x:c r="Q2661" s="23" t="n">
        <x:v>5640</x:v>
      </x:c>
    </x:row>
    <x:row r="2662">
      <x:c r="A2662" s="30" t="n">
        <x:v>350600</x:v>
      </x:c>
      <x:c r="B2662" s="22" t="str">
        <x:v>漳州市</x:v>
      </x:c>
      <x:c r="C2662" s="31" t="n">
        <x:v>350627</x:v>
      </x:c>
      <x:c r="D2662" s="22" t="str">
        <x:v>南靖县</x:v>
      </x:c>
      <x:c r="E2662" s="22" t="str">
        <x:v>建设用地</x:v>
      </x:c>
      <x:c r="F2662" s="22" t="str">
        <x:v>水域及水利设施</x:v>
      </x:c>
      <x:c r="G2662" s="32" t="str">
        <x:v>1109</x:v>
      </x:c>
      <x:c r="H2662" s="32" t="str">
        <x:v>1109</x:v>
      </x:c>
      <x:c r="I2662" s="22" t="str">
        <x:v>水工建筑用地</x:v>
      </x:c>
      <x:c r="J2662" s="22" t="str">
        <x:v>其他建设</x:v>
      </x:c>
      <x:c r="K2662" s="32" t="str">
        <x:v>202</x:v>
      </x:c>
      <x:c r="L2662" s="22" t="str">
        <x:v>建制镇范围</x:v>
      </x:c>
      <x:c r="M2662" s="33" t="n">
        <x:v>46947.44</x:v>
      </x:c>
      <x:c r="N2662" s="33" t="n">
        <x:v>4.694744</x:v>
      </x:c>
      <x:c r="O2662" s="22" t="str">
        <x:v>公顷</x:v>
      </x:c>
      <x:c r="P2662" s="22" t="str">
        <x:v>未提供（单期横截面）</x:v>
      </x:c>
      <x:c r="Q2662" s="23" t="n">
        <x:v>5641</x:v>
      </x:c>
    </x:row>
    <x:row r="2663">
      <x:c r="A2663" s="30" t="n">
        <x:v>350600</x:v>
      </x:c>
      <x:c r="B2663" s="22" t="str">
        <x:v>漳州市</x:v>
      </x:c>
      <x:c r="C2663" s="31" t="n">
        <x:v>350627</x:v>
      </x:c>
      <x:c r="D2663" s="22" t="str">
        <x:v>南靖县</x:v>
      </x:c>
      <x:c r="E2663" s="22" t="str">
        <x:v>建设用地</x:v>
      </x:c>
      <x:c r="F2663" s="22" t="str">
        <x:v>其他建设用地</x:v>
      </x:c>
      <x:c r="G2663" s="32" t="str">
        <x:v>1201</x:v>
      </x:c>
      <x:c r="H2663" s="32" t="str">
        <x:v>1201</x:v>
      </x:c>
      <x:c r="I2663" s="22" t="str">
        <x:v>空闲地</x:v>
      </x:c>
      <x:c r="J2663" s="22" t="str">
        <x:v>其他建设</x:v>
      </x:c>
      <x:c r="K2663" s="32" t="str">
        <x:v>202</x:v>
      </x:c>
      <x:c r="L2663" s="22" t="str">
        <x:v>建制镇范围</x:v>
      </x:c>
      <x:c r="M2663" s="33" t="n">
        <x:v>4789.92</x:v>
      </x:c>
      <x:c r="N2663" s="33" t="n">
        <x:v>0.47899200000000003</x:v>
      </x:c>
      <x:c r="O2663" s="22" t="str">
        <x:v>公顷</x:v>
      </x:c>
      <x:c r="P2663" s="22" t="str">
        <x:v>未提供（单期横截面）</x:v>
      </x:c>
      <x:c r="Q2663" s="23" t="n">
        <x:v>5642</x:v>
      </x:c>
    </x:row>
    <x:row r="2664">
      <x:c r="A2664" s="30" t="n">
        <x:v>350600</x:v>
      </x:c>
      <x:c r="B2664" s="22" t="str">
        <x:v>漳州市</x:v>
      </x:c>
      <x:c r="C2664" s="31" t="n">
        <x:v>350627</x:v>
      </x:c>
      <x:c r="D2664" s="22" t="str">
        <x:v>南靖县</x:v>
      </x:c>
      <x:c r="E2664" s="22" t="str">
        <x:v>建设用地</x:v>
      </x:c>
      <x:c r="F2664" s="22" t="str">
        <x:v>工矿仓储用地</x:v>
      </x:c>
      <x:c r="G2664" s="32" t="str">
        <x:v>601</x:v>
      </x:c>
      <x:c r="H2664" s="32" t="str">
        <x:v>601</x:v>
      </x:c>
      <x:c r="I2664" s="22" t="str">
        <x:v>工业用地</x:v>
      </x:c>
      <x:c r="J2664" s="22" t="str">
        <x:v>产业功能</x:v>
      </x:c>
      <x:c r="K2664" s="32" t="str">
        <x:v>202A</x:v>
      </x:c>
      <x:c r="L2664" s="22" t="str">
        <x:v>建制镇独立工业用地</x:v>
      </x:c>
      <x:c r="M2664" s="33" t="n">
        <x:v>235235.1</x:v>
      </x:c>
      <x:c r="N2664" s="33" t="n">
        <x:v>23.52351</x:v>
      </x:c>
      <x:c r="O2664" s="22" t="str">
        <x:v>公顷</x:v>
      </x:c>
      <x:c r="P2664" s="22" t="str">
        <x:v>未提供（单期横截面）</x:v>
      </x:c>
      <x:c r="Q2664" s="23" t="n">
        <x:v>5643</x:v>
      </x:c>
    </x:row>
    <x:row r="2665">
      <x:c r="A2665" s="30" t="n">
        <x:v>350600</x:v>
      </x:c>
      <x:c r="B2665" s="22" t="str">
        <x:v>漳州市</x:v>
      </x:c>
      <x:c r="C2665" s="31" t="n">
        <x:v>350627</x:v>
      </x:c>
      <x:c r="D2665" s="22" t="str">
        <x:v>南靖县</x:v>
      </x:c>
      <x:c r="E2665" s="22" t="str">
        <x:v>建设用地</x:v>
      </x:c>
      <x:c r="F2665" s="22" t="str">
        <x:v>工矿仓储用地</x:v>
      </x:c>
      <x:c r="G2665" s="32" t="str">
        <x:v>508</x:v>
      </x:c>
      <x:c r="H2665" s="32" t="str">
        <x:v>508</x:v>
      </x:c>
      <x:c r="I2665" s="22" t="str">
        <x:v>物流仓储用地</x:v>
      </x:c>
      <x:c r="J2665" s="22" t="str">
        <x:v>产业功能</x:v>
      </x:c>
      <x:c r="K2665" s="32" t="str">
        <x:v>203</x:v>
      </x:c>
      <x:c r="L2665" s="22" t="str">
        <x:v>村庄范围</x:v>
      </x:c>
      <x:c r="M2665" s="33" t="n">
        <x:v>299751.1799999999</x:v>
      </x:c>
      <x:c r="N2665" s="33" t="n">
        <x:v>29.975117999999988</x:v>
      </x:c>
      <x:c r="O2665" s="22" t="str">
        <x:v>公顷</x:v>
      </x:c>
      <x:c r="P2665" s="22" t="str">
        <x:v>未提供（单期横截面）</x:v>
      </x:c>
      <x:c r="Q2665" s="23" t="n">
        <x:v>5644</x:v>
      </x:c>
    </x:row>
    <x:row r="2666">
      <x:c r="A2666" s="30" t="n">
        <x:v>350600</x:v>
      </x:c>
      <x:c r="B2666" s="22" t="str">
        <x:v>漳州市</x:v>
      </x:c>
      <x:c r="C2666" s="31" t="n">
        <x:v>350627</x:v>
      </x:c>
      <x:c r="D2666" s="22" t="str">
        <x:v>南靖县</x:v>
      </x:c>
      <x:c r="E2666" s="22" t="str">
        <x:v>建设用地</x:v>
      </x:c>
      <x:c r="F2666" s="22" t="str">
        <x:v>商业服务业用地</x:v>
      </x:c>
      <x:c r="G2666" s="32" t="str">
        <x:v>05H1</x:v>
      </x:c>
      <x:c r="H2666" s="32" t="str">
        <x:v>05H1</x:v>
      </x:c>
      <x:c r="I2666" s="22" t="str">
        <x:v>商业服务业设施用地</x:v>
      </x:c>
      <x:c r="J2666" s="22" t="str">
        <x:v>商业服务</x:v>
      </x:c>
      <x:c r="K2666" s="32" t="str">
        <x:v>203</x:v>
      </x:c>
      <x:c r="L2666" s="22" t="str">
        <x:v>村庄范围</x:v>
      </x:c>
      <x:c r="M2666" s="33" t="n">
        <x:v>1597276.7700000003</x:v>
      </x:c>
      <x:c r="N2666" s="33" t="n">
        <x:v>159.72767700000003</x:v>
      </x:c>
      <x:c r="O2666" s="22" t="str">
        <x:v>公顷</x:v>
      </x:c>
      <x:c r="P2666" s="22" t="str">
        <x:v>未提供（单期横截面）</x:v>
      </x:c>
      <x:c r="Q2666" s="23" t="n">
        <x:v>5645</x:v>
      </x:c>
    </x:row>
    <x:row r="2667">
      <x:c r="A2667" s="30" t="n">
        <x:v>350600</x:v>
      </x:c>
      <x:c r="B2667" s="22" t="str">
        <x:v>漳州市</x:v>
      </x:c>
      <x:c r="C2667" s="31" t="n">
        <x:v>350627</x:v>
      </x:c>
      <x:c r="D2667" s="22" t="str">
        <x:v>南靖县</x:v>
      </x:c>
      <x:c r="E2667" s="22" t="str">
        <x:v>建设用地</x:v>
      </x:c>
      <x:c r="F2667" s="22" t="str">
        <x:v>工矿仓储用地</x:v>
      </x:c>
      <x:c r="G2667" s="32" t="str">
        <x:v>601</x:v>
      </x:c>
      <x:c r="H2667" s="32" t="str">
        <x:v>601</x:v>
      </x:c>
      <x:c r="I2667" s="22" t="str">
        <x:v>工业用地</x:v>
      </x:c>
      <x:c r="J2667" s="22" t="str">
        <x:v>产业功能</x:v>
      </x:c>
      <x:c r="K2667" s="32" t="str">
        <x:v>203</x:v>
      </x:c>
      <x:c r="L2667" s="22" t="str">
        <x:v>村庄范围</x:v>
      </x:c>
      <x:c r="M2667" s="33" t="n">
        <x:v>4936854.0600000005</x:v>
      </x:c>
      <x:c r="N2667" s="33" t="n">
        <x:v>493.68540600000006</x:v>
      </x:c>
      <x:c r="O2667" s="22" t="str">
        <x:v>公顷</x:v>
      </x:c>
      <x:c r="P2667" s="22" t="str">
        <x:v>未提供（单期横截面）</x:v>
      </x:c>
      <x:c r="Q2667" s="23" t="n">
        <x:v>5646</x:v>
      </x:c>
    </x:row>
    <x:row r="2668">
      <x:c r="A2668" s="30" t="n">
        <x:v>350600</x:v>
      </x:c>
      <x:c r="B2668" s="22" t="str">
        <x:v>漳州市</x:v>
      </x:c>
      <x:c r="C2668" s="31" t="n">
        <x:v>350627</x:v>
      </x:c>
      <x:c r="D2668" s="22" t="str">
        <x:v>南靖县</x:v>
      </x:c>
      <x:c r="E2668" s="22" t="str">
        <x:v>建设用地</x:v>
      </x:c>
      <x:c r="F2668" s="22" t="str">
        <x:v>工矿仓储用地</x:v>
      </x:c>
      <x:c r="G2668" s="32" t="str">
        <x:v>602</x:v>
      </x:c>
      <x:c r="H2668" s="32" t="str">
        <x:v>602</x:v>
      </x:c>
      <x:c r="I2668" s="22" t="str">
        <x:v>采矿用地</x:v>
      </x:c>
      <x:c r="J2668" s="22" t="str">
        <x:v>产业功能</x:v>
      </x:c>
      <x:c r="K2668" s="32" t="str">
        <x:v>203</x:v>
      </x:c>
      <x:c r="L2668" s="22" t="str">
        <x:v>村庄范围</x:v>
      </x:c>
      <x:c r="M2668" s="33" t="n">
        <x:v>142678.08999999997</x:v>
      </x:c>
      <x:c r="N2668" s="33" t="n">
        <x:v>14.267808999999996</x:v>
      </x:c>
      <x:c r="O2668" s="22" t="str">
        <x:v>公顷</x:v>
      </x:c>
      <x:c r="P2668" s="22" t="str">
        <x:v>未提供（单期横截面）</x:v>
      </x:c>
      <x:c r="Q2668" s="23" t="n">
        <x:v>5647</x:v>
      </x:c>
    </x:row>
    <x:row r="2669">
      <x:c r="A2669" s="30" t="n">
        <x:v>350600</x:v>
      </x:c>
      <x:c r="B2669" s="22" t="str">
        <x:v>漳州市</x:v>
      </x:c>
      <x:c r="C2669" s="31" t="n">
        <x:v>350627</x:v>
      </x:c>
      <x:c r="D2669" s="22" t="str">
        <x:v>南靖县</x:v>
      </x:c>
      <x:c r="E2669" s="22" t="str">
        <x:v>建设用地</x:v>
      </x:c>
      <x:c r="F2669" s="22" t="str">
        <x:v>居住用地</x:v>
      </x:c>
      <x:c r="G2669" s="32" t="str">
        <x:v>702</x:v>
      </x:c>
      <x:c r="H2669" s="32" t="str">
        <x:v>702</x:v>
      </x:c>
      <x:c r="I2669" s="22" t="str">
        <x:v>农村宅基地</x:v>
      </x:c>
      <x:c r="J2669" s="22" t="str">
        <x:v>居住功能</x:v>
      </x:c>
      <x:c r="K2669" s="32" t="str">
        <x:v>203</x:v>
      </x:c>
      <x:c r="L2669" s="22" t="str">
        <x:v>村庄范围</x:v>
      </x:c>
      <x:c r="M2669" s="33" t="n">
        <x:v>38541535.65000001</x:v>
      </x:c>
      <x:c r="N2669" s="33" t="n">
        <x:v>3854.1535650000014</x:v>
      </x:c>
      <x:c r="O2669" s="22" t="str">
        <x:v>公顷</x:v>
      </x:c>
      <x:c r="P2669" s="22" t="str">
        <x:v>未提供（单期横截面）</x:v>
      </x:c>
      <x:c r="Q2669" s="23" t="n">
        <x:v>5648</x:v>
      </x:c>
    </x:row>
    <x:row r="2670">
      <x:c r="A2670" s="30" t="n">
        <x:v>350600</x:v>
      </x:c>
      <x:c r="B2670" s="22" t="str">
        <x:v>漳州市</x:v>
      </x:c>
      <x:c r="C2670" s="31" t="n">
        <x:v>350627</x:v>
      </x:c>
      <x:c r="D2670" s="22" t="str">
        <x:v>南靖县</x:v>
      </x:c>
      <x:c r="E2670" s="22" t="str">
        <x:v>建设用地</x:v>
      </x:c>
      <x:c r="F2670" s="22" t="str">
        <x:v>公用设施用地</x:v>
      </x:c>
      <x:c r="G2670" s="32" t="str">
        <x:v>809</x:v>
      </x:c>
      <x:c r="H2670" s="32" t="str">
        <x:v>809</x:v>
      </x:c>
      <x:c r="I2670" s="22" t="str">
        <x:v>公用设施用地</x:v>
      </x:c>
      <x:c r="J2670" s="22" t="str">
        <x:v>其他建设</x:v>
      </x:c>
      <x:c r="K2670" s="32" t="str">
        <x:v>203</x:v>
      </x:c>
      <x:c r="L2670" s="22" t="str">
        <x:v>村庄范围</x:v>
      </x:c>
      <x:c r="M2670" s="33" t="n">
        <x:v>368139.24999999977</x:v>
      </x:c>
      <x:c r="N2670" s="33" t="n">
        <x:v>36.813924999999976</x:v>
      </x:c>
      <x:c r="O2670" s="22" t="str">
        <x:v>公顷</x:v>
      </x:c>
      <x:c r="P2670" s="22" t="str">
        <x:v>未提供（单期横截面）</x:v>
      </x:c>
      <x:c r="Q2670" s="23" t="n">
        <x:v>5649</x:v>
      </x:c>
    </x:row>
    <x:row r="2671">
      <x:c r="A2671" s="30" t="n">
        <x:v>350600</x:v>
      </x:c>
      <x:c r="B2671" s="22" t="str">
        <x:v>漳州市</x:v>
      </x:c>
      <x:c r="C2671" s="31" t="n">
        <x:v>350627</x:v>
      </x:c>
      <x:c r="D2671" s="22" t="str">
        <x:v>南靖县</x:v>
      </x:c>
      <x:c r="E2671" s="22" t="str">
        <x:v>建设用地</x:v>
      </x:c>
      <x:c r="F2671" s="22" t="str">
        <x:v>绿地与广场用地</x:v>
      </x:c>
      <x:c r="G2671" s="32" t="str">
        <x:v>810</x:v>
      </x:c>
      <x:c r="H2671" s="32" t="str">
        <x:v>810</x:v>
      </x:c>
      <x:c r="I2671" s="22" t="str">
        <x:v>公园与绿地</x:v>
      </x:c>
      <x:c r="J2671" s="22" t="str">
        <x:v>公共空间</x:v>
      </x:c>
      <x:c r="K2671" s="32" t="str">
        <x:v>203</x:v>
      </x:c>
      <x:c r="L2671" s="22" t="str">
        <x:v>村庄范围</x:v>
      </x:c>
      <x:c r="M2671" s="33" t="n">
        <x:v>51617.73</x:v>
      </x:c>
      <x:c r="N2671" s="33" t="n">
        <x:v>5.161773</x:v>
      </x:c>
      <x:c r="O2671" s="22" t="str">
        <x:v>公顷</x:v>
      </x:c>
      <x:c r="P2671" s="22" t="str">
        <x:v>未提供（单期横截面）</x:v>
      </x:c>
      <x:c r="Q2671" s="23" t="n">
        <x:v>5650</x:v>
      </x:c>
    </x:row>
    <x:row r="2672">
      <x:c r="A2672" s="30" t="n">
        <x:v>350600</x:v>
      </x:c>
      <x:c r="B2672" s="22" t="str">
        <x:v>漳州市</x:v>
      </x:c>
      <x:c r="C2672" s="31" t="n">
        <x:v>350627</x:v>
      </x:c>
      <x:c r="D2672" s="22" t="str">
        <x:v>南靖县</x:v>
      </x:c>
      <x:c r="E2672" s="22" t="str">
        <x:v>建设用地</x:v>
      </x:c>
      <x:c r="F2672" s="22" t="str">
        <x:v>绿地与广场用地</x:v>
      </x:c>
      <x:c r="G2672" s="32" t="str">
        <x:v>0810A</x:v>
      </x:c>
      <x:c r="H2672" s="32" t="str">
        <x:v>0810</x:v>
      </x:c>
      <x:c r="I2672" s="22" t="str">
        <x:v>广场用地</x:v>
      </x:c>
      <x:c r="J2672" s="22" t="str">
        <x:v>公共空间</x:v>
      </x:c>
      <x:c r="K2672" s="32" t="str">
        <x:v>203</x:v>
      </x:c>
      <x:c r="L2672" s="22" t="str">
        <x:v>村庄范围</x:v>
      </x:c>
      <x:c r="M2672" s="33" t="n">
        <x:v>24728.569999999996</x:v>
      </x:c>
      <x:c r="N2672" s="33" t="n">
        <x:v>2.4728569999999994</x:v>
      </x:c>
      <x:c r="O2672" s="22" t="str">
        <x:v>公顷</x:v>
      </x:c>
      <x:c r="P2672" s="22" t="str">
        <x:v>未提供（单期横截面）</x:v>
      </x:c>
      <x:c r="Q2672" s="23" t="n">
        <x:v>5651</x:v>
      </x:c>
    </x:row>
    <x:row r="2673">
      <x:c r="A2673" s="30" t="n">
        <x:v>350600</x:v>
      </x:c>
      <x:c r="B2673" s="22" t="str">
        <x:v>漳州市</x:v>
      </x:c>
      <x:c r="C2673" s="31" t="n">
        <x:v>350627</x:v>
      </x:c>
      <x:c r="D2673" s="22" t="str">
        <x:v>南靖县</x:v>
      </x:c>
      <x:c r="E2673" s="22" t="str">
        <x:v>建设用地</x:v>
      </x:c>
      <x:c r="F2673" s="22" t="str">
        <x:v>公共管理与公共服务用地</x:v>
      </x:c>
      <x:c r="G2673" s="32" t="str">
        <x:v>08H1</x:v>
      </x:c>
      <x:c r="H2673" s="32" t="str">
        <x:v>08H1</x:v>
      </x:c>
      <x:c r="I2673" s="22" t="str">
        <x:v>机关团体新闻出版用地</x:v>
      </x:c>
      <x:c r="J2673" s="22" t="str">
        <x:v>公共服务</x:v>
      </x:c>
      <x:c r="K2673" s="32" t="str">
        <x:v>203</x:v>
      </x:c>
      <x:c r="L2673" s="22" t="str">
        <x:v>村庄范围</x:v>
      </x:c>
      <x:c r="M2673" s="33" t="n">
        <x:v>333192.49000000017</x:v>
      </x:c>
      <x:c r="N2673" s="33" t="n">
        <x:v>33.31924900000001</x:v>
      </x:c>
      <x:c r="O2673" s="22" t="str">
        <x:v>公顷</x:v>
      </x:c>
      <x:c r="P2673" s="22" t="str">
        <x:v>未提供（单期横截面）</x:v>
      </x:c>
      <x:c r="Q2673" s="23" t="n">
        <x:v>5652</x:v>
      </x:c>
    </x:row>
    <x:row r="2674">
      <x:c r="A2674" s="30" t="n">
        <x:v>350600</x:v>
      </x:c>
      <x:c r="B2674" s="22" t="str">
        <x:v>漳州市</x:v>
      </x:c>
      <x:c r="C2674" s="31" t="n">
        <x:v>350627</x:v>
      </x:c>
      <x:c r="D2674" s="22" t="str">
        <x:v>南靖县</x:v>
      </x:c>
      <x:c r="E2674" s="22" t="str">
        <x:v>建设用地</x:v>
      </x:c>
      <x:c r="F2674" s="22" t="str">
        <x:v>公共管理与公共服务用地</x:v>
      </x:c>
      <x:c r="G2674" s="32" t="str">
        <x:v>08H2</x:v>
      </x:c>
      <x:c r="H2674" s="32" t="str">
        <x:v>08H2</x:v>
      </x:c>
      <x:c r="I2674" s="22" t="str">
        <x:v>科教文卫用地</x:v>
      </x:c>
      <x:c r="J2674" s="22" t="str">
        <x:v>公共服务</x:v>
      </x:c>
      <x:c r="K2674" s="32" t="str">
        <x:v>203</x:v>
      </x:c>
      <x:c r="L2674" s="22" t="str">
        <x:v>村庄范围</x:v>
      </x:c>
      <x:c r="M2674" s="33" t="n">
        <x:v>1108296.7900000005</x:v>
      </x:c>
      <x:c r="N2674" s="33" t="n">
        <x:v>110.82967900000006</x:v>
      </x:c>
      <x:c r="O2674" s="22" t="str">
        <x:v>公顷</x:v>
      </x:c>
      <x:c r="P2674" s="22" t="str">
        <x:v>未提供（单期横截面）</x:v>
      </x:c>
      <x:c r="Q2674" s="23" t="n">
        <x:v>5653</x:v>
      </x:c>
    </x:row>
    <x:row r="2675">
      <x:c r="A2675" s="30" t="n">
        <x:v>350600</x:v>
      </x:c>
      <x:c r="B2675" s="22" t="str">
        <x:v>漳州市</x:v>
      </x:c>
      <x:c r="C2675" s="31" t="n">
        <x:v>350627</x:v>
      </x:c>
      <x:c r="D2675" s="22" t="str">
        <x:v>南靖县</x:v>
      </x:c>
      <x:c r="E2675" s="22" t="str">
        <x:v>建设用地</x:v>
      </x:c>
      <x:c r="F2675" s="22" t="str">
        <x:v>特殊用地</x:v>
      </x:c>
      <x:c r="G2675" s="32" t="str">
        <x:v>9</x:v>
      </x:c>
      <x:c r="H2675" s="32" t="str">
        <x:v>9</x:v>
      </x:c>
      <x:c r="I2675" s="22" t="str">
        <x:v>特殊用地</x:v>
      </x:c>
      <x:c r="J2675" s="22" t="str">
        <x:v>其他建设</x:v>
      </x:c>
      <x:c r="K2675" s="32" t="str">
        <x:v>203</x:v>
      </x:c>
      <x:c r="L2675" s="22" t="str">
        <x:v>村庄范围</x:v>
      </x:c>
      <x:c r="M2675" s="33" t="n">
        <x:v>495753.51000000024</x:v>
      </x:c>
      <x:c r="N2675" s="33" t="n">
        <x:v>49.575351000000026</x:v>
      </x:c>
      <x:c r="O2675" s="22" t="str">
        <x:v>公顷</x:v>
      </x:c>
      <x:c r="P2675" s="22" t="str">
        <x:v>未提供（单期横截面）</x:v>
      </x:c>
      <x:c r="Q2675" s="23" t="n">
        <x:v>5654</x:v>
      </x:c>
    </x:row>
    <x:row r="2676">
      <x:c r="A2676" s="30" t="n">
        <x:v>350600</x:v>
      </x:c>
      <x:c r="B2676" s="22" t="str">
        <x:v>漳州市</x:v>
      </x:c>
      <x:c r="C2676" s="31" t="n">
        <x:v>350627</x:v>
      </x:c>
      <x:c r="D2676" s="22" t="str">
        <x:v>南靖县</x:v>
      </x:c>
      <x:c r="E2676" s="22" t="str">
        <x:v>建设用地</x:v>
      </x:c>
      <x:c r="F2676" s="22" t="str">
        <x:v>交通运输用地</x:v>
      </x:c>
      <x:c r="G2676" s="32" t="str">
        <x:v>1003</x:v>
      </x:c>
      <x:c r="H2676" s="32" t="str">
        <x:v>1003</x:v>
      </x:c>
      <x:c r="I2676" s="22" t="str">
        <x:v>公路用地</x:v>
      </x:c>
      <x:c r="J2676" s="22" t="str">
        <x:v>交通门户</x:v>
      </x:c>
      <x:c r="K2676" s="32" t="str">
        <x:v>203</x:v>
      </x:c>
      <x:c r="L2676" s="22" t="str">
        <x:v>村庄范围</x:v>
      </x:c>
      <x:c r="M2676" s="33" t="n">
        <x:v>48342.5</x:v>
      </x:c>
      <x:c r="N2676" s="33" t="n">
        <x:v>4.83425</x:v>
      </x:c>
      <x:c r="O2676" s="22" t="str">
        <x:v>公顷</x:v>
      </x:c>
      <x:c r="P2676" s="22" t="str">
        <x:v>未提供（单期横截面）</x:v>
      </x:c>
      <x:c r="Q2676" s="23" t="n">
        <x:v>5655</x:v>
      </x:c>
    </x:row>
    <x:row r="2677">
      <x:c r="A2677" s="30" t="n">
        <x:v>350600</x:v>
      </x:c>
      <x:c r="B2677" s="22" t="str">
        <x:v>漳州市</x:v>
      </x:c>
      <x:c r="C2677" s="31" t="n">
        <x:v>350627</x:v>
      </x:c>
      <x:c r="D2677" s="22" t="str">
        <x:v>南靖县</x:v>
      </x:c>
      <x:c r="E2677" s="22" t="str">
        <x:v>建设用地</x:v>
      </x:c>
      <x:c r="F2677" s="22" t="str">
        <x:v>交通运输用地</x:v>
      </x:c>
      <x:c r="G2677" s="32" t="str">
        <x:v>1004</x:v>
      </x:c>
      <x:c r="H2677" s="32" t="str">
        <x:v>1004</x:v>
      </x:c>
      <x:c r="I2677" s="22" t="str">
        <x:v>城镇村道路用地</x:v>
      </x:c>
      <x:c r="J2677" s="22" t="str">
        <x:v>交通门户</x:v>
      </x:c>
      <x:c r="K2677" s="32" t="str">
        <x:v>203</x:v>
      </x:c>
      <x:c r="L2677" s="22" t="str">
        <x:v>村庄范围</x:v>
      </x:c>
      <x:c r="M2677" s="33" t="n">
        <x:v>850375.3999999997</x:v>
      </x:c>
      <x:c r="N2677" s="33" t="n">
        <x:v>85.03753999999996</x:v>
      </x:c>
      <x:c r="O2677" s="22" t="str">
        <x:v>公顷</x:v>
      </x:c>
      <x:c r="P2677" s="22" t="str">
        <x:v>未提供（单期横截面）</x:v>
      </x:c>
      <x:c r="Q2677" s="23" t="n">
        <x:v>5656</x:v>
      </x:c>
    </x:row>
    <x:row r="2678">
      <x:c r="A2678" s="30" t="n">
        <x:v>350600</x:v>
      </x:c>
      <x:c r="B2678" s="22" t="str">
        <x:v>漳州市</x:v>
      </x:c>
      <x:c r="C2678" s="31" t="n">
        <x:v>350627</x:v>
      </x:c>
      <x:c r="D2678" s="22" t="str">
        <x:v>南靖县</x:v>
      </x:c>
      <x:c r="E2678" s="22" t="str">
        <x:v>建设用地</x:v>
      </x:c>
      <x:c r="F2678" s="22" t="str">
        <x:v>交通运输用地</x:v>
      </x:c>
      <x:c r="G2678" s="32" t="str">
        <x:v>1005</x:v>
      </x:c>
      <x:c r="H2678" s="32" t="str">
        <x:v>1005</x:v>
      </x:c>
      <x:c r="I2678" s="22" t="str">
        <x:v>交通服务场站用地</x:v>
      </x:c>
      <x:c r="J2678" s="22" t="str">
        <x:v>交通门户</x:v>
      </x:c>
      <x:c r="K2678" s="32" t="str">
        <x:v>203</x:v>
      </x:c>
      <x:c r="L2678" s="22" t="str">
        <x:v>村庄范围</x:v>
      </x:c>
      <x:c r="M2678" s="33" t="n">
        <x:v>364473.7799999999</x:v>
      </x:c>
      <x:c r="N2678" s="33" t="n">
        <x:v>36.44737799999999</x:v>
      </x:c>
      <x:c r="O2678" s="22" t="str">
        <x:v>公顷</x:v>
      </x:c>
      <x:c r="P2678" s="22" t="str">
        <x:v>未提供（单期横截面）</x:v>
      </x:c>
      <x:c r="Q2678" s="23" t="n">
        <x:v>5657</x:v>
      </x:c>
    </x:row>
    <x:row r="2679">
      <x:c r="A2679" s="30" t="n">
        <x:v>350600</x:v>
      </x:c>
      <x:c r="B2679" s="22" t="str">
        <x:v>漳州市</x:v>
      </x:c>
      <x:c r="C2679" s="31" t="n">
        <x:v>350627</x:v>
      </x:c>
      <x:c r="D2679" s="22" t="str">
        <x:v>南靖县</x:v>
      </x:c>
      <x:c r="E2679" s="22" t="str">
        <x:v>建设用地</x:v>
      </x:c>
      <x:c r="F2679" s="22" t="str">
        <x:v>水域及水利设施</x:v>
      </x:c>
      <x:c r="G2679" s="32" t="str">
        <x:v>1109</x:v>
      </x:c>
      <x:c r="H2679" s="32" t="str">
        <x:v>1109</x:v>
      </x:c>
      <x:c r="I2679" s="22" t="str">
        <x:v>水工建筑用地</x:v>
      </x:c>
      <x:c r="J2679" s="22" t="str">
        <x:v>其他建设</x:v>
      </x:c>
      <x:c r="K2679" s="32" t="str">
        <x:v>203</x:v>
      </x:c>
      <x:c r="L2679" s="22" t="str">
        <x:v>村庄范围</x:v>
      </x:c>
      <x:c r="M2679" s="33" t="n">
        <x:v>4807.84</x:v>
      </x:c>
      <x:c r="N2679" s="33" t="n">
        <x:v>0.480784</x:v>
      </x:c>
      <x:c r="O2679" s="22" t="str">
        <x:v>公顷</x:v>
      </x:c>
      <x:c r="P2679" s="22" t="str">
        <x:v>未提供（单期横截面）</x:v>
      </x:c>
      <x:c r="Q2679" s="23" t="n">
        <x:v>5658</x:v>
      </x:c>
    </x:row>
    <x:row r="2680">
      <x:c r="A2680" s="30" t="n">
        <x:v>350600</x:v>
      </x:c>
      <x:c r="B2680" s="22" t="str">
        <x:v>漳州市</x:v>
      </x:c>
      <x:c r="C2680" s="31" t="n">
        <x:v>350627</x:v>
      </x:c>
      <x:c r="D2680" s="22" t="str">
        <x:v>南靖县</x:v>
      </x:c>
      <x:c r="E2680" s="22" t="str">
        <x:v>建设用地</x:v>
      </x:c>
      <x:c r="F2680" s="22" t="str">
        <x:v>其他建设用地</x:v>
      </x:c>
      <x:c r="G2680" s="32" t="str">
        <x:v>1201</x:v>
      </x:c>
      <x:c r="H2680" s="32" t="str">
        <x:v>1201</x:v>
      </x:c>
      <x:c r="I2680" s="22" t="str">
        <x:v>空闲地</x:v>
      </x:c>
      <x:c r="J2680" s="22" t="str">
        <x:v>其他建设</x:v>
      </x:c>
      <x:c r="K2680" s="32" t="str">
        <x:v>203</x:v>
      </x:c>
      <x:c r="L2680" s="22" t="str">
        <x:v>村庄范围</x:v>
      </x:c>
      <x:c r="M2680" s="33" t="n">
        <x:v>3644.0499999999997</x:v>
      </x:c>
      <x:c r="N2680" s="33" t="n">
        <x:v>0.364405</x:v>
      </x:c>
      <x:c r="O2680" s="22" t="str">
        <x:v>公顷</x:v>
      </x:c>
      <x:c r="P2680" s="22" t="str">
        <x:v>未提供（单期横截面）</x:v>
      </x:c>
      <x:c r="Q2680" s="23" t="n">
        <x:v>5659</x:v>
      </x:c>
    </x:row>
    <x:row r="2681">
      <x:c r="A2681" s="30" t="n">
        <x:v>350600</x:v>
      </x:c>
      <x:c r="B2681" s="22" t="str">
        <x:v>漳州市</x:v>
      </x:c>
      <x:c r="C2681" s="31" t="n">
        <x:v>350627</x:v>
      </x:c>
      <x:c r="D2681" s="22" t="str">
        <x:v>南靖县</x:v>
      </x:c>
      <x:c r="E2681" s="22" t="str">
        <x:v>建设用地</x:v>
      </x:c>
      <x:c r="F2681" s="22" t="str">
        <x:v>工矿仓储用地</x:v>
      </x:c>
      <x:c r="G2681" s="32" t="str">
        <x:v>601</x:v>
      </x:c>
      <x:c r="H2681" s="32" t="str">
        <x:v>601</x:v>
      </x:c>
      <x:c r="I2681" s="22" t="str">
        <x:v>工业用地</x:v>
      </x:c>
      <x:c r="J2681" s="22" t="str">
        <x:v>产业功能</x:v>
      </x:c>
      <x:c r="K2681" s="32" t="str">
        <x:v>203A</x:v>
      </x:c>
      <x:c r="L2681" s="22" t="str">
        <x:v>村庄独立工业用地</x:v>
      </x:c>
      <x:c r="M2681" s="33" t="n">
        <x:v>1761678.2800000003</x:v>
      </x:c>
      <x:c r="N2681" s="33" t="n">
        <x:v>176.16782800000001</x:v>
      </x:c>
      <x:c r="O2681" s="22" t="str">
        <x:v>公顷</x:v>
      </x:c>
      <x:c r="P2681" s="22" t="str">
        <x:v>未提供（单期横截面）</x:v>
      </x:c>
      <x:c r="Q2681" s="23" t="n">
        <x:v>5660</x:v>
      </x:c>
    </x:row>
    <x:row r="2682">
      <x:c r="A2682" s="30" t="n">
        <x:v>350600</x:v>
      </x:c>
      <x:c r="B2682" s="22" t="str">
        <x:v>漳州市</x:v>
      </x:c>
      <x:c r="C2682" s="31" t="n">
        <x:v>350627</x:v>
      </x:c>
      <x:c r="D2682" s="22" t="str">
        <x:v>南靖县</x:v>
      </x:c>
      <x:c r="E2682" s="22" t="str">
        <x:v>建设用地</x:v>
      </x:c>
      <x:c r="F2682" s="22" t="str">
        <x:v>工矿仓储用地</x:v>
      </x:c>
      <x:c r="G2682" s="32" t="str">
        <x:v>602</x:v>
      </x:c>
      <x:c r="H2682" s="32" t="str">
        <x:v>602</x:v>
      </x:c>
      <x:c r="I2682" s="22" t="str">
        <x:v>采矿用地</x:v>
      </x:c>
      <x:c r="J2682" s="22" t="str">
        <x:v>产业功能</x:v>
      </x:c>
      <x:c r="K2682" s="32" t="str">
        <x:v>204</x:v>
      </x:c>
      <x:c r="L2682" s="22" t="str">
        <x:v>盐田及采矿用地</x:v>
      </x:c>
      <x:c r="M2682" s="33" t="n">
        <x:v>1428101.6900000004</x:v>
      </x:c>
      <x:c r="N2682" s="33" t="n">
        <x:v>142.81016900000003</x:v>
      </x:c>
      <x:c r="O2682" s="22" t="str">
        <x:v>公顷</x:v>
      </x:c>
      <x:c r="P2682" s="22" t="str">
        <x:v>未提供（单期横截面）</x:v>
      </x:c>
      <x:c r="Q2682" s="23" t="n">
        <x:v>5661</x:v>
      </x:c>
    </x:row>
    <x:row r="2683">
      <x:c r="A2683" s="30" t="n">
        <x:v>350600</x:v>
      </x:c>
      <x:c r="B2683" s="22" t="str">
        <x:v>漳州市</x:v>
      </x:c>
      <x:c r="C2683" s="31" t="n">
        <x:v>350627</x:v>
      </x:c>
      <x:c r="D2683" s="22" t="str">
        <x:v>南靖县</x:v>
      </x:c>
      <x:c r="E2683" s="22" t="str">
        <x:v>建设用地</x:v>
      </x:c>
      <x:c r="F2683" s="22" t="str">
        <x:v>交通运输用地</x:v>
      </x:c>
      <x:c r="G2683" s="32" t="str">
        <x:v>1004</x:v>
      </x:c>
      <x:c r="H2683" s="32" t="str">
        <x:v>1004</x:v>
      </x:c>
      <x:c r="I2683" s="22" t="str">
        <x:v>城镇村道路用地</x:v>
      </x:c>
      <x:c r="J2683" s="22" t="str">
        <x:v>交通门户</x:v>
      </x:c>
      <x:c r="K2683" s="32" t="str">
        <x:v>204</x:v>
      </x:c>
      <x:c r="L2683" s="22" t="str">
        <x:v>盐田及采矿用地</x:v>
      </x:c>
      <x:c r="M2683" s="33" t="n">
        <x:v>3072.87</x:v>
      </x:c>
      <x:c r="N2683" s="33" t="n">
        <x:v>0.307287</x:v>
      </x:c>
      <x:c r="O2683" s="22" t="str">
        <x:v>公顷</x:v>
      </x:c>
      <x:c r="P2683" s="22" t="str">
        <x:v>未提供（单期横截面）</x:v>
      </x:c>
      <x:c r="Q2683" s="23" t="n">
        <x:v>5662</x:v>
      </x:c>
    </x:row>
    <x:row r="2684">
      <x:c r="A2684" s="30" t="n">
        <x:v>350600</x:v>
      </x:c>
      <x:c r="B2684" s="22" t="str">
        <x:v>漳州市</x:v>
      </x:c>
      <x:c r="C2684" s="31" t="n">
        <x:v>350627</x:v>
      </x:c>
      <x:c r="D2684" s="22" t="str">
        <x:v>南靖县</x:v>
      </x:c>
      <x:c r="E2684" s="22" t="str">
        <x:v>建设用地</x:v>
      </x:c>
      <x:c r="F2684" s="22" t="str">
        <x:v>特殊用地</x:v>
      </x:c>
      <x:c r="G2684" s="32" t="str">
        <x:v>9</x:v>
      </x:c>
      <x:c r="H2684" s="32" t="str">
        <x:v>9</x:v>
      </x:c>
      <x:c r="I2684" s="22" t="str">
        <x:v>特殊用地</x:v>
      </x:c>
      <x:c r="J2684" s="22" t="str">
        <x:v>其他建设</x:v>
      </x:c>
      <x:c r="K2684" s="32" t="str">
        <x:v>205</x:v>
      </x:c>
      <x:c r="L2684" s="22" t="str">
        <x:v>特殊用地</x:v>
      </x:c>
      <x:c r="M2684" s="33" t="n">
        <x:v>2163267.4100000006</x:v>
      </x:c>
      <x:c r="N2684" s="33" t="n">
        <x:v>216.32674100000006</x:v>
      </x:c>
      <x:c r="O2684" s="22" t="str">
        <x:v>公顷</x:v>
      </x:c>
      <x:c r="P2684" s="22" t="str">
        <x:v>未提供（单期横截面）</x:v>
      </x:c>
      <x:c r="Q2684" s="23" t="n">
        <x:v>5663</x:v>
      </x:c>
    </x:row>
    <x:row r="2685">
      <x:c r="A2685" s="30" t="n">
        <x:v>350600</x:v>
      </x:c>
      <x:c r="B2685" s="22" t="str">
        <x:v>漳州市</x:v>
      </x:c>
      <x:c r="C2685" s="31" t="n">
        <x:v>350627</x:v>
      </x:c>
      <x:c r="D2685" s="22" t="str">
        <x:v>南靖县</x:v>
      </x:c>
      <x:c r="E2685" s="22" t="str">
        <x:v>建设用地</x:v>
      </x:c>
      <x:c r="F2685" s="22" t="str">
        <x:v>交通运输用地</x:v>
      </x:c>
      <x:c r="G2685" s="32" t="str">
        <x:v>1004</x:v>
      </x:c>
      <x:c r="H2685" s="32" t="str">
        <x:v>1004</x:v>
      </x:c>
      <x:c r="I2685" s="22" t="str">
        <x:v>城镇村道路用地</x:v>
      </x:c>
      <x:c r="J2685" s="22" t="str">
        <x:v>交通门户</x:v>
      </x:c>
      <x:c r="K2685" s="32" t="str">
        <x:v>205</x:v>
      </x:c>
      <x:c r="L2685" s="22" t="str">
        <x:v>特殊用地</x:v>
      </x:c>
      <x:c r="M2685" s="33" t="n">
        <x:v>2418.23</x:v>
      </x:c>
      <x:c r="N2685" s="33" t="n">
        <x:v>0.241823</x:v>
      </x:c>
      <x:c r="O2685" s="22" t="str">
        <x:v>公顷</x:v>
      </x:c>
      <x:c r="P2685" s="22" t="str">
        <x:v>未提供（单期横截面）</x:v>
      </x:c>
      <x:c r="Q2685" s="23" t="n">
        <x:v>5664</x:v>
      </x:c>
    </x:row>
    <x:row r="2686">
      <x:c r="A2686" s="30" t="n">
        <x:v>350600</x:v>
      </x:c>
      <x:c r="B2686" s="22" t="str">
        <x:v>漳州市</x:v>
      </x:c>
      <x:c r="C2686" s="31" t="n">
        <x:v>350627</x:v>
      </x:c>
      <x:c r="D2686" s="22" t="str">
        <x:v>南靖县</x:v>
      </x:c>
      <x:c r="E2686" s="22" t="str">
        <x:v>农用地</x:v>
      </x:c>
      <x:c r="F2686" s="22" t="str">
        <x:v>耕地</x:v>
      </x:c>
      <x:c r="G2686" s="32" t="str">
        <x:v>101</x:v>
      </x:c>
      <x:c r="H2686" s="32" t="str">
        <x:v>101</x:v>
      </x:c>
      <x:c r="I2686" s="22" t="str">
        <x:v>水田</x:v>
      </x:c>
      <x:c r="J2686" s="22" t="str">
        <x:v>农业生态</x:v>
      </x:c>
      <x:c r="K2686" s="32" t="str"/>
      <x:c r="L2686" s="22" t="str">
        <x:v>不适用/未标注</x:v>
      </x:c>
      <x:c r="M2686" s="33" t="n">
        <x:v>117493990.90000011</x:v>
      </x:c>
      <x:c r="N2686" s="33" t="n">
        <x:v>11749.399090000012</x:v>
      </x:c>
      <x:c r="O2686" s="22" t="str">
        <x:v>公顷</x:v>
      </x:c>
      <x:c r="P2686" s="22" t="str">
        <x:v>未提供（单期横截面）</x:v>
      </x:c>
      <x:c r="Q2686" s="23" t="n">
        <x:v>5665</x:v>
      </x:c>
    </x:row>
    <x:row r="2687">
      <x:c r="A2687" s="30" t="n">
        <x:v>350600</x:v>
      </x:c>
      <x:c r="B2687" s="22" t="str">
        <x:v>漳州市</x:v>
      </x:c>
      <x:c r="C2687" s="31" t="n">
        <x:v>350627</x:v>
      </x:c>
      <x:c r="D2687" s="22" t="str">
        <x:v>南靖县</x:v>
      </x:c>
      <x:c r="E2687" s="22" t="str">
        <x:v>农用地</x:v>
      </x:c>
      <x:c r="F2687" s="22" t="str">
        <x:v>耕地</x:v>
      </x:c>
      <x:c r="G2687" s="32" t="str">
        <x:v>102</x:v>
      </x:c>
      <x:c r="H2687" s="32" t="str">
        <x:v>102</x:v>
      </x:c>
      <x:c r="I2687" s="22" t="str">
        <x:v>水浇地</x:v>
      </x:c>
      <x:c r="J2687" s="22" t="str">
        <x:v>农业生态</x:v>
      </x:c>
      <x:c r="K2687" s="32" t="str"/>
      <x:c r="L2687" s="22" t="str">
        <x:v>不适用/未标注</x:v>
      </x:c>
      <x:c r="M2687" s="33" t="n">
        <x:v>11627068.939999996</x:v>
      </x:c>
      <x:c r="N2687" s="33" t="n">
        <x:v>1162.7068939999995</x:v>
      </x:c>
      <x:c r="O2687" s="22" t="str">
        <x:v>公顷</x:v>
      </x:c>
      <x:c r="P2687" s="22" t="str">
        <x:v>未提供（单期横截面）</x:v>
      </x:c>
      <x:c r="Q2687" s="23" t="n">
        <x:v>5666</x:v>
      </x:c>
    </x:row>
    <x:row r="2688">
      <x:c r="A2688" s="30" t="n">
        <x:v>350600</x:v>
      </x:c>
      <x:c r="B2688" s="22" t="str">
        <x:v>漳州市</x:v>
      </x:c>
      <x:c r="C2688" s="31" t="n">
        <x:v>350627</x:v>
      </x:c>
      <x:c r="D2688" s="22" t="str">
        <x:v>南靖县</x:v>
      </x:c>
      <x:c r="E2688" s="22" t="str">
        <x:v>农用地</x:v>
      </x:c>
      <x:c r="F2688" s="22" t="str">
        <x:v>耕地</x:v>
      </x:c>
      <x:c r="G2688" s="32" t="str">
        <x:v>103</x:v>
      </x:c>
      <x:c r="H2688" s="32" t="str">
        <x:v>103</x:v>
      </x:c>
      <x:c r="I2688" s="22" t="str">
        <x:v>旱地</x:v>
      </x:c>
      <x:c r="J2688" s="22" t="str">
        <x:v>农业生态</x:v>
      </x:c>
      <x:c r="K2688" s="32" t="str"/>
      <x:c r="L2688" s="22" t="str">
        <x:v>不适用/未标注</x:v>
      </x:c>
      <x:c r="M2688" s="33" t="n">
        <x:v>5567592.869999999</x:v>
      </x:c>
      <x:c r="N2688" s="33" t="n">
        <x:v>556.759287</x:v>
      </x:c>
      <x:c r="O2688" s="22" t="str">
        <x:v>公顷</x:v>
      </x:c>
      <x:c r="P2688" s="22" t="str">
        <x:v>未提供（单期横截面）</x:v>
      </x:c>
      <x:c r="Q2688" s="23" t="n">
        <x:v>5667</x:v>
      </x:c>
    </x:row>
    <x:row r="2689">
      <x:c r="A2689" s="30" t="n">
        <x:v>350600</x:v>
      </x:c>
      <x:c r="B2689" s="22" t="str">
        <x:v>漳州市</x:v>
      </x:c>
      <x:c r="C2689" s="31" t="n">
        <x:v>350627</x:v>
      </x:c>
      <x:c r="D2689" s="22" t="str">
        <x:v>南靖县</x:v>
      </x:c>
      <x:c r="E2689" s="22" t="str">
        <x:v>农用地</x:v>
      </x:c>
      <x:c r="F2689" s="22" t="str">
        <x:v>园地</x:v>
      </x:c>
      <x:c r="G2689" s="32" t="str">
        <x:v>201</x:v>
      </x:c>
      <x:c r="H2689" s="32" t="str">
        <x:v>201</x:v>
      </x:c>
      <x:c r="I2689" s="22" t="str">
        <x:v>果园</x:v>
      </x:c>
      <x:c r="J2689" s="22" t="str">
        <x:v>农业生态</x:v>
      </x:c>
      <x:c r="K2689" s="32" t="str"/>
      <x:c r="L2689" s="22" t="str">
        <x:v>不适用/未标注</x:v>
      </x:c>
      <x:c r="M2689" s="33" t="n">
        <x:v>141849872.83000004</x:v>
      </x:c>
      <x:c r="N2689" s="33" t="n">
        <x:v>14184.987283000004</x:v>
      </x:c>
      <x:c r="O2689" s="22" t="str">
        <x:v>公顷</x:v>
      </x:c>
      <x:c r="P2689" s="22" t="str">
        <x:v>未提供（单期横截面）</x:v>
      </x:c>
      <x:c r="Q2689" s="23" t="n">
        <x:v>5668</x:v>
      </x:c>
    </x:row>
    <x:row r="2690">
      <x:c r="A2690" s="30" t="n">
        <x:v>350600</x:v>
      </x:c>
      <x:c r="B2690" s="22" t="str">
        <x:v>漳州市</x:v>
      </x:c>
      <x:c r="C2690" s="31" t="n">
        <x:v>350627</x:v>
      </x:c>
      <x:c r="D2690" s="22" t="str">
        <x:v>南靖县</x:v>
      </x:c>
      <x:c r="E2690" s="22" t="str">
        <x:v>农用地</x:v>
      </x:c>
      <x:c r="F2690" s="22" t="str">
        <x:v>园地</x:v>
      </x:c>
      <x:c r="G2690" s="32" t="str">
        <x:v>0201K</x:v>
      </x:c>
      <x:c r="H2690" s="32" t="str">
        <x:v>201</x:v>
      </x:c>
      <x:c r="I2690" s="22" t="str">
        <x:v>可调整果园</x:v>
      </x:c>
      <x:c r="J2690" s="22" t="str">
        <x:v>农业生态</x:v>
      </x:c>
      <x:c r="K2690" s="32" t="str"/>
      <x:c r="L2690" s="22" t="str">
        <x:v>不适用/未标注</x:v>
      </x:c>
      <x:c r="M2690" s="33" t="n">
        <x:v>1784726.680000001</x:v>
      </x:c>
      <x:c r="N2690" s="33" t="n">
        <x:v>178.4726680000001</x:v>
      </x:c>
      <x:c r="O2690" s="22" t="str">
        <x:v>公顷</x:v>
      </x:c>
      <x:c r="P2690" s="22" t="str">
        <x:v>未提供（单期横截面）</x:v>
      </x:c>
      <x:c r="Q2690" s="23" t="n">
        <x:v>5669</x:v>
      </x:c>
    </x:row>
    <x:row r="2691">
      <x:c r="A2691" s="30" t="n">
        <x:v>350600</x:v>
      </x:c>
      <x:c r="B2691" s="22" t="str">
        <x:v>漳州市</x:v>
      </x:c>
      <x:c r="C2691" s="31" t="n">
        <x:v>350627</x:v>
      </x:c>
      <x:c r="D2691" s="22" t="str">
        <x:v>南靖县</x:v>
      </x:c>
      <x:c r="E2691" s="22" t="str">
        <x:v>农用地</x:v>
      </x:c>
      <x:c r="F2691" s="22" t="str">
        <x:v>园地</x:v>
      </x:c>
      <x:c r="G2691" s="32" t="str">
        <x:v>202</x:v>
      </x:c>
      <x:c r="H2691" s="32" t="str">
        <x:v>202</x:v>
      </x:c>
      <x:c r="I2691" s="22" t="str">
        <x:v>茶园</x:v>
      </x:c>
      <x:c r="J2691" s="22" t="str">
        <x:v>农业生态</x:v>
      </x:c>
      <x:c r="K2691" s="32" t="str"/>
      <x:c r="L2691" s="22" t="str">
        <x:v>不适用/未标注</x:v>
      </x:c>
      <x:c r="M2691" s="33" t="n">
        <x:v>42618314.53000007</x:v>
      </x:c>
      <x:c r="N2691" s="33" t="n">
        <x:v>4261.831453000007</x:v>
      </x:c>
      <x:c r="O2691" s="22" t="str">
        <x:v>公顷</x:v>
      </x:c>
      <x:c r="P2691" s="22" t="str">
        <x:v>未提供（单期横截面）</x:v>
      </x:c>
      <x:c r="Q2691" s="23" t="n">
        <x:v>5670</x:v>
      </x:c>
    </x:row>
    <x:row r="2692">
      <x:c r="A2692" s="30" t="n">
        <x:v>350600</x:v>
      </x:c>
      <x:c r="B2692" s="22" t="str">
        <x:v>漳州市</x:v>
      </x:c>
      <x:c r="C2692" s="31" t="n">
        <x:v>350627</x:v>
      </x:c>
      <x:c r="D2692" s="22" t="str">
        <x:v>南靖县</x:v>
      </x:c>
      <x:c r="E2692" s="22" t="str">
        <x:v>农用地</x:v>
      </x:c>
      <x:c r="F2692" s="22" t="str">
        <x:v>园地</x:v>
      </x:c>
      <x:c r="G2692" s="32" t="str">
        <x:v>0202K</x:v>
      </x:c>
      <x:c r="H2692" s="32" t="str">
        <x:v>0202</x:v>
      </x:c>
      <x:c r="I2692" s="22" t="str">
        <x:v>可调整茶园</x:v>
      </x:c>
      <x:c r="J2692" s="22" t="str">
        <x:v>农业生态</x:v>
      </x:c>
      <x:c r="K2692" s="32" t="str"/>
      <x:c r="L2692" s="22" t="str">
        <x:v>不适用/未标注</x:v>
      </x:c>
      <x:c r="M2692" s="33" t="n">
        <x:v>291805.05999999994</x:v>
      </x:c>
      <x:c r="N2692" s="33" t="n">
        <x:v>29.180505999999994</x:v>
      </x:c>
      <x:c r="O2692" s="22" t="str">
        <x:v>公顷</x:v>
      </x:c>
      <x:c r="P2692" s="22" t="str">
        <x:v>未提供（单期横截面）</x:v>
      </x:c>
      <x:c r="Q2692" s="23" t="n">
        <x:v>5671</x:v>
      </x:c>
    </x:row>
    <x:row r="2693">
      <x:c r="A2693" s="30" t="n">
        <x:v>350600</x:v>
      </x:c>
      <x:c r="B2693" s="22" t="str">
        <x:v>漳州市</x:v>
      </x:c>
      <x:c r="C2693" s="31" t="n">
        <x:v>350627</x:v>
      </x:c>
      <x:c r="D2693" s="22" t="str">
        <x:v>南靖县</x:v>
      </x:c>
      <x:c r="E2693" s="22" t="str">
        <x:v>农用地</x:v>
      </x:c>
      <x:c r="F2693" s="22" t="str">
        <x:v>园地</x:v>
      </x:c>
      <x:c r="G2693" s="32" t="str">
        <x:v>204</x:v>
      </x:c>
      <x:c r="H2693" s="32" t="str">
        <x:v>204</x:v>
      </x:c>
      <x:c r="I2693" s="22" t="str">
        <x:v>其他园地</x:v>
      </x:c>
      <x:c r="J2693" s="22" t="str">
        <x:v>农业生态</x:v>
      </x:c>
      <x:c r="K2693" s="32" t="str"/>
      <x:c r="L2693" s="22" t="str">
        <x:v>不适用/未标注</x:v>
      </x:c>
      <x:c r="M2693" s="33" t="n">
        <x:v>16082707.220000027</x:v>
      </x:c>
      <x:c r="N2693" s="33" t="n">
        <x:v>1608.2707220000027</x:v>
      </x:c>
      <x:c r="O2693" s="22" t="str">
        <x:v>公顷</x:v>
      </x:c>
      <x:c r="P2693" s="22" t="str">
        <x:v>未提供（单期横截面）</x:v>
      </x:c>
      <x:c r="Q2693" s="23" t="n">
        <x:v>5672</x:v>
      </x:c>
    </x:row>
    <x:row r="2694">
      <x:c r="A2694" s="30" t="n">
        <x:v>350600</x:v>
      </x:c>
      <x:c r="B2694" s="22" t="str">
        <x:v>漳州市</x:v>
      </x:c>
      <x:c r="C2694" s="31" t="n">
        <x:v>350627</x:v>
      </x:c>
      <x:c r="D2694" s="22" t="str">
        <x:v>南靖县</x:v>
      </x:c>
      <x:c r="E2694" s="22" t="str">
        <x:v>农用地</x:v>
      </x:c>
      <x:c r="F2694" s="22" t="str">
        <x:v>园地</x:v>
      </x:c>
      <x:c r="G2694" s="32" t="str">
        <x:v>0204K</x:v>
      </x:c>
      <x:c r="H2694" s="32" t="str">
        <x:v>0204</x:v>
      </x:c>
      <x:c r="I2694" s="22" t="str">
        <x:v>可调整其他园地</x:v>
      </x:c>
      <x:c r="J2694" s="22" t="str">
        <x:v>农业生态</x:v>
      </x:c>
      <x:c r="K2694" s="32" t="str"/>
      <x:c r="L2694" s="22" t="str">
        <x:v>不适用/未标注</x:v>
      </x:c>
      <x:c r="M2694" s="33" t="n">
        <x:v>215172.54999999993</x:v>
      </x:c>
      <x:c r="N2694" s="33" t="n">
        <x:v>21.51725499999999</x:v>
      </x:c>
      <x:c r="O2694" s="22" t="str">
        <x:v>公顷</x:v>
      </x:c>
      <x:c r="P2694" s="22" t="str">
        <x:v>未提供（单期横截面）</x:v>
      </x:c>
      <x:c r="Q2694" s="23" t="n">
        <x:v>5673</x:v>
      </x:c>
    </x:row>
    <x:row r="2695">
      <x:c r="A2695" s="30" t="n">
        <x:v>350600</x:v>
      </x:c>
      <x:c r="B2695" s="22" t="str">
        <x:v>漳州市</x:v>
      </x:c>
      <x:c r="C2695" s="31" t="n">
        <x:v>350627</x:v>
      </x:c>
      <x:c r="D2695" s="22" t="str">
        <x:v>南靖县</x:v>
      </x:c>
      <x:c r="E2695" s="22" t="str">
        <x:v>农用地</x:v>
      </x:c>
      <x:c r="F2695" s="22" t="str">
        <x:v>林地</x:v>
      </x:c>
      <x:c r="G2695" s="32" t="str">
        <x:v>301</x:v>
      </x:c>
      <x:c r="H2695" s="32" t="str">
        <x:v>301</x:v>
      </x:c>
      <x:c r="I2695" s="22" t="str">
        <x:v>乔木林地</x:v>
      </x:c>
      <x:c r="J2695" s="22" t="str">
        <x:v>农业生态</x:v>
      </x:c>
      <x:c r="K2695" s="32" t="str"/>
      <x:c r="L2695" s="22" t="str">
        <x:v>不适用/未标注</x:v>
      </x:c>
      <x:c r="M2695" s="33" t="n">
        <x:v>945916550.6899986</x:v>
      </x:c>
      <x:c r="N2695" s="33" t="n">
        <x:v>94591.65506899987</x:v>
      </x:c>
      <x:c r="O2695" s="22" t="str">
        <x:v>公顷</x:v>
      </x:c>
      <x:c r="P2695" s="22" t="str">
        <x:v>未提供（单期横截面）</x:v>
      </x:c>
      <x:c r="Q2695" s="23" t="n">
        <x:v>5674</x:v>
      </x:c>
    </x:row>
    <x:row r="2696">
      <x:c r="A2696" s="30" t="n">
        <x:v>350600</x:v>
      </x:c>
      <x:c r="B2696" s="22" t="str">
        <x:v>漳州市</x:v>
      </x:c>
      <x:c r="C2696" s="31" t="n">
        <x:v>350627</x:v>
      </x:c>
      <x:c r="D2696" s="22" t="str">
        <x:v>南靖县</x:v>
      </x:c>
      <x:c r="E2696" s="22" t="str">
        <x:v>农用地</x:v>
      </x:c>
      <x:c r="F2696" s="22" t="str">
        <x:v>林地</x:v>
      </x:c>
      <x:c r="G2696" s="32" t="str">
        <x:v>0301K</x:v>
      </x:c>
      <x:c r="H2696" s="32" t="str">
        <x:v>0301</x:v>
      </x:c>
      <x:c r="I2696" s="22" t="str">
        <x:v>可调整乔木林地</x:v>
      </x:c>
      <x:c r="J2696" s="22" t="str">
        <x:v>农业生态</x:v>
      </x:c>
      <x:c r="K2696" s="32" t="str"/>
      <x:c r="L2696" s="22" t="str">
        <x:v>不适用/未标注</x:v>
      </x:c>
      <x:c r="M2696" s="33" t="n">
        <x:v>4599818.55</x:v>
      </x:c>
      <x:c r="N2696" s="33" t="n">
        <x:v>459.981855</x:v>
      </x:c>
      <x:c r="O2696" s="22" t="str">
        <x:v>公顷</x:v>
      </x:c>
      <x:c r="P2696" s="22" t="str">
        <x:v>未提供（单期横截面）</x:v>
      </x:c>
      <x:c r="Q2696" s="23" t="n">
        <x:v>5675</x:v>
      </x:c>
    </x:row>
    <x:row r="2697">
      <x:c r="A2697" s="30" t="n">
        <x:v>350600</x:v>
      </x:c>
      <x:c r="B2697" s="22" t="str">
        <x:v>漳州市</x:v>
      </x:c>
      <x:c r="C2697" s="31" t="n">
        <x:v>350627</x:v>
      </x:c>
      <x:c r="D2697" s="22" t="str">
        <x:v>南靖县</x:v>
      </x:c>
      <x:c r="E2697" s="22" t="str">
        <x:v>农用地</x:v>
      </x:c>
      <x:c r="F2697" s="22" t="str">
        <x:v>林地</x:v>
      </x:c>
      <x:c r="G2697" s="32" t="str">
        <x:v>302</x:v>
      </x:c>
      <x:c r="H2697" s="32" t="str">
        <x:v>302</x:v>
      </x:c>
      <x:c r="I2697" s="22" t="str">
        <x:v>竹林地</x:v>
      </x:c>
      <x:c r="J2697" s="22" t="str">
        <x:v>农业生态</x:v>
      </x:c>
      <x:c r="K2697" s="32" t="str"/>
      <x:c r="L2697" s="22" t="str">
        <x:v>不适用/未标注</x:v>
      </x:c>
      <x:c r="M2697" s="33" t="n">
        <x:v>391237291.88999933</x:v>
      </x:c>
      <x:c r="N2697" s="33" t="n">
        <x:v>39123.72918899993</x:v>
      </x:c>
      <x:c r="O2697" s="22" t="str">
        <x:v>公顷</x:v>
      </x:c>
      <x:c r="P2697" s="22" t="str">
        <x:v>未提供（单期横截面）</x:v>
      </x:c>
      <x:c r="Q2697" s="23" t="n">
        <x:v>5676</x:v>
      </x:c>
    </x:row>
    <x:row r="2698">
      <x:c r="A2698" s="30" t="n">
        <x:v>350600</x:v>
      </x:c>
      <x:c r="B2698" s="22" t="str">
        <x:v>漳州市</x:v>
      </x:c>
      <x:c r="C2698" s="31" t="n">
        <x:v>350627</x:v>
      </x:c>
      <x:c r="D2698" s="22" t="str">
        <x:v>南靖县</x:v>
      </x:c>
      <x:c r="E2698" s="22" t="str">
        <x:v>农用地</x:v>
      </x:c>
      <x:c r="F2698" s="22" t="str">
        <x:v>林地</x:v>
      </x:c>
      <x:c r="G2698" s="32" t="str">
        <x:v>0302K</x:v>
      </x:c>
      <x:c r="H2698" s="32" t="str">
        <x:v>0302</x:v>
      </x:c>
      <x:c r="I2698" s="22" t="str">
        <x:v>可调整竹林地</x:v>
      </x:c>
      <x:c r="J2698" s="22" t="str">
        <x:v>农业生态</x:v>
      </x:c>
      <x:c r="K2698" s="32" t="str"/>
      <x:c r="L2698" s="22" t="str">
        <x:v>不适用/未标注</x:v>
      </x:c>
      <x:c r="M2698" s="33" t="n">
        <x:v>4408901.030000004</x:v>
      </x:c>
      <x:c r="N2698" s="33" t="n">
        <x:v>440.8901030000004</x:v>
      </x:c>
      <x:c r="O2698" s="22" t="str">
        <x:v>公顷</x:v>
      </x:c>
      <x:c r="P2698" s="22" t="str">
        <x:v>未提供（单期横截面）</x:v>
      </x:c>
      <x:c r="Q2698" s="23" t="n">
        <x:v>5677</x:v>
      </x:c>
    </x:row>
    <x:row r="2699">
      <x:c r="A2699" s="30" t="n">
        <x:v>350600</x:v>
      </x:c>
      <x:c r="B2699" s="22" t="str">
        <x:v>漳州市</x:v>
      </x:c>
      <x:c r="C2699" s="31" t="n">
        <x:v>350627</x:v>
      </x:c>
      <x:c r="D2699" s="22" t="str">
        <x:v>南靖县</x:v>
      </x:c>
      <x:c r="E2699" s="22" t="str">
        <x:v>农用地</x:v>
      </x:c>
      <x:c r="F2699" s="22" t="str">
        <x:v>林地</x:v>
      </x:c>
      <x:c r="G2699" s="32" t="str">
        <x:v>305</x:v>
      </x:c>
      <x:c r="H2699" s="32" t="str">
        <x:v>305</x:v>
      </x:c>
      <x:c r="I2699" s="22" t="str">
        <x:v>灌木林地</x:v>
      </x:c>
      <x:c r="J2699" s="22" t="str">
        <x:v>农业生态</x:v>
      </x:c>
      <x:c r="K2699" s="32" t="str"/>
      <x:c r="L2699" s="22" t="str">
        <x:v>不适用/未标注</x:v>
      </x:c>
      <x:c r="M2699" s="33" t="n">
        <x:v>4083584.51</x:v>
      </x:c>
      <x:c r="N2699" s="33" t="n">
        <x:v>408.358451</x:v>
      </x:c>
      <x:c r="O2699" s="22" t="str">
        <x:v>公顷</x:v>
      </x:c>
      <x:c r="P2699" s="22" t="str">
        <x:v>未提供（单期横截面）</x:v>
      </x:c>
      <x:c r="Q2699" s="23" t="n">
        <x:v>5678</x:v>
      </x:c>
    </x:row>
    <x:row r="2700">
      <x:c r="A2700" s="30" t="n">
        <x:v>350600</x:v>
      </x:c>
      <x:c r="B2700" s="22" t="str">
        <x:v>漳州市</x:v>
      </x:c>
      <x:c r="C2700" s="31" t="n">
        <x:v>350627</x:v>
      </x:c>
      <x:c r="D2700" s="22" t="str">
        <x:v>南靖县</x:v>
      </x:c>
      <x:c r="E2700" s="22" t="str">
        <x:v>农用地</x:v>
      </x:c>
      <x:c r="F2700" s="22" t="str">
        <x:v>林地</x:v>
      </x:c>
      <x:c r="G2700" s="32" t="str">
        <x:v>307</x:v>
      </x:c>
      <x:c r="H2700" s="32" t="str">
        <x:v>307</x:v>
      </x:c>
      <x:c r="I2700" s="22" t="str">
        <x:v>其他林地</x:v>
      </x:c>
      <x:c r="J2700" s="22" t="str">
        <x:v>农业生态</x:v>
      </x:c>
      <x:c r="K2700" s="32" t="str"/>
      <x:c r="L2700" s="22" t="str">
        <x:v>不适用/未标注</x:v>
      </x:c>
      <x:c r="M2700" s="33" t="n">
        <x:v>83738139.3799998</x:v>
      </x:c>
      <x:c r="N2700" s="33" t="n">
        <x:v>8373.81393799998</x:v>
      </x:c>
      <x:c r="O2700" s="22" t="str">
        <x:v>公顷</x:v>
      </x:c>
      <x:c r="P2700" s="22" t="str">
        <x:v>未提供（单期横截面）</x:v>
      </x:c>
      <x:c r="Q2700" s="23" t="n">
        <x:v>5679</x:v>
      </x:c>
    </x:row>
    <x:row r="2701">
      <x:c r="A2701" s="30" t="n">
        <x:v>350600</x:v>
      </x:c>
      <x:c r="B2701" s="22" t="str">
        <x:v>漳州市</x:v>
      </x:c>
      <x:c r="C2701" s="31" t="n">
        <x:v>350627</x:v>
      </x:c>
      <x:c r="D2701" s="22" t="str">
        <x:v>南靖县</x:v>
      </x:c>
      <x:c r="E2701" s="22" t="str">
        <x:v>农用地</x:v>
      </x:c>
      <x:c r="F2701" s="22" t="str">
        <x:v>林地</x:v>
      </x:c>
      <x:c r="G2701" s="32" t="str">
        <x:v>0307K</x:v>
      </x:c>
      <x:c r="H2701" s="32" t="str">
        <x:v>0307</x:v>
      </x:c>
      <x:c r="I2701" s="22" t="str">
        <x:v>可调整其他林地</x:v>
      </x:c>
      <x:c r="J2701" s="22" t="str">
        <x:v>农业生态</x:v>
      </x:c>
      <x:c r="K2701" s="32" t="str"/>
      <x:c r="L2701" s="22" t="str">
        <x:v>不适用/未标注</x:v>
      </x:c>
      <x:c r="M2701" s="33" t="n">
        <x:v>1144027.1899999992</x:v>
      </x:c>
      <x:c r="N2701" s="33" t="n">
        <x:v>114.40271899999992</x:v>
      </x:c>
      <x:c r="O2701" s="22" t="str">
        <x:v>公顷</x:v>
      </x:c>
      <x:c r="P2701" s="22" t="str">
        <x:v>未提供（单期横截面）</x:v>
      </x:c>
      <x:c r="Q2701" s="23" t="n">
        <x:v>5680</x:v>
      </x:c>
    </x:row>
    <x:row r="2702">
      <x:c r="A2702" s="30" t="n">
        <x:v>350600</x:v>
      </x:c>
      <x:c r="B2702" s="22" t="str">
        <x:v>漳州市</x:v>
      </x:c>
      <x:c r="C2702" s="31" t="n">
        <x:v>350627</x:v>
      </x:c>
      <x:c r="D2702" s="22" t="str">
        <x:v>南靖县</x:v>
      </x:c>
      <x:c r="E2702" s="22" t="str">
        <x:v>农用地</x:v>
      </x:c>
      <x:c r="F2702" s="22" t="str">
        <x:v>其他农用地</x:v>
      </x:c>
      <x:c r="G2702" s="32" t="str">
        <x:v>1006</x:v>
      </x:c>
      <x:c r="H2702" s="32" t="str">
        <x:v>1006</x:v>
      </x:c>
      <x:c r="I2702" s="22" t="str">
        <x:v>农村道路</x:v>
      </x:c>
      <x:c r="J2702" s="22" t="str">
        <x:v>农业生态</x:v>
      </x:c>
      <x:c r="K2702" s="32" t="str"/>
      <x:c r="L2702" s="22" t="str">
        <x:v>不适用/未标注</x:v>
      </x:c>
      <x:c r="M2702" s="33" t="n">
        <x:v>14144934.100000033</x:v>
      </x:c>
      <x:c r="N2702" s="33" t="n">
        <x:v>1414.4934100000032</x:v>
      </x:c>
      <x:c r="O2702" s="22" t="str">
        <x:v>公顷</x:v>
      </x:c>
      <x:c r="P2702" s="22" t="str">
        <x:v>未提供（单期横截面）</x:v>
      </x:c>
      <x:c r="Q2702" s="23" t="n">
        <x:v>5681</x:v>
      </x:c>
    </x:row>
    <x:row r="2703">
      <x:c r="A2703" s="30" t="n">
        <x:v>350600</x:v>
      </x:c>
      <x:c r="B2703" s="22" t="str">
        <x:v>漳州市</x:v>
      </x:c>
      <x:c r="C2703" s="31" t="n">
        <x:v>350627</x:v>
      </x:c>
      <x:c r="D2703" s="22" t="str">
        <x:v>南靖县</x:v>
      </x:c>
      <x:c r="E2703" s="22" t="str">
        <x:v>农用地</x:v>
      </x:c>
      <x:c r="F2703" s="22" t="str">
        <x:v>水域及水利设施</x:v>
      </x:c>
      <x:c r="G2703" s="32" t="str">
        <x:v>1103</x:v>
      </x:c>
      <x:c r="H2703" s="32" t="str">
        <x:v>1103</x:v>
      </x:c>
      <x:c r="I2703" s="22" t="str">
        <x:v>水库水面</x:v>
      </x:c>
      <x:c r="J2703" s="22" t="str">
        <x:v>农业生态</x:v>
      </x:c>
      <x:c r="K2703" s="32" t="str"/>
      <x:c r="L2703" s="22" t="str">
        <x:v>不适用/未标注</x:v>
      </x:c>
      <x:c r="M2703" s="33" t="n">
        <x:v>6285455.010000001</x:v>
      </x:c>
      <x:c r="N2703" s="33" t="n">
        <x:v>628.5455010000001</x:v>
      </x:c>
      <x:c r="O2703" s="22" t="str">
        <x:v>公顷</x:v>
      </x:c>
      <x:c r="P2703" s="22" t="str">
        <x:v>未提供（单期横截面）</x:v>
      </x:c>
      <x:c r="Q2703" s="23" t="n">
        <x:v>5682</x:v>
      </x:c>
    </x:row>
    <x:row r="2704">
      <x:c r="A2704" s="30" t="n">
        <x:v>350600</x:v>
      </x:c>
      <x:c r="B2704" s="22" t="str">
        <x:v>漳州市</x:v>
      </x:c>
      <x:c r="C2704" s="31" t="n">
        <x:v>350627</x:v>
      </x:c>
      <x:c r="D2704" s="22" t="str">
        <x:v>南靖县</x:v>
      </x:c>
      <x:c r="E2704" s="22" t="str">
        <x:v>农用地</x:v>
      </x:c>
      <x:c r="F2704" s="22" t="str">
        <x:v>水域及水利设施</x:v>
      </x:c>
      <x:c r="G2704" s="32" t="str">
        <x:v>1104</x:v>
      </x:c>
      <x:c r="H2704" s="32" t="str">
        <x:v>1104</x:v>
      </x:c>
      <x:c r="I2704" s="22" t="str">
        <x:v>坑塘水面</x:v>
      </x:c>
      <x:c r="J2704" s="22" t="str">
        <x:v>农业生态</x:v>
      </x:c>
      <x:c r="K2704" s="32" t="str"/>
      <x:c r="L2704" s="22" t="str">
        <x:v>不适用/未标注</x:v>
      </x:c>
      <x:c r="M2704" s="33" t="n">
        <x:v>6932962.150000004</x:v>
      </x:c>
      <x:c r="N2704" s="33" t="n">
        <x:v>693.2962150000004</x:v>
      </x:c>
      <x:c r="O2704" s="22" t="str">
        <x:v>公顷</x:v>
      </x:c>
      <x:c r="P2704" s="22" t="str">
        <x:v>未提供（单期横截面）</x:v>
      </x:c>
      <x:c r="Q2704" s="23" t="n">
        <x:v>5683</x:v>
      </x:c>
    </x:row>
    <x:row r="2705">
      <x:c r="A2705" s="30" t="n">
        <x:v>350600</x:v>
      </x:c>
      <x:c r="B2705" s="22" t="str">
        <x:v>漳州市</x:v>
      </x:c>
      <x:c r="C2705" s="31" t="n">
        <x:v>350627</x:v>
      </x:c>
      <x:c r="D2705" s="22" t="str">
        <x:v>南靖县</x:v>
      </x:c>
      <x:c r="E2705" s="22" t="str">
        <x:v>农用地</x:v>
      </x:c>
      <x:c r="F2705" s="22" t="str">
        <x:v>水域及水利设施</x:v>
      </x:c>
      <x:c r="G2705" s="32" t="str">
        <x:v>1104A</x:v>
      </x:c>
      <x:c r="H2705" s="32" t="str">
        <x:v>1104</x:v>
      </x:c>
      <x:c r="I2705" s="22" t="str">
        <x:v>养殖坑塘</x:v>
      </x:c>
      <x:c r="J2705" s="22" t="str">
        <x:v>农业生态</x:v>
      </x:c>
      <x:c r="K2705" s="32" t="str"/>
      <x:c r="L2705" s="22" t="str">
        <x:v>不适用/未标注</x:v>
      </x:c>
      <x:c r="M2705" s="33" t="n">
        <x:v>10339399.200000003</x:v>
      </x:c>
      <x:c r="N2705" s="33" t="n">
        <x:v>1033.9399200000003</x:v>
      </x:c>
      <x:c r="O2705" s="22" t="str">
        <x:v>公顷</x:v>
      </x:c>
      <x:c r="P2705" s="22" t="str">
        <x:v>未提供（单期横截面）</x:v>
      </x:c>
      <x:c r="Q2705" s="23" t="n">
        <x:v>5684</x:v>
      </x:c>
    </x:row>
    <x:row r="2706">
      <x:c r="A2706" s="30" t="n">
        <x:v>350600</x:v>
      </x:c>
      <x:c r="B2706" s="22" t="str">
        <x:v>漳州市</x:v>
      </x:c>
      <x:c r="C2706" s="31" t="n">
        <x:v>350627</x:v>
      </x:c>
      <x:c r="D2706" s="22" t="str">
        <x:v>南靖县</x:v>
      </x:c>
      <x:c r="E2706" s="22" t="str">
        <x:v>农用地</x:v>
      </x:c>
      <x:c r="F2706" s="22" t="str">
        <x:v>水域及水利设施</x:v>
      </x:c>
      <x:c r="G2706" s="32" t="str">
        <x:v>1104K</x:v>
      </x:c>
      <x:c r="H2706" s="32" t="str">
        <x:v>1104</x:v>
      </x:c>
      <x:c r="I2706" s="22" t="str">
        <x:v>可调整养殖坑塘</x:v>
      </x:c>
      <x:c r="J2706" s="22" t="str">
        <x:v>农业生态</x:v>
      </x:c>
      <x:c r="K2706" s="32" t="str"/>
      <x:c r="L2706" s="22" t="str">
        <x:v>不适用/未标注</x:v>
      </x:c>
      <x:c r="M2706" s="33" t="n">
        <x:v>486390.61</x:v>
      </x:c>
      <x:c r="N2706" s="33" t="n">
        <x:v>48.639061</x:v>
      </x:c>
      <x:c r="O2706" s="22" t="str">
        <x:v>公顷</x:v>
      </x:c>
      <x:c r="P2706" s="22" t="str">
        <x:v>未提供（单期横截面）</x:v>
      </x:c>
      <x:c r="Q2706" s="23" t="n">
        <x:v>5685</x:v>
      </x:c>
    </x:row>
    <x:row r="2707">
      <x:c r="A2707" s="30" t="n">
        <x:v>350600</x:v>
      </x:c>
      <x:c r="B2707" s="22" t="str">
        <x:v>漳州市</x:v>
      </x:c>
      <x:c r="C2707" s="31" t="n">
        <x:v>350627</x:v>
      </x:c>
      <x:c r="D2707" s="22" t="str">
        <x:v>南靖县</x:v>
      </x:c>
      <x:c r="E2707" s="22" t="str">
        <x:v>农用地</x:v>
      </x:c>
      <x:c r="F2707" s="22" t="str">
        <x:v>水域及水利设施</x:v>
      </x:c>
      <x:c r="G2707" s="32" t="str">
        <x:v>1107</x:v>
      </x:c>
      <x:c r="H2707" s="32" t="str">
        <x:v>1107</x:v>
      </x:c>
      <x:c r="I2707" s="22" t="str">
        <x:v>沟渠</x:v>
      </x:c>
      <x:c r="J2707" s="22" t="str">
        <x:v>农业生态</x:v>
      </x:c>
      <x:c r="K2707" s="32" t="str"/>
      <x:c r="L2707" s="22" t="str">
        <x:v>不适用/未标注</x:v>
      </x:c>
      <x:c r="M2707" s="33" t="n">
        <x:v>3619857.8299999977</x:v>
      </x:c>
      <x:c r="N2707" s="33" t="n">
        <x:v>361.9857829999998</x:v>
      </x:c>
      <x:c r="O2707" s="22" t="str">
        <x:v>公顷</x:v>
      </x:c>
      <x:c r="P2707" s="22" t="str">
        <x:v>未提供（单期横截面）</x:v>
      </x:c>
      <x:c r="Q2707" s="23" t="n">
        <x:v>5686</x:v>
      </x:c>
    </x:row>
    <x:row r="2708">
      <x:c r="A2708" s="30" t="n">
        <x:v>350600</x:v>
      </x:c>
      <x:c r="B2708" s="22" t="str">
        <x:v>漳州市</x:v>
      </x:c>
      <x:c r="C2708" s="31" t="n">
        <x:v>350627</x:v>
      </x:c>
      <x:c r="D2708" s="22" t="str">
        <x:v>南靖县</x:v>
      </x:c>
      <x:c r="E2708" s="22" t="str">
        <x:v>农用地</x:v>
      </x:c>
      <x:c r="F2708" s="22" t="str">
        <x:v>水域及水利设施</x:v>
      </x:c>
      <x:c r="G2708" s="32" t="str">
        <x:v>1107A</x:v>
      </x:c>
      <x:c r="H2708" s="32" t="str">
        <x:v>1107</x:v>
      </x:c>
      <x:c r="I2708" s="22" t="str">
        <x:v>干渠</x:v>
      </x:c>
      <x:c r="J2708" s="22" t="str">
        <x:v>农业生态</x:v>
      </x:c>
      <x:c r="K2708" s="32" t="str"/>
      <x:c r="L2708" s="22" t="str">
        <x:v>不适用/未标注</x:v>
      </x:c>
      <x:c r="M2708" s="33" t="n">
        <x:v>49559.54</x:v>
      </x:c>
      <x:c r="N2708" s="33" t="n">
        <x:v>4.955954</x:v>
      </x:c>
      <x:c r="O2708" s="22" t="str">
        <x:v>公顷</x:v>
      </x:c>
      <x:c r="P2708" s="22" t="str">
        <x:v>未提供（单期横截面）</x:v>
      </x:c>
      <x:c r="Q2708" s="23" t="n">
        <x:v>5687</x:v>
      </x:c>
    </x:row>
    <x:row r="2709">
      <x:c r="A2709" s="30" t="n">
        <x:v>350600</x:v>
      </x:c>
      <x:c r="B2709" s="22" t="str">
        <x:v>漳州市</x:v>
      </x:c>
      <x:c r="C2709" s="31" t="n">
        <x:v>350627</x:v>
      </x:c>
      <x:c r="D2709" s="22" t="str">
        <x:v>南靖县</x:v>
      </x:c>
      <x:c r="E2709" s="22" t="str">
        <x:v>农用地</x:v>
      </x:c>
      <x:c r="F2709" s="22" t="str">
        <x:v>其他农用地</x:v>
      </x:c>
      <x:c r="G2709" s="32" t="str">
        <x:v>1202</x:v>
      </x:c>
      <x:c r="H2709" s="32" t="str">
        <x:v>1202</x:v>
      </x:c>
      <x:c r="I2709" s="22" t="str">
        <x:v>设施农用地</x:v>
      </x:c>
      <x:c r="J2709" s="22" t="str">
        <x:v>农业生态</x:v>
      </x:c>
      <x:c r="K2709" s="32" t="str"/>
      <x:c r="L2709" s="22" t="str">
        <x:v>不适用/未标注</x:v>
      </x:c>
      <x:c r="M2709" s="33" t="n">
        <x:v>15052768.079999981</x:v>
      </x:c>
      <x:c r="N2709" s="33" t="n">
        <x:v>1505.2768079999983</x:v>
      </x:c>
      <x:c r="O2709" s="22" t="str">
        <x:v>公顷</x:v>
      </x:c>
      <x:c r="P2709" s="22" t="str">
        <x:v>未提供（单期横截面）</x:v>
      </x:c>
      <x:c r="Q2709" s="23" t="n">
        <x:v>5688</x:v>
      </x:c>
    </x:row>
    <x:row r="2710">
      <x:c r="A2710" s="30" t="n">
        <x:v>350600</x:v>
      </x:c>
      <x:c r="B2710" s="22" t="str">
        <x:v>漳州市</x:v>
      </x:c>
      <x:c r="C2710" s="31" t="n">
        <x:v>350627</x:v>
      </x:c>
      <x:c r="D2710" s="22" t="str">
        <x:v>南靖县</x:v>
      </x:c>
      <x:c r="E2710" s="22" t="str">
        <x:v>农用地</x:v>
      </x:c>
      <x:c r="F2710" s="22" t="str">
        <x:v>耕地</x:v>
      </x:c>
      <x:c r="G2710" s="32" t="str">
        <x:v>101</x:v>
      </x:c>
      <x:c r="H2710" s="32" t="str">
        <x:v>101</x:v>
      </x:c>
      <x:c r="I2710" s="22" t="str">
        <x:v>水田</x:v>
      </x:c>
      <x:c r="J2710" s="22" t="str">
        <x:v>农业生态</x:v>
      </x:c>
      <x:c r="K2710" s="32" t="str">
        <x:v>202</x:v>
      </x:c>
      <x:c r="L2710" s="22" t="str">
        <x:v>建制镇范围</x:v>
      </x:c>
      <x:c r="M2710" s="33" t="n">
        <x:v>225164.08</x:v>
      </x:c>
      <x:c r="N2710" s="33" t="n">
        <x:v>22.516408</x:v>
      </x:c>
      <x:c r="O2710" s="22" t="str">
        <x:v>公顷</x:v>
      </x:c>
      <x:c r="P2710" s="22" t="str">
        <x:v>未提供（单期横截面）</x:v>
      </x:c>
      <x:c r="Q2710" s="23" t="n">
        <x:v>5689</x:v>
      </x:c>
    </x:row>
    <x:row r="2711">
      <x:c r="A2711" s="30" t="n">
        <x:v>350600</x:v>
      </x:c>
      <x:c r="B2711" s="22" t="str">
        <x:v>漳州市</x:v>
      </x:c>
      <x:c r="C2711" s="31" t="n">
        <x:v>350627</x:v>
      </x:c>
      <x:c r="D2711" s="22" t="str">
        <x:v>南靖县</x:v>
      </x:c>
      <x:c r="E2711" s="22" t="str">
        <x:v>农用地</x:v>
      </x:c>
      <x:c r="F2711" s="22" t="str">
        <x:v>耕地</x:v>
      </x:c>
      <x:c r="G2711" s="32" t="str">
        <x:v>102</x:v>
      </x:c>
      <x:c r="H2711" s="32" t="str">
        <x:v>102</x:v>
      </x:c>
      <x:c r="I2711" s="22" t="str">
        <x:v>水浇地</x:v>
      </x:c>
      <x:c r="J2711" s="22" t="str">
        <x:v>农业生态</x:v>
      </x:c>
      <x:c r="K2711" s="32" t="str">
        <x:v>202</x:v>
      </x:c>
      <x:c r="L2711" s="22" t="str">
        <x:v>建制镇范围</x:v>
      </x:c>
      <x:c r="M2711" s="33" t="n">
        <x:v>90199.57000000002</x:v>
      </x:c>
      <x:c r="N2711" s="33" t="n">
        <x:v>9.019957000000002</x:v>
      </x:c>
      <x:c r="O2711" s="22" t="str">
        <x:v>公顷</x:v>
      </x:c>
      <x:c r="P2711" s="22" t="str">
        <x:v>未提供（单期横截面）</x:v>
      </x:c>
      <x:c r="Q2711" s="23" t="n">
        <x:v>5690</x:v>
      </x:c>
    </x:row>
    <x:row r="2712">
      <x:c r="A2712" s="30" t="n">
        <x:v>350600</x:v>
      </x:c>
      <x:c r="B2712" s="22" t="str">
        <x:v>漳州市</x:v>
      </x:c>
      <x:c r="C2712" s="31" t="n">
        <x:v>350627</x:v>
      </x:c>
      <x:c r="D2712" s="22" t="str">
        <x:v>南靖县</x:v>
      </x:c>
      <x:c r="E2712" s="22" t="str">
        <x:v>农用地</x:v>
      </x:c>
      <x:c r="F2712" s="22" t="str">
        <x:v>耕地</x:v>
      </x:c>
      <x:c r="G2712" s="32" t="str">
        <x:v>103</x:v>
      </x:c>
      <x:c r="H2712" s="32" t="str">
        <x:v>103</x:v>
      </x:c>
      <x:c r="I2712" s="22" t="str">
        <x:v>旱地</x:v>
      </x:c>
      <x:c r="J2712" s="22" t="str">
        <x:v>农业生态</x:v>
      </x:c>
      <x:c r="K2712" s="32" t="str">
        <x:v>202</x:v>
      </x:c>
      <x:c r="L2712" s="22" t="str">
        <x:v>建制镇范围</x:v>
      </x:c>
      <x:c r="M2712" s="33" t="n">
        <x:v>51997.06</x:v>
      </x:c>
      <x:c r="N2712" s="33" t="n">
        <x:v>5.199706</x:v>
      </x:c>
      <x:c r="O2712" s="22" t="str">
        <x:v>公顷</x:v>
      </x:c>
      <x:c r="P2712" s="22" t="str">
        <x:v>未提供（单期横截面）</x:v>
      </x:c>
      <x:c r="Q2712" s="23" t="n">
        <x:v>5691</x:v>
      </x:c>
    </x:row>
    <x:row r="2713">
      <x:c r="A2713" s="30" t="n">
        <x:v>350600</x:v>
      </x:c>
      <x:c r="B2713" s="22" t="str">
        <x:v>漳州市</x:v>
      </x:c>
      <x:c r="C2713" s="31" t="n">
        <x:v>350627</x:v>
      </x:c>
      <x:c r="D2713" s="22" t="str">
        <x:v>南靖县</x:v>
      </x:c>
      <x:c r="E2713" s="22" t="str">
        <x:v>农用地</x:v>
      </x:c>
      <x:c r="F2713" s="22" t="str">
        <x:v>园地</x:v>
      </x:c>
      <x:c r="G2713" s="32" t="str">
        <x:v>201</x:v>
      </x:c>
      <x:c r="H2713" s="32" t="str">
        <x:v>201</x:v>
      </x:c>
      <x:c r="I2713" s="22" t="str">
        <x:v>果园</x:v>
      </x:c>
      <x:c r="J2713" s="22" t="str">
        <x:v>农业生态</x:v>
      </x:c>
      <x:c r="K2713" s="32" t="str">
        <x:v>202</x:v>
      </x:c>
      <x:c r="L2713" s="22" t="str">
        <x:v>建制镇范围</x:v>
      </x:c>
      <x:c r="M2713" s="33" t="n">
        <x:v>144340.51</x:v>
      </x:c>
      <x:c r="N2713" s="33" t="n">
        <x:v>14.434051</x:v>
      </x:c>
      <x:c r="O2713" s="22" t="str">
        <x:v>公顷</x:v>
      </x:c>
      <x:c r="P2713" s="22" t="str">
        <x:v>未提供（单期横截面）</x:v>
      </x:c>
      <x:c r="Q2713" s="23" t="n">
        <x:v>5692</x:v>
      </x:c>
    </x:row>
    <x:row r="2714">
      <x:c r="A2714" s="30" t="n">
        <x:v>350600</x:v>
      </x:c>
      <x:c r="B2714" s="22" t="str">
        <x:v>漳州市</x:v>
      </x:c>
      <x:c r="C2714" s="31" t="n">
        <x:v>350627</x:v>
      </x:c>
      <x:c r="D2714" s="22" t="str">
        <x:v>南靖县</x:v>
      </x:c>
      <x:c r="E2714" s="22" t="str">
        <x:v>农用地</x:v>
      </x:c>
      <x:c r="F2714" s="22" t="str">
        <x:v>园地</x:v>
      </x:c>
      <x:c r="G2714" s="32" t="str">
        <x:v>204</x:v>
      </x:c>
      <x:c r="H2714" s="32" t="str">
        <x:v>204</x:v>
      </x:c>
      <x:c r="I2714" s="22" t="str">
        <x:v>其他园地</x:v>
      </x:c>
      <x:c r="J2714" s="22" t="str">
        <x:v>农业生态</x:v>
      </x:c>
      <x:c r="K2714" s="32" t="str">
        <x:v>202</x:v>
      </x:c>
      <x:c r="L2714" s="22" t="str">
        <x:v>建制镇范围</x:v>
      </x:c>
      <x:c r="M2714" s="33" t="n">
        <x:v>67360.51000000001</x:v>
      </x:c>
      <x:c r="N2714" s="33" t="n">
        <x:v>6.736051000000001</x:v>
      </x:c>
      <x:c r="O2714" s="22" t="str">
        <x:v>公顷</x:v>
      </x:c>
      <x:c r="P2714" s="22" t="str">
        <x:v>未提供（单期横截面）</x:v>
      </x:c>
      <x:c r="Q2714" s="23" t="n">
        <x:v>5693</x:v>
      </x:c>
    </x:row>
    <x:row r="2715">
      <x:c r="A2715" s="30" t="n">
        <x:v>350600</x:v>
      </x:c>
      <x:c r="B2715" s="22" t="str">
        <x:v>漳州市</x:v>
      </x:c>
      <x:c r="C2715" s="31" t="n">
        <x:v>350627</x:v>
      </x:c>
      <x:c r="D2715" s="22" t="str">
        <x:v>南靖县</x:v>
      </x:c>
      <x:c r="E2715" s="22" t="str">
        <x:v>农用地</x:v>
      </x:c>
      <x:c r="F2715" s="22" t="str">
        <x:v>林地</x:v>
      </x:c>
      <x:c r="G2715" s="32" t="str">
        <x:v>301</x:v>
      </x:c>
      <x:c r="H2715" s="32" t="str">
        <x:v>301</x:v>
      </x:c>
      <x:c r="I2715" s="22" t="str">
        <x:v>乔木林地</x:v>
      </x:c>
      <x:c r="J2715" s="22" t="str">
        <x:v>农业生态</x:v>
      </x:c>
      <x:c r="K2715" s="32" t="str">
        <x:v>202</x:v>
      </x:c>
      <x:c r="L2715" s="22" t="str">
        <x:v>建制镇范围</x:v>
      </x:c>
      <x:c r="M2715" s="33" t="n">
        <x:v>46699.75</x:v>
      </x:c>
      <x:c r="N2715" s="33" t="n">
        <x:v>4.669975</x:v>
      </x:c>
      <x:c r="O2715" s="22" t="str">
        <x:v>公顷</x:v>
      </x:c>
      <x:c r="P2715" s="22" t="str">
        <x:v>未提供（单期横截面）</x:v>
      </x:c>
      <x:c r="Q2715" s="23" t="n">
        <x:v>5694</x:v>
      </x:c>
    </x:row>
    <x:row r="2716">
      <x:c r="A2716" s="30" t="n">
        <x:v>350600</x:v>
      </x:c>
      <x:c r="B2716" s="22" t="str">
        <x:v>漳州市</x:v>
      </x:c>
      <x:c r="C2716" s="31" t="n">
        <x:v>350627</x:v>
      </x:c>
      <x:c r="D2716" s="22" t="str">
        <x:v>南靖县</x:v>
      </x:c>
      <x:c r="E2716" s="22" t="str">
        <x:v>农用地</x:v>
      </x:c>
      <x:c r="F2716" s="22" t="str">
        <x:v>林地</x:v>
      </x:c>
      <x:c r="G2716" s="32" t="str">
        <x:v>302</x:v>
      </x:c>
      <x:c r="H2716" s="32" t="str">
        <x:v>302</x:v>
      </x:c>
      <x:c r="I2716" s="22" t="str">
        <x:v>竹林地</x:v>
      </x:c>
      <x:c r="J2716" s="22" t="str">
        <x:v>农业生态</x:v>
      </x:c>
      <x:c r="K2716" s="32" t="str">
        <x:v>202</x:v>
      </x:c>
      <x:c r="L2716" s="22" t="str">
        <x:v>建制镇范围</x:v>
      </x:c>
      <x:c r="M2716" s="33" t="n">
        <x:v>4715.41</x:v>
      </x:c>
      <x:c r="N2716" s="33" t="n">
        <x:v>0.471541</x:v>
      </x:c>
      <x:c r="O2716" s="22" t="str">
        <x:v>公顷</x:v>
      </x:c>
      <x:c r="P2716" s="22" t="str">
        <x:v>未提供（单期横截面）</x:v>
      </x:c>
      <x:c r="Q2716" s="23" t="n">
        <x:v>5695</x:v>
      </x:c>
    </x:row>
    <x:row r="2717">
      <x:c r="A2717" s="30" t="n">
        <x:v>350600</x:v>
      </x:c>
      <x:c r="B2717" s="22" t="str">
        <x:v>漳州市</x:v>
      </x:c>
      <x:c r="C2717" s="31" t="n">
        <x:v>350627</x:v>
      </x:c>
      <x:c r="D2717" s="22" t="str">
        <x:v>南靖县</x:v>
      </x:c>
      <x:c r="E2717" s="22" t="str">
        <x:v>农用地</x:v>
      </x:c>
      <x:c r="F2717" s="22" t="str">
        <x:v>林地</x:v>
      </x:c>
      <x:c r="G2717" s="32" t="str">
        <x:v>307</x:v>
      </x:c>
      <x:c r="H2717" s="32" t="str">
        <x:v>307</x:v>
      </x:c>
      <x:c r="I2717" s="22" t="str">
        <x:v>其他林地</x:v>
      </x:c>
      <x:c r="J2717" s="22" t="str">
        <x:v>农业生态</x:v>
      </x:c>
      <x:c r="K2717" s="32" t="str">
        <x:v>202</x:v>
      </x:c>
      <x:c r="L2717" s="22" t="str">
        <x:v>建制镇范围</x:v>
      </x:c>
      <x:c r="M2717" s="33" t="n">
        <x:v>16663.41</x:v>
      </x:c>
      <x:c r="N2717" s="33" t="n">
        <x:v>1.666341</x:v>
      </x:c>
      <x:c r="O2717" s="22" t="str">
        <x:v>公顷</x:v>
      </x:c>
      <x:c r="P2717" s="22" t="str">
        <x:v>未提供（单期横截面）</x:v>
      </x:c>
      <x:c r="Q2717" s="23" t="n">
        <x:v>5696</x:v>
      </x:c>
    </x:row>
    <x:row r="2718">
      <x:c r="A2718" s="30" t="n">
        <x:v>350600</x:v>
      </x:c>
      <x:c r="B2718" s="22" t="str">
        <x:v>漳州市</x:v>
      </x:c>
      <x:c r="C2718" s="31" t="n">
        <x:v>350627</x:v>
      </x:c>
      <x:c r="D2718" s="22" t="str">
        <x:v>南靖县</x:v>
      </x:c>
      <x:c r="E2718" s="22" t="str">
        <x:v>农用地</x:v>
      </x:c>
      <x:c r="F2718" s="22" t="str">
        <x:v>水域及水利设施</x:v>
      </x:c>
      <x:c r="G2718" s="32" t="str">
        <x:v>1104</x:v>
      </x:c>
      <x:c r="H2718" s="32" t="str">
        <x:v>1104</x:v>
      </x:c>
      <x:c r="I2718" s="22" t="str">
        <x:v>坑塘水面</x:v>
      </x:c>
      <x:c r="J2718" s="22" t="str">
        <x:v>农业生态</x:v>
      </x:c>
      <x:c r="K2718" s="32" t="str">
        <x:v>202</x:v>
      </x:c>
      <x:c r="L2718" s="22" t="str">
        <x:v>建制镇范围</x:v>
      </x:c>
      <x:c r="M2718" s="33" t="n">
        <x:v>6339.780000000001</x:v>
      </x:c>
      <x:c r="N2718" s="33" t="n">
        <x:v>0.633978</x:v>
      </x:c>
      <x:c r="O2718" s="22" t="str">
        <x:v>公顷</x:v>
      </x:c>
      <x:c r="P2718" s="22" t="str">
        <x:v>未提供（单期横截面）</x:v>
      </x:c>
      <x:c r="Q2718" s="23" t="n">
        <x:v>5697</x:v>
      </x:c>
    </x:row>
    <x:row r="2719">
      <x:c r="A2719" s="30" t="n">
        <x:v>350600</x:v>
      </x:c>
      <x:c r="B2719" s="22" t="str">
        <x:v>漳州市</x:v>
      </x:c>
      <x:c r="C2719" s="31" t="n">
        <x:v>350627</x:v>
      </x:c>
      <x:c r="D2719" s="22" t="str">
        <x:v>南靖县</x:v>
      </x:c>
      <x:c r="E2719" s="22" t="str">
        <x:v>农用地</x:v>
      </x:c>
      <x:c r="F2719" s="22" t="str">
        <x:v>水域及水利设施</x:v>
      </x:c>
      <x:c r="G2719" s="32" t="str">
        <x:v>1104A</x:v>
      </x:c>
      <x:c r="H2719" s="32" t="str">
        <x:v>1104</x:v>
      </x:c>
      <x:c r="I2719" s="22" t="str">
        <x:v>养殖坑塘</x:v>
      </x:c>
      <x:c r="J2719" s="22" t="str">
        <x:v>农业生态</x:v>
      </x:c>
      <x:c r="K2719" s="32" t="str">
        <x:v>202</x:v>
      </x:c>
      <x:c r="L2719" s="22" t="str">
        <x:v>建制镇范围</x:v>
      </x:c>
      <x:c r="M2719" s="33" t="n">
        <x:v>18828.550000000003</x:v>
      </x:c>
      <x:c r="N2719" s="33" t="n">
        <x:v>1.8828550000000004</x:v>
      </x:c>
      <x:c r="O2719" s="22" t="str">
        <x:v>公顷</x:v>
      </x:c>
      <x:c r="P2719" s="22" t="str">
        <x:v>未提供（单期横截面）</x:v>
      </x:c>
      <x:c r="Q2719" s="23" t="n">
        <x:v>5698</x:v>
      </x:c>
    </x:row>
    <x:row r="2720">
      <x:c r="A2720" s="30" t="n">
        <x:v>350600</x:v>
      </x:c>
      <x:c r="B2720" s="22" t="str">
        <x:v>漳州市</x:v>
      </x:c>
      <x:c r="C2720" s="31" t="n">
        <x:v>350627</x:v>
      </x:c>
      <x:c r="D2720" s="22" t="str">
        <x:v>南靖县</x:v>
      </x:c>
      <x:c r="E2720" s="22" t="str">
        <x:v>农用地</x:v>
      </x:c>
      <x:c r="F2720" s="22" t="str">
        <x:v>水域及水利设施</x:v>
      </x:c>
      <x:c r="G2720" s="32" t="str">
        <x:v>1107</x:v>
      </x:c>
      <x:c r="H2720" s="32" t="str">
        <x:v>1107</x:v>
      </x:c>
      <x:c r="I2720" s="22" t="str">
        <x:v>沟渠</x:v>
      </x:c>
      <x:c r="J2720" s="22" t="str">
        <x:v>农业生态</x:v>
      </x:c>
      <x:c r="K2720" s="32" t="str">
        <x:v>202</x:v>
      </x:c>
      <x:c r="L2720" s="22" t="str">
        <x:v>建制镇范围</x:v>
      </x:c>
      <x:c r="M2720" s="33" t="n">
        <x:v>25443.590000000004</x:v>
      </x:c>
      <x:c r="N2720" s="33" t="n">
        <x:v>2.5443590000000005</x:v>
      </x:c>
      <x:c r="O2720" s="22" t="str">
        <x:v>公顷</x:v>
      </x:c>
      <x:c r="P2720" s="22" t="str">
        <x:v>未提供（单期横截面）</x:v>
      </x:c>
      <x:c r="Q2720" s="23" t="n">
        <x:v>5699</x:v>
      </x:c>
    </x:row>
    <x:row r="2721">
      <x:c r="A2721" s="30" t="n">
        <x:v>350600</x:v>
      </x:c>
      <x:c r="B2721" s="22" t="str">
        <x:v>漳州市</x:v>
      </x:c>
      <x:c r="C2721" s="31" t="n">
        <x:v>350627</x:v>
      </x:c>
      <x:c r="D2721" s="22" t="str">
        <x:v>南靖县</x:v>
      </x:c>
      <x:c r="E2721" s="22" t="str">
        <x:v>农用地</x:v>
      </x:c>
      <x:c r="F2721" s="22" t="str">
        <x:v>水域及水利设施</x:v>
      </x:c>
      <x:c r="G2721" s="32" t="str">
        <x:v>1107A</x:v>
      </x:c>
      <x:c r="H2721" s="32" t="str">
        <x:v>1107</x:v>
      </x:c>
      <x:c r="I2721" s="22" t="str">
        <x:v>干渠</x:v>
      </x:c>
      <x:c r="J2721" s="22" t="str">
        <x:v>农业生态</x:v>
      </x:c>
      <x:c r="K2721" s="32" t="str">
        <x:v>202</x:v>
      </x:c>
      <x:c r="L2721" s="22" t="str">
        <x:v>建制镇范围</x:v>
      </x:c>
      <x:c r="M2721" s="33" t="n">
        <x:v>1244.61</x:v>
      </x:c>
      <x:c r="N2721" s="33" t="n">
        <x:v>0.12446099999999999</x:v>
      </x:c>
      <x:c r="O2721" s="22" t="str">
        <x:v>公顷</x:v>
      </x:c>
      <x:c r="P2721" s="22" t="str">
        <x:v>未提供（单期横截面）</x:v>
      </x:c>
      <x:c r="Q2721" s="23" t="n">
        <x:v>5700</x:v>
      </x:c>
    </x:row>
    <x:row r="2722">
      <x:c r="A2722" s="30" t="n">
        <x:v>350600</x:v>
      </x:c>
      <x:c r="B2722" s="22" t="str">
        <x:v>漳州市</x:v>
      </x:c>
      <x:c r="C2722" s="31" t="n">
        <x:v>350627</x:v>
      </x:c>
      <x:c r="D2722" s="22" t="str">
        <x:v>南靖县</x:v>
      </x:c>
      <x:c r="E2722" s="22" t="str">
        <x:v>农用地</x:v>
      </x:c>
      <x:c r="F2722" s="22" t="str">
        <x:v>其他农用地</x:v>
      </x:c>
      <x:c r="G2722" s="32" t="str">
        <x:v>1202</x:v>
      </x:c>
      <x:c r="H2722" s="32" t="str">
        <x:v>1202</x:v>
      </x:c>
      <x:c r="I2722" s="22" t="str">
        <x:v>设施农用地</x:v>
      </x:c>
      <x:c r="J2722" s="22" t="str">
        <x:v>农业生态</x:v>
      </x:c>
      <x:c r="K2722" s="32" t="str">
        <x:v>202</x:v>
      </x:c>
      <x:c r="L2722" s="22" t="str">
        <x:v>建制镇范围</x:v>
      </x:c>
      <x:c r="M2722" s="33" t="n">
        <x:v>28752.120000000003</x:v>
      </x:c>
      <x:c r="N2722" s="33" t="n">
        <x:v>2.8752120000000003</x:v>
      </x:c>
      <x:c r="O2722" s="22" t="str">
        <x:v>公顷</x:v>
      </x:c>
      <x:c r="P2722" s="22" t="str">
        <x:v>未提供（单期横截面）</x:v>
      </x:c>
      <x:c r="Q2722" s="23" t="n">
        <x:v>5701</x:v>
      </x:c>
    </x:row>
    <x:row r="2723">
      <x:c r="A2723" s="30" t="n">
        <x:v>350600</x:v>
      </x:c>
      <x:c r="B2723" s="22" t="str">
        <x:v>漳州市</x:v>
      </x:c>
      <x:c r="C2723" s="31" t="n">
        <x:v>350627</x:v>
      </x:c>
      <x:c r="D2723" s="22" t="str">
        <x:v>南靖县</x:v>
      </x:c>
      <x:c r="E2723" s="22" t="str">
        <x:v>农用地</x:v>
      </x:c>
      <x:c r="F2723" s="22" t="str">
        <x:v>耕地</x:v>
      </x:c>
      <x:c r="G2723" s="32" t="str">
        <x:v>101</x:v>
      </x:c>
      <x:c r="H2723" s="32" t="str">
        <x:v>101</x:v>
      </x:c>
      <x:c r="I2723" s="22" t="str">
        <x:v>水田</x:v>
      </x:c>
      <x:c r="J2723" s="22" t="str">
        <x:v>农业生态</x:v>
      </x:c>
      <x:c r="K2723" s="32" t="str">
        <x:v>203</x:v>
      </x:c>
      <x:c r="L2723" s="22" t="str">
        <x:v>村庄范围</x:v>
      </x:c>
      <x:c r="M2723" s="33" t="n">
        <x:v>126551.26000000002</x:v>
      </x:c>
      <x:c r="N2723" s="33" t="n">
        <x:v>12.655126000000003</x:v>
      </x:c>
      <x:c r="O2723" s="22" t="str">
        <x:v>公顷</x:v>
      </x:c>
      <x:c r="P2723" s="22" t="str">
        <x:v>未提供（单期横截面）</x:v>
      </x:c>
      <x:c r="Q2723" s="23" t="n">
        <x:v>5702</x:v>
      </x:c>
    </x:row>
    <x:row r="2724">
      <x:c r="A2724" s="30" t="n">
        <x:v>350600</x:v>
      </x:c>
      <x:c r="B2724" s="22" t="str">
        <x:v>漳州市</x:v>
      </x:c>
      <x:c r="C2724" s="31" t="n">
        <x:v>350627</x:v>
      </x:c>
      <x:c r="D2724" s="22" t="str">
        <x:v>南靖县</x:v>
      </x:c>
      <x:c r="E2724" s="22" t="str">
        <x:v>农用地</x:v>
      </x:c>
      <x:c r="F2724" s="22" t="str">
        <x:v>耕地</x:v>
      </x:c>
      <x:c r="G2724" s="32" t="str">
        <x:v>102</x:v>
      </x:c>
      <x:c r="H2724" s="32" t="str">
        <x:v>102</x:v>
      </x:c>
      <x:c r="I2724" s="22" t="str">
        <x:v>水浇地</x:v>
      </x:c>
      <x:c r="J2724" s="22" t="str">
        <x:v>农业生态</x:v>
      </x:c>
      <x:c r="K2724" s="32" t="str">
        <x:v>203</x:v>
      </x:c>
      <x:c r="L2724" s="22" t="str">
        <x:v>村庄范围</x:v>
      </x:c>
      <x:c r="M2724" s="33" t="n">
        <x:v>15366.609999999999</x:v>
      </x:c>
      <x:c r="N2724" s="33" t="n">
        <x:v>1.5366609999999998</x:v>
      </x:c>
      <x:c r="O2724" s="22" t="str">
        <x:v>公顷</x:v>
      </x:c>
      <x:c r="P2724" s="22" t="str">
        <x:v>未提供（单期横截面）</x:v>
      </x:c>
      <x:c r="Q2724" s="23" t="n">
        <x:v>5703</x:v>
      </x:c>
    </x:row>
    <x:row r="2725">
      <x:c r="A2725" s="30" t="n">
        <x:v>350600</x:v>
      </x:c>
      <x:c r="B2725" s="22" t="str">
        <x:v>漳州市</x:v>
      </x:c>
      <x:c r="C2725" s="31" t="n">
        <x:v>350627</x:v>
      </x:c>
      <x:c r="D2725" s="22" t="str">
        <x:v>南靖县</x:v>
      </x:c>
      <x:c r="E2725" s="22" t="str">
        <x:v>农用地</x:v>
      </x:c>
      <x:c r="F2725" s="22" t="str">
        <x:v>耕地</x:v>
      </x:c>
      <x:c r="G2725" s="32" t="str">
        <x:v>103</x:v>
      </x:c>
      <x:c r="H2725" s="32" t="str">
        <x:v>103</x:v>
      </x:c>
      <x:c r="I2725" s="22" t="str">
        <x:v>旱地</x:v>
      </x:c>
      <x:c r="J2725" s="22" t="str">
        <x:v>农业生态</x:v>
      </x:c>
      <x:c r="K2725" s="32" t="str">
        <x:v>203</x:v>
      </x:c>
      <x:c r="L2725" s="22" t="str">
        <x:v>村庄范围</x:v>
      </x:c>
      <x:c r="M2725" s="33" t="n">
        <x:v>28088.29</x:v>
      </x:c>
      <x:c r="N2725" s="33" t="n">
        <x:v>2.8088290000000002</x:v>
      </x:c>
      <x:c r="O2725" s="22" t="str">
        <x:v>公顷</x:v>
      </x:c>
      <x:c r="P2725" s="22" t="str">
        <x:v>未提供（单期横截面）</x:v>
      </x:c>
      <x:c r="Q2725" s="23" t="n">
        <x:v>5704</x:v>
      </x:c>
    </x:row>
    <x:row r="2726">
      <x:c r="A2726" s="30" t="n">
        <x:v>350600</x:v>
      </x:c>
      <x:c r="B2726" s="22" t="str">
        <x:v>漳州市</x:v>
      </x:c>
      <x:c r="C2726" s="31" t="n">
        <x:v>350627</x:v>
      </x:c>
      <x:c r="D2726" s="22" t="str">
        <x:v>南靖县</x:v>
      </x:c>
      <x:c r="E2726" s="22" t="str">
        <x:v>农用地</x:v>
      </x:c>
      <x:c r="F2726" s="22" t="str">
        <x:v>园地</x:v>
      </x:c>
      <x:c r="G2726" s="32" t="str">
        <x:v>201</x:v>
      </x:c>
      <x:c r="H2726" s="32" t="str">
        <x:v>201</x:v>
      </x:c>
      <x:c r="I2726" s="22" t="str">
        <x:v>果园</x:v>
      </x:c>
      <x:c r="J2726" s="22" t="str">
        <x:v>农业生态</x:v>
      </x:c>
      <x:c r="K2726" s="32" t="str">
        <x:v>203</x:v>
      </x:c>
      <x:c r="L2726" s="22" t="str">
        <x:v>村庄范围</x:v>
      </x:c>
      <x:c r="M2726" s="33" t="n">
        <x:v>80029.94</x:v>
      </x:c>
      <x:c r="N2726" s="33" t="n">
        <x:v>8.002994000000001</x:v>
      </x:c>
      <x:c r="O2726" s="22" t="str">
        <x:v>公顷</x:v>
      </x:c>
      <x:c r="P2726" s="22" t="str">
        <x:v>未提供（单期横截面）</x:v>
      </x:c>
      <x:c r="Q2726" s="23" t="n">
        <x:v>5705</x:v>
      </x:c>
    </x:row>
    <x:row r="2727">
      <x:c r="A2727" s="30" t="n">
        <x:v>350600</x:v>
      </x:c>
      <x:c r="B2727" s="22" t="str">
        <x:v>漳州市</x:v>
      </x:c>
      <x:c r="C2727" s="31" t="n">
        <x:v>350627</x:v>
      </x:c>
      <x:c r="D2727" s="22" t="str">
        <x:v>南靖县</x:v>
      </x:c>
      <x:c r="E2727" s="22" t="str">
        <x:v>农用地</x:v>
      </x:c>
      <x:c r="F2727" s="22" t="str">
        <x:v>园地</x:v>
      </x:c>
      <x:c r="G2727" s="32" t="str">
        <x:v>202</x:v>
      </x:c>
      <x:c r="H2727" s="32" t="str">
        <x:v>202</x:v>
      </x:c>
      <x:c r="I2727" s="22" t="str">
        <x:v>茶园</x:v>
      </x:c>
      <x:c r="J2727" s="22" t="str">
        <x:v>农业生态</x:v>
      </x:c>
      <x:c r="K2727" s="32" t="str">
        <x:v>203</x:v>
      </x:c>
      <x:c r="L2727" s="22" t="str">
        <x:v>村庄范围</x:v>
      </x:c>
      <x:c r="M2727" s="33" t="n">
        <x:v>1440.89</x:v>
      </x:c>
      <x:c r="N2727" s="33" t="n">
        <x:v>0.14408900000000002</x:v>
      </x:c>
      <x:c r="O2727" s="22" t="str">
        <x:v>公顷</x:v>
      </x:c>
      <x:c r="P2727" s="22" t="str">
        <x:v>未提供（单期横截面）</x:v>
      </x:c>
      <x:c r="Q2727" s="23" t="n">
        <x:v>5706</x:v>
      </x:c>
    </x:row>
    <x:row r="2728">
      <x:c r="A2728" s="30" t="n">
        <x:v>350600</x:v>
      </x:c>
      <x:c r="B2728" s="22" t="str">
        <x:v>漳州市</x:v>
      </x:c>
      <x:c r="C2728" s="31" t="n">
        <x:v>350627</x:v>
      </x:c>
      <x:c r="D2728" s="22" t="str">
        <x:v>南靖县</x:v>
      </x:c>
      <x:c r="E2728" s="22" t="str">
        <x:v>农用地</x:v>
      </x:c>
      <x:c r="F2728" s="22" t="str">
        <x:v>园地</x:v>
      </x:c>
      <x:c r="G2728" s="32" t="str">
        <x:v>204</x:v>
      </x:c>
      <x:c r="H2728" s="32" t="str">
        <x:v>204</x:v>
      </x:c>
      <x:c r="I2728" s="22" t="str">
        <x:v>其他园地</x:v>
      </x:c>
      <x:c r="J2728" s="22" t="str">
        <x:v>农业生态</x:v>
      </x:c>
      <x:c r="K2728" s="32" t="str">
        <x:v>203</x:v>
      </x:c>
      <x:c r="L2728" s="22" t="str">
        <x:v>村庄范围</x:v>
      </x:c>
      <x:c r="M2728" s="33" t="n">
        <x:v>10090.95</x:v>
      </x:c>
      <x:c r="N2728" s="33" t="n">
        <x:v>1.009095</x:v>
      </x:c>
      <x:c r="O2728" s="22" t="str">
        <x:v>公顷</x:v>
      </x:c>
      <x:c r="P2728" s="22" t="str">
        <x:v>未提供（单期横截面）</x:v>
      </x:c>
      <x:c r="Q2728" s="23" t="n">
        <x:v>5707</x:v>
      </x:c>
    </x:row>
    <x:row r="2729">
      <x:c r="A2729" s="30" t="n">
        <x:v>350600</x:v>
      </x:c>
      <x:c r="B2729" s="22" t="str">
        <x:v>漳州市</x:v>
      </x:c>
      <x:c r="C2729" s="31" t="n">
        <x:v>350627</x:v>
      </x:c>
      <x:c r="D2729" s="22" t="str">
        <x:v>南靖县</x:v>
      </x:c>
      <x:c r="E2729" s="22" t="str">
        <x:v>农用地</x:v>
      </x:c>
      <x:c r="F2729" s="22" t="str">
        <x:v>林地</x:v>
      </x:c>
      <x:c r="G2729" s="32" t="str">
        <x:v>301</x:v>
      </x:c>
      <x:c r="H2729" s="32" t="str">
        <x:v>301</x:v>
      </x:c>
      <x:c r="I2729" s="22" t="str">
        <x:v>乔木林地</x:v>
      </x:c>
      <x:c r="J2729" s="22" t="str">
        <x:v>农业生态</x:v>
      </x:c>
      <x:c r="K2729" s="32" t="str">
        <x:v>203</x:v>
      </x:c>
      <x:c r="L2729" s="22" t="str">
        <x:v>村庄范围</x:v>
      </x:c>
      <x:c r="M2729" s="33" t="n">
        <x:v>25960.77</x:v>
      </x:c>
      <x:c r="N2729" s="33" t="n">
        <x:v>2.596077</x:v>
      </x:c>
      <x:c r="O2729" s="22" t="str">
        <x:v>公顷</x:v>
      </x:c>
      <x:c r="P2729" s="22" t="str">
        <x:v>未提供（单期横截面）</x:v>
      </x:c>
      <x:c r="Q2729" s="23" t="n">
        <x:v>5708</x:v>
      </x:c>
    </x:row>
    <x:row r="2730">
      <x:c r="A2730" s="30" t="n">
        <x:v>350600</x:v>
      </x:c>
      <x:c r="B2730" s="22" t="str">
        <x:v>漳州市</x:v>
      </x:c>
      <x:c r="C2730" s="31" t="n">
        <x:v>350627</x:v>
      </x:c>
      <x:c r="D2730" s="22" t="str">
        <x:v>南靖县</x:v>
      </x:c>
      <x:c r="E2730" s="22" t="str">
        <x:v>农用地</x:v>
      </x:c>
      <x:c r="F2730" s="22" t="str">
        <x:v>林地</x:v>
      </x:c>
      <x:c r="G2730" s="32" t="str">
        <x:v>302</x:v>
      </x:c>
      <x:c r="H2730" s="32" t="str">
        <x:v>302</x:v>
      </x:c>
      <x:c r="I2730" s="22" t="str">
        <x:v>竹林地</x:v>
      </x:c>
      <x:c r="J2730" s="22" t="str">
        <x:v>农业生态</x:v>
      </x:c>
      <x:c r="K2730" s="32" t="str">
        <x:v>203</x:v>
      </x:c>
      <x:c r="L2730" s="22" t="str">
        <x:v>村庄范围</x:v>
      </x:c>
      <x:c r="M2730" s="33" t="n">
        <x:v>6159.240000000001</x:v>
      </x:c>
      <x:c r="N2730" s="33" t="n">
        <x:v>0.615924</x:v>
      </x:c>
      <x:c r="O2730" s="22" t="str">
        <x:v>公顷</x:v>
      </x:c>
      <x:c r="P2730" s="22" t="str">
        <x:v>未提供（单期横截面）</x:v>
      </x:c>
      <x:c r="Q2730" s="23" t="n">
        <x:v>5709</x:v>
      </x:c>
    </x:row>
    <x:row r="2731">
      <x:c r="A2731" s="30" t="n">
        <x:v>350600</x:v>
      </x:c>
      <x:c r="B2731" s="22" t="str">
        <x:v>漳州市</x:v>
      </x:c>
      <x:c r="C2731" s="31" t="n">
        <x:v>350627</x:v>
      </x:c>
      <x:c r="D2731" s="22" t="str">
        <x:v>南靖县</x:v>
      </x:c>
      <x:c r="E2731" s="22" t="str">
        <x:v>农用地</x:v>
      </x:c>
      <x:c r="F2731" s="22" t="str">
        <x:v>林地</x:v>
      </x:c>
      <x:c r="G2731" s="32" t="str">
        <x:v>305</x:v>
      </x:c>
      <x:c r="H2731" s="32" t="str">
        <x:v>305</x:v>
      </x:c>
      <x:c r="I2731" s="22" t="str">
        <x:v>灌木林地</x:v>
      </x:c>
      <x:c r="J2731" s="22" t="str">
        <x:v>农业生态</x:v>
      </x:c>
      <x:c r="K2731" s="32" t="str">
        <x:v>203</x:v>
      </x:c>
      <x:c r="L2731" s="22" t="str">
        <x:v>村庄范围</x:v>
      </x:c>
      <x:c r="M2731" s="33" t="n">
        <x:v>790.54</x:v>
      </x:c>
      <x:c r="N2731" s="33" t="n">
        <x:v>0.079054</x:v>
      </x:c>
      <x:c r="O2731" s="22" t="str">
        <x:v>公顷</x:v>
      </x:c>
      <x:c r="P2731" s="22" t="str">
        <x:v>未提供（单期横截面）</x:v>
      </x:c>
      <x:c r="Q2731" s="23" t="n">
        <x:v>5710</x:v>
      </x:c>
    </x:row>
    <x:row r="2732">
      <x:c r="A2732" s="30" t="n">
        <x:v>350600</x:v>
      </x:c>
      <x:c r="B2732" s="22" t="str">
        <x:v>漳州市</x:v>
      </x:c>
      <x:c r="C2732" s="31" t="n">
        <x:v>350627</x:v>
      </x:c>
      <x:c r="D2732" s="22" t="str">
        <x:v>南靖县</x:v>
      </x:c>
      <x:c r="E2732" s="22" t="str">
        <x:v>农用地</x:v>
      </x:c>
      <x:c r="F2732" s="22" t="str">
        <x:v>林地</x:v>
      </x:c>
      <x:c r="G2732" s="32" t="str">
        <x:v>307</x:v>
      </x:c>
      <x:c r="H2732" s="32" t="str">
        <x:v>307</x:v>
      </x:c>
      <x:c r="I2732" s="22" t="str">
        <x:v>其他林地</x:v>
      </x:c>
      <x:c r="J2732" s="22" t="str">
        <x:v>农业生态</x:v>
      </x:c>
      <x:c r="K2732" s="32" t="str">
        <x:v>203</x:v>
      </x:c>
      <x:c r="L2732" s="22" t="str">
        <x:v>村庄范围</x:v>
      </x:c>
      <x:c r="M2732" s="33" t="n">
        <x:v>1384.37</x:v>
      </x:c>
      <x:c r="N2732" s="33" t="n">
        <x:v>0.13843699999999998</x:v>
      </x:c>
      <x:c r="O2732" s="22" t="str">
        <x:v>公顷</x:v>
      </x:c>
      <x:c r="P2732" s="22" t="str">
        <x:v>未提供（单期横截面）</x:v>
      </x:c>
      <x:c r="Q2732" s="23" t="n">
        <x:v>5711</x:v>
      </x:c>
    </x:row>
    <x:row r="2733">
      <x:c r="A2733" s="30" t="n">
        <x:v>350600</x:v>
      </x:c>
      <x:c r="B2733" s="22" t="str">
        <x:v>漳州市</x:v>
      </x:c>
      <x:c r="C2733" s="31" t="n">
        <x:v>350627</x:v>
      </x:c>
      <x:c r="D2733" s="22" t="str">
        <x:v>南靖县</x:v>
      </x:c>
      <x:c r="E2733" s="22" t="str">
        <x:v>农用地</x:v>
      </x:c>
      <x:c r="F2733" s="22" t="str">
        <x:v>水域及水利设施</x:v>
      </x:c>
      <x:c r="G2733" s="32" t="str">
        <x:v>1104</x:v>
      </x:c>
      <x:c r="H2733" s="32" t="str">
        <x:v>1104</x:v>
      </x:c>
      <x:c r="I2733" s="22" t="str">
        <x:v>坑塘水面</x:v>
      </x:c>
      <x:c r="J2733" s="22" t="str">
        <x:v>农业生态</x:v>
      </x:c>
      <x:c r="K2733" s="32" t="str">
        <x:v>203</x:v>
      </x:c>
      <x:c r="L2733" s="22" t="str">
        <x:v>村庄范围</x:v>
      </x:c>
      <x:c r="M2733" s="33" t="n">
        <x:v>35355.08000000001</x:v>
      </x:c>
      <x:c r="N2733" s="33" t="n">
        <x:v>3.535508000000001</x:v>
      </x:c>
      <x:c r="O2733" s="22" t="str">
        <x:v>公顷</x:v>
      </x:c>
      <x:c r="P2733" s="22" t="str">
        <x:v>未提供（单期横截面）</x:v>
      </x:c>
      <x:c r="Q2733" s="23" t="n">
        <x:v>5712</x:v>
      </x:c>
    </x:row>
    <x:row r="2734">
      <x:c r="A2734" s="30" t="n">
        <x:v>350600</x:v>
      </x:c>
      <x:c r="B2734" s="22" t="str">
        <x:v>漳州市</x:v>
      </x:c>
      <x:c r="C2734" s="31" t="n">
        <x:v>350627</x:v>
      </x:c>
      <x:c r="D2734" s="22" t="str">
        <x:v>南靖县</x:v>
      </x:c>
      <x:c r="E2734" s="22" t="str">
        <x:v>农用地</x:v>
      </x:c>
      <x:c r="F2734" s="22" t="str">
        <x:v>水域及水利设施</x:v>
      </x:c>
      <x:c r="G2734" s="32" t="str">
        <x:v>1104A</x:v>
      </x:c>
      <x:c r="H2734" s="32" t="str">
        <x:v>1104</x:v>
      </x:c>
      <x:c r="I2734" s="22" t="str">
        <x:v>养殖坑塘</x:v>
      </x:c>
      <x:c r="J2734" s="22" t="str">
        <x:v>农业生态</x:v>
      </x:c>
      <x:c r="K2734" s="32" t="str">
        <x:v>203</x:v>
      </x:c>
      <x:c r="L2734" s="22" t="str">
        <x:v>村庄范围</x:v>
      </x:c>
      <x:c r="M2734" s="33" t="n">
        <x:v>13349.45</x:v>
      </x:c>
      <x:c r="N2734" s="33" t="n">
        <x:v>1.334945</x:v>
      </x:c>
      <x:c r="O2734" s="22" t="str">
        <x:v>公顷</x:v>
      </x:c>
      <x:c r="P2734" s="22" t="str">
        <x:v>未提供（单期横截面）</x:v>
      </x:c>
      <x:c r="Q2734" s="23" t="n">
        <x:v>5713</x:v>
      </x:c>
    </x:row>
    <x:row r="2735">
      <x:c r="A2735" s="30" t="n">
        <x:v>350600</x:v>
      </x:c>
      <x:c r="B2735" s="22" t="str">
        <x:v>漳州市</x:v>
      </x:c>
      <x:c r="C2735" s="31" t="n">
        <x:v>350627</x:v>
      </x:c>
      <x:c r="D2735" s="22" t="str">
        <x:v>南靖县</x:v>
      </x:c>
      <x:c r="E2735" s="22" t="str">
        <x:v>农用地</x:v>
      </x:c>
      <x:c r="F2735" s="22" t="str">
        <x:v>水域及水利设施</x:v>
      </x:c>
      <x:c r="G2735" s="32" t="str">
        <x:v>1107</x:v>
      </x:c>
      <x:c r="H2735" s="32" t="str">
        <x:v>1107</x:v>
      </x:c>
      <x:c r="I2735" s="22" t="str">
        <x:v>沟渠</x:v>
      </x:c>
      <x:c r="J2735" s="22" t="str">
        <x:v>农业生态</x:v>
      </x:c>
      <x:c r="K2735" s="32" t="str">
        <x:v>203</x:v>
      </x:c>
      <x:c r="L2735" s="22" t="str">
        <x:v>村庄范围</x:v>
      </x:c>
      <x:c r="M2735" s="33" t="n">
        <x:v>2424.09</x:v>
      </x:c>
      <x:c r="N2735" s="33" t="n">
        <x:v>0.242409</x:v>
      </x:c>
      <x:c r="O2735" s="22" t="str">
        <x:v>公顷</x:v>
      </x:c>
      <x:c r="P2735" s="22" t="str">
        <x:v>未提供（单期横截面）</x:v>
      </x:c>
      <x:c r="Q2735" s="23" t="n">
        <x:v>5714</x:v>
      </x:c>
    </x:row>
    <x:row r="2736">
      <x:c r="A2736" s="30" t="n">
        <x:v>350600</x:v>
      </x:c>
      <x:c r="B2736" s="22" t="str">
        <x:v>漳州市</x:v>
      </x:c>
      <x:c r="C2736" s="31" t="n">
        <x:v>350627</x:v>
      </x:c>
      <x:c r="D2736" s="22" t="str">
        <x:v>南靖县</x:v>
      </x:c>
      <x:c r="E2736" s="22" t="str">
        <x:v>农用地</x:v>
      </x:c>
      <x:c r="F2736" s="22" t="str">
        <x:v>其他农用地</x:v>
      </x:c>
      <x:c r="G2736" s="32" t="str">
        <x:v>1202</x:v>
      </x:c>
      <x:c r="H2736" s="32" t="str">
        <x:v>1202</x:v>
      </x:c>
      <x:c r="I2736" s="22" t="str">
        <x:v>设施农用地</x:v>
      </x:c>
      <x:c r="J2736" s="22" t="str">
        <x:v>农业生态</x:v>
      </x:c>
      <x:c r="K2736" s="32" t="str">
        <x:v>203</x:v>
      </x:c>
      <x:c r="L2736" s="22" t="str">
        <x:v>村庄范围</x:v>
      </x:c>
      <x:c r="M2736" s="33" t="n">
        <x:v>17697.880000000005</x:v>
      </x:c>
      <x:c r="N2736" s="33" t="n">
        <x:v>1.7697880000000004</x:v>
      </x:c>
      <x:c r="O2736" s="22" t="str">
        <x:v>公顷</x:v>
      </x:c>
      <x:c r="P2736" s="22" t="str">
        <x:v>未提供（单期横截面）</x:v>
      </x:c>
      <x:c r="Q2736" s="23" t="n">
        <x:v>5715</x:v>
      </x:c>
    </x:row>
    <x:row r="2737">
      <x:c r="A2737" s="30" t="n">
        <x:v>350600</x:v>
      </x:c>
      <x:c r="B2737" s="22" t="str">
        <x:v>漳州市</x:v>
      </x:c>
      <x:c r="C2737" s="31" t="n">
        <x:v>350627</x:v>
      </x:c>
      <x:c r="D2737" s="22" t="str">
        <x:v>南靖县</x:v>
      </x:c>
      <x:c r="E2737" s="22" t="str">
        <x:v>农用地</x:v>
      </x:c>
      <x:c r="F2737" s="22" t="str">
        <x:v>耕地</x:v>
      </x:c>
      <x:c r="G2737" s="32" t="str">
        <x:v>101</x:v>
      </x:c>
      <x:c r="H2737" s="32" t="str">
        <x:v>101</x:v>
      </x:c>
      <x:c r="I2737" s="22" t="str">
        <x:v>水田</x:v>
      </x:c>
      <x:c r="J2737" s="22" t="str">
        <x:v>农业生态</x:v>
      </x:c>
      <x:c r="K2737" s="32" t="str">
        <x:v>204</x:v>
      </x:c>
      <x:c r="L2737" s="22" t="str">
        <x:v>盐田及采矿用地</x:v>
      </x:c>
      <x:c r="M2737" s="33" t="n">
        <x:v>986.67</x:v>
      </x:c>
      <x:c r="N2737" s="33" t="n">
        <x:v>0.09866699999999999</x:v>
      </x:c>
      <x:c r="O2737" s="22" t="str">
        <x:v>公顷</x:v>
      </x:c>
      <x:c r="P2737" s="22" t="str">
        <x:v>未提供（单期横截面）</x:v>
      </x:c>
      <x:c r="Q2737" s="23" t="n">
        <x:v>5716</x:v>
      </x:c>
    </x:row>
    <x:row r="2738">
      <x:c r="A2738" s="30" t="n">
        <x:v>350600</x:v>
      </x:c>
      <x:c r="B2738" s="22" t="str">
        <x:v>漳州市</x:v>
      </x:c>
      <x:c r="C2738" s="31" t="n">
        <x:v>350627</x:v>
      </x:c>
      <x:c r="D2738" s="22" t="str">
        <x:v>南靖县</x:v>
      </x:c>
      <x:c r="E2738" s="22" t="str">
        <x:v>农用地</x:v>
      </x:c>
      <x:c r="F2738" s="22" t="str">
        <x:v>林地</x:v>
      </x:c>
      <x:c r="G2738" s="32" t="str">
        <x:v>301</x:v>
      </x:c>
      <x:c r="H2738" s="32" t="str">
        <x:v>301</x:v>
      </x:c>
      <x:c r="I2738" s="22" t="str">
        <x:v>乔木林地</x:v>
      </x:c>
      <x:c r="J2738" s="22" t="str">
        <x:v>农业生态</x:v>
      </x:c>
      <x:c r="K2738" s="32" t="str">
        <x:v>204</x:v>
      </x:c>
      <x:c r="L2738" s="22" t="str">
        <x:v>盐田及采矿用地</x:v>
      </x:c>
      <x:c r="M2738" s="33" t="n">
        <x:v>1035.74</x:v>
      </x:c>
      <x:c r="N2738" s="33" t="n">
        <x:v>0.103574</x:v>
      </x:c>
      <x:c r="O2738" s="22" t="str">
        <x:v>公顷</x:v>
      </x:c>
      <x:c r="P2738" s="22" t="str">
        <x:v>未提供（单期横截面）</x:v>
      </x:c>
      <x:c r="Q2738" s="23" t="n">
        <x:v>5717</x:v>
      </x:c>
    </x:row>
    <x:row r="2739">
      <x:c r="A2739" s="30" t="n">
        <x:v>350600</x:v>
      </x:c>
      <x:c r="B2739" s="22" t="str">
        <x:v>漳州市</x:v>
      </x:c>
      <x:c r="C2739" s="31" t="n">
        <x:v>350627</x:v>
      </x:c>
      <x:c r="D2739" s="22" t="str">
        <x:v>南靖县</x:v>
      </x:c>
      <x:c r="E2739" s="22" t="str">
        <x:v>未利用地</x:v>
      </x:c>
      <x:c r="F2739" s="22" t="str">
        <x:v>草地</x:v>
      </x:c>
      <x:c r="G2739" s="32" t="str">
        <x:v>404</x:v>
      </x:c>
      <x:c r="H2739" s="32" t="str">
        <x:v>404</x:v>
      </x:c>
      <x:c r="I2739" s="22" t="str">
        <x:v>其他草地</x:v>
      </x:c>
      <x:c r="J2739" s="22" t="str">
        <x:v>农业生态</x:v>
      </x:c>
      <x:c r="K2739" s="32" t="str"/>
      <x:c r="L2739" s="22" t="str">
        <x:v>不适用/未标注</x:v>
      </x:c>
      <x:c r="M2739" s="33" t="n">
        <x:v>6159657.189999994</x:v>
      </x:c>
      <x:c r="N2739" s="33" t="n">
        <x:v>615.9657189999994</x:v>
      </x:c>
      <x:c r="O2739" s="22" t="str">
        <x:v>公顷</x:v>
      </x:c>
      <x:c r="P2739" s="22" t="str">
        <x:v>未提供（单期横截面）</x:v>
      </x:c>
      <x:c r="Q2739" s="23" t="n">
        <x:v>5718</x:v>
      </x:c>
    </x:row>
    <x:row r="2740">
      <x:c r="A2740" s="30" t="n">
        <x:v>350600</x:v>
      </x:c>
      <x:c r="B2740" s="22" t="str">
        <x:v>漳州市</x:v>
      </x:c>
      <x:c r="C2740" s="31" t="n">
        <x:v>350627</x:v>
      </x:c>
      <x:c r="D2740" s="22" t="str">
        <x:v>南靖县</x:v>
      </x:c>
      <x:c r="E2740" s="22" t="str">
        <x:v>未利用地</x:v>
      </x:c>
      <x:c r="F2740" s="22" t="str">
        <x:v>水域及水利设施</x:v>
      </x:c>
      <x:c r="G2740" s="32" t="str">
        <x:v>1101</x:v>
      </x:c>
      <x:c r="H2740" s="32" t="str">
        <x:v>1101</x:v>
      </x:c>
      <x:c r="I2740" s="22" t="str">
        <x:v>河流水面</x:v>
      </x:c>
      <x:c r="J2740" s="22" t="str">
        <x:v>农业生态</x:v>
      </x:c>
      <x:c r="K2740" s="32" t="str"/>
      <x:c r="L2740" s="22" t="str">
        <x:v>不适用/未标注</x:v>
      </x:c>
      <x:c r="M2740" s="33" t="n">
        <x:v>20235011.589999985</x:v>
      </x:c>
      <x:c r="N2740" s="33" t="n">
        <x:v>2023.5011589999986</x:v>
      </x:c>
      <x:c r="O2740" s="22" t="str">
        <x:v>公顷</x:v>
      </x:c>
      <x:c r="P2740" s="22" t="str">
        <x:v>未提供（单期横截面）</x:v>
      </x:c>
      <x:c r="Q2740" s="23" t="n">
        <x:v>5719</x:v>
      </x:c>
    </x:row>
    <x:row r="2741">
      <x:c r="A2741" s="30" t="n">
        <x:v>350600</x:v>
      </x:c>
      <x:c r="B2741" s="22" t="str">
        <x:v>漳州市</x:v>
      </x:c>
      <x:c r="C2741" s="31" t="n">
        <x:v>350627</x:v>
      </x:c>
      <x:c r="D2741" s="22" t="str">
        <x:v>南靖县</x:v>
      </x:c>
      <x:c r="E2741" s="22" t="str">
        <x:v>未利用地</x:v>
      </x:c>
      <x:c r="F2741" s="22" t="str">
        <x:v>水域及水利设施</x:v>
      </x:c>
      <x:c r="G2741" s="32" t="str">
        <x:v>1106</x:v>
      </x:c>
      <x:c r="H2741" s="32" t="str">
        <x:v>1106</x:v>
      </x:c>
      <x:c r="I2741" s="22" t="str">
        <x:v>内陆滩涂</x:v>
      </x:c>
      <x:c r="J2741" s="22" t="str">
        <x:v>农业生态</x:v>
      </x:c>
      <x:c r="K2741" s="32" t="str"/>
      <x:c r="L2741" s="22" t="str">
        <x:v>不适用/未标注</x:v>
      </x:c>
      <x:c r="M2741" s="33" t="n">
        <x:v>2935235.4199999995</x:v>
      </x:c>
      <x:c r="N2741" s="33" t="n">
        <x:v>293.52354199999996</x:v>
      </x:c>
      <x:c r="O2741" s="22" t="str">
        <x:v>公顷</x:v>
      </x:c>
      <x:c r="P2741" s="22" t="str">
        <x:v>未提供（单期横截面）</x:v>
      </x:c>
      <x:c r="Q2741" s="23" t="n">
        <x:v>5720</x:v>
      </x:c>
    </x:row>
    <x:row r="2742">
      <x:c r="A2742" s="30" t="n">
        <x:v>350600</x:v>
      </x:c>
      <x:c r="B2742" s="22" t="str">
        <x:v>漳州市</x:v>
      </x:c>
      <x:c r="C2742" s="31" t="n">
        <x:v>350627</x:v>
      </x:c>
      <x:c r="D2742" s="22" t="str">
        <x:v>南靖县</x:v>
      </x:c>
      <x:c r="E2742" s="22" t="str">
        <x:v>未利用地</x:v>
      </x:c>
      <x:c r="F2742" s="22" t="str">
        <x:v>未利用地</x:v>
      </x:c>
      <x:c r="G2742" s="32" t="str">
        <x:v>1206</x:v>
      </x:c>
      <x:c r="H2742" s="32" t="str">
        <x:v>1206</x:v>
      </x:c>
      <x:c r="I2742" s="22" t="str">
        <x:v>裸土地</x:v>
      </x:c>
      <x:c r="J2742" s="22" t="str">
        <x:v>未利用地</x:v>
      </x:c>
      <x:c r="K2742" s="32" t="str"/>
      <x:c r="L2742" s="22" t="str">
        <x:v>不适用/未标注</x:v>
      </x:c>
      <x:c r="M2742" s="33" t="n">
        <x:v>76972.46</x:v>
      </x:c>
      <x:c r="N2742" s="33" t="n">
        <x:v>7.697246000000001</x:v>
      </x:c>
      <x:c r="O2742" s="22" t="str">
        <x:v>公顷</x:v>
      </x:c>
      <x:c r="P2742" s="22" t="str">
        <x:v>未提供（单期横截面）</x:v>
      </x:c>
      <x:c r="Q2742" s="23" t="n">
        <x:v>5721</x:v>
      </x:c>
    </x:row>
    <x:row r="2743">
      <x:c r="A2743" s="30" t="n">
        <x:v>350600</x:v>
      </x:c>
      <x:c r="B2743" s="22" t="str">
        <x:v>漳州市</x:v>
      </x:c>
      <x:c r="C2743" s="31" t="n">
        <x:v>350627</x:v>
      </x:c>
      <x:c r="D2743" s="22" t="str">
        <x:v>南靖县</x:v>
      </x:c>
      <x:c r="E2743" s="22" t="str">
        <x:v>未利用地</x:v>
      </x:c>
      <x:c r="F2743" s="22" t="str">
        <x:v>未利用地</x:v>
      </x:c>
      <x:c r="G2743" s="32" t="str">
        <x:v>1207</x:v>
      </x:c>
      <x:c r="H2743" s="32" t="str">
        <x:v>1207</x:v>
      </x:c>
      <x:c r="I2743" s="22" t="str">
        <x:v>裸岩石砾地</x:v>
      </x:c>
      <x:c r="J2743" s="22" t="str">
        <x:v>未利用地</x:v>
      </x:c>
      <x:c r="K2743" s="32" t="str"/>
      <x:c r="L2743" s="22" t="str">
        <x:v>不适用/未标注</x:v>
      </x:c>
      <x:c r="M2743" s="33" t="n">
        <x:v>209145.34999999998</x:v>
      </x:c>
      <x:c r="N2743" s="33" t="n">
        <x:v>20.914534999999997</x:v>
      </x:c>
      <x:c r="O2743" s="22" t="str">
        <x:v>公顷</x:v>
      </x:c>
      <x:c r="P2743" s="22" t="str">
        <x:v>未提供（单期横截面）</x:v>
      </x:c>
      <x:c r="Q2743" s="23" t="n">
        <x:v>5722</x:v>
      </x:c>
    </x:row>
    <x:row r="2744">
      <x:c r="A2744" s="30" t="n">
        <x:v>350600</x:v>
      </x:c>
      <x:c r="B2744" s="22" t="str">
        <x:v>漳州市</x:v>
      </x:c>
      <x:c r="C2744" s="31" t="n">
        <x:v>350627</x:v>
      </x:c>
      <x:c r="D2744" s="22" t="str">
        <x:v>南靖县</x:v>
      </x:c>
      <x:c r="E2744" s="22" t="str">
        <x:v>未利用地</x:v>
      </x:c>
      <x:c r="F2744" s="22" t="str">
        <x:v>草地</x:v>
      </x:c>
      <x:c r="G2744" s="32" t="str">
        <x:v>404</x:v>
      </x:c>
      <x:c r="H2744" s="32" t="str">
        <x:v>404</x:v>
      </x:c>
      <x:c r="I2744" s="22" t="str">
        <x:v>其他草地</x:v>
      </x:c>
      <x:c r="J2744" s="22" t="str">
        <x:v>农业生态</x:v>
      </x:c>
      <x:c r="K2744" s="32" t="str">
        <x:v>202</x:v>
      </x:c>
      <x:c r="L2744" s="22" t="str">
        <x:v>建制镇范围</x:v>
      </x:c>
      <x:c r="M2744" s="33" t="n">
        <x:v>120470.84</x:v>
      </x:c>
      <x:c r="N2744" s="33" t="n">
        <x:v>12.047084</x:v>
      </x:c>
      <x:c r="O2744" s="22" t="str">
        <x:v>公顷</x:v>
      </x:c>
      <x:c r="P2744" s="22" t="str">
        <x:v>未提供（单期横截面）</x:v>
      </x:c>
      <x:c r="Q2744" s="23" t="n">
        <x:v>5723</x:v>
      </x:c>
    </x:row>
    <x:row r="2745">
      <x:c r="A2745" s="30" t="n">
        <x:v>350600</x:v>
      </x:c>
      <x:c r="B2745" s="22" t="str">
        <x:v>漳州市</x:v>
      </x:c>
      <x:c r="C2745" s="31" t="n">
        <x:v>350627</x:v>
      </x:c>
      <x:c r="D2745" s="22" t="str">
        <x:v>南靖县</x:v>
      </x:c>
      <x:c r="E2745" s="22" t="str">
        <x:v>未利用地</x:v>
      </x:c>
      <x:c r="F2745" s="22" t="str">
        <x:v>草地</x:v>
      </x:c>
      <x:c r="G2745" s="32" t="str">
        <x:v>404</x:v>
      </x:c>
      <x:c r="H2745" s="32" t="str">
        <x:v>404</x:v>
      </x:c>
      <x:c r="I2745" s="22" t="str">
        <x:v>其他草地</x:v>
      </x:c>
      <x:c r="J2745" s="22" t="str">
        <x:v>农业生态</x:v>
      </x:c>
      <x:c r="K2745" s="32" t="str">
        <x:v>203</x:v>
      </x:c>
      <x:c r="L2745" s="22" t="str">
        <x:v>村庄范围</x:v>
      </x:c>
      <x:c r="M2745" s="33" t="n">
        <x:v>11702.210000000001</x:v>
      </x:c>
      <x:c r="N2745" s="33" t="n">
        <x:v>1.1702210000000002</x:v>
      </x:c>
      <x:c r="O2745" s="22" t="str">
        <x:v>公顷</x:v>
      </x:c>
      <x:c r="P2745" s="22" t="str">
        <x:v>未提供（单期横截面）</x:v>
      </x:c>
      <x:c r="Q2745" s="23" t="n">
        <x:v>5724</x:v>
      </x:c>
    </x:row>
    <x:row r="2746">
      <x:c r="A2746" s="30" t="n">
        <x:v>350600</x:v>
      </x:c>
      <x:c r="B2746" s="22" t="str">
        <x:v>漳州市</x:v>
      </x:c>
      <x:c r="C2746" s="31" t="n">
        <x:v>350628</x:v>
      </x:c>
      <x:c r="D2746" s="22" t="str">
        <x:v>平和县</x:v>
      </x:c>
      <x:c r="E2746" s="22" t="str">
        <x:v>建设用地</x:v>
      </x:c>
      <x:c r="F2746" s="22" t="str">
        <x:v>交通运输用地</x:v>
      </x:c>
      <x:c r="G2746" s="32" t="str">
        <x:v>1003</x:v>
      </x:c>
      <x:c r="H2746" s="32" t="str">
        <x:v>1003</x:v>
      </x:c>
      <x:c r="I2746" s="22" t="str">
        <x:v>公路用地</x:v>
      </x:c>
      <x:c r="J2746" s="22" t="str">
        <x:v>交通门户</x:v>
      </x:c>
      <x:c r="K2746" s="32" t="str"/>
      <x:c r="L2746" s="22" t="str">
        <x:v>不适用/未标注</x:v>
      </x:c>
      <x:c r="M2746" s="33" t="n">
        <x:v>14691639.190000013</x:v>
      </x:c>
      <x:c r="N2746" s="33" t="n">
        <x:v>1469.1639190000012</x:v>
      </x:c>
      <x:c r="O2746" s="22" t="str">
        <x:v>公顷</x:v>
      </x:c>
      <x:c r="P2746" s="22" t="str">
        <x:v>未提供（单期横截面）</x:v>
      </x:c>
      <x:c r="Q2746" s="23" t="n">
        <x:v>5725</x:v>
      </x:c>
    </x:row>
    <x:row r="2747">
      <x:c r="A2747" s="30" t="n">
        <x:v>350600</x:v>
      </x:c>
      <x:c r="B2747" s="22" t="str">
        <x:v>漳州市</x:v>
      </x:c>
      <x:c r="C2747" s="31" t="n">
        <x:v>350628</x:v>
      </x:c>
      <x:c r="D2747" s="22" t="str">
        <x:v>平和县</x:v>
      </x:c>
      <x:c r="E2747" s="22" t="str">
        <x:v>建设用地</x:v>
      </x:c>
      <x:c r="F2747" s="22" t="str">
        <x:v>水域及水利设施</x:v>
      </x:c>
      <x:c r="G2747" s="32" t="str">
        <x:v>1109</x:v>
      </x:c>
      <x:c r="H2747" s="32" t="str">
        <x:v>1109</x:v>
      </x:c>
      <x:c r="I2747" s="22" t="str">
        <x:v>水工建筑用地</x:v>
      </x:c>
      <x:c r="J2747" s="22" t="str">
        <x:v>其他建设</x:v>
      </x:c>
      <x:c r="K2747" s="32" t="str"/>
      <x:c r="L2747" s="22" t="str">
        <x:v>不适用/未标注</x:v>
      </x:c>
      <x:c r="M2747" s="33" t="n">
        <x:v>792858.51</x:v>
      </x:c>
      <x:c r="N2747" s="33" t="n">
        <x:v>79.285851</x:v>
      </x:c>
      <x:c r="O2747" s="22" t="str">
        <x:v>公顷</x:v>
      </x:c>
      <x:c r="P2747" s="22" t="str">
        <x:v>未提供（单期横截面）</x:v>
      </x:c>
      <x:c r="Q2747" s="23" t="n">
        <x:v>5726</x:v>
      </x:c>
    </x:row>
    <x:row r="2748">
      <x:c r="A2748" s="30" t="n">
        <x:v>350600</x:v>
      </x:c>
      <x:c r="B2748" s="22" t="str">
        <x:v>漳州市</x:v>
      </x:c>
      <x:c r="C2748" s="31" t="n">
        <x:v>350628</x:v>
      </x:c>
      <x:c r="D2748" s="22" t="str">
        <x:v>平和县</x:v>
      </x:c>
      <x:c r="E2748" s="22" t="str">
        <x:v>建设用地</x:v>
      </x:c>
      <x:c r="F2748" s="22" t="str">
        <x:v>工矿仓储用地</x:v>
      </x:c>
      <x:c r="G2748" s="32" t="str">
        <x:v>508</x:v>
      </x:c>
      <x:c r="H2748" s="32" t="str">
        <x:v>508</x:v>
      </x:c>
      <x:c r="I2748" s="22" t="str">
        <x:v>物流仓储用地</x:v>
      </x:c>
      <x:c r="J2748" s="22" t="str">
        <x:v>产业功能</x:v>
      </x:c>
      <x:c r="K2748" s="32" t="str">
        <x:v>202</x:v>
      </x:c>
      <x:c r="L2748" s="22" t="str">
        <x:v>建制镇范围</x:v>
      </x:c>
      <x:c r="M2748" s="33" t="n">
        <x:v>125463.69000000003</x:v>
      </x:c>
      <x:c r="N2748" s="33" t="n">
        <x:v>12.546369000000004</x:v>
      </x:c>
      <x:c r="O2748" s="22" t="str">
        <x:v>公顷</x:v>
      </x:c>
      <x:c r="P2748" s="22" t="str">
        <x:v>未提供（单期横截面）</x:v>
      </x:c>
      <x:c r="Q2748" s="23" t="n">
        <x:v>5727</x:v>
      </x:c>
    </x:row>
    <x:row r="2749">
      <x:c r="A2749" s="30" t="n">
        <x:v>350600</x:v>
      </x:c>
      <x:c r="B2749" s="22" t="str">
        <x:v>漳州市</x:v>
      </x:c>
      <x:c r="C2749" s="31" t="n">
        <x:v>350628</x:v>
      </x:c>
      <x:c r="D2749" s="22" t="str">
        <x:v>平和县</x:v>
      </x:c>
      <x:c r="E2749" s="22" t="str">
        <x:v>建设用地</x:v>
      </x:c>
      <x:c r="F2749" s="22" t="str">
        <x:v>商业服务业用地</x:v>
      </x:c>
      <x:c r="G2749" s="32" t="str">
        <x:v>05H1</x:v>
      </x:c>
      <x:c r="H2749" s="32" t="str">
        <x:v>05H1</x:v>
      </x:c>
      <x:c r="I2749" s="22" t="str">
        <x:v>商业服务业设施用地</x:v>
      </x:c>
      <x:c r="J2749" s="22" t="str">
        <x:v>商业服务</x:v>
      </x:c>
      <x:c r="K2749" s="32" t="str">
        <x:v>202</x:v>
      </x:c>
      <x:c r="L2749" s="22" t="str">
        <x:v>建制镇范围</x:v>
      </x:c>
      <x:c r="M2749" s="33" t="n">
        <x:v>662147.4199999998</x:v>
      </x:c>
      <x:c r="N2749" s="33" t="n">
        <x:v>66.21474199999999</x:v>
      </x:c>
      <x:c r="O2749" s="22" t="str">
        <x:v>公顷</x:v>
      </x:c>
      <x:c r="P2749" s="22" t="str">
        <x:v>未提供（单期横截面）</x:v>
      </x:c>
      <x:c r="Q2749" s="23" t="n">
        <x:v>5728</x:v>
      </x:c>
    </x:row>
    <x:row r="2750">
      <x:c r="A2750" s="30" t="n">
        <x:v>350600</x:v>
      </x:c>
      <x:c r="B2750" s="22" t="str">
        <x:v>漳州市</x:v>
      </x:c>
      <x:c r="C2750" s="31" t="n">
        <x:v>350628</x:v>
      </x:c>
      <x:c r="D2750" s="22" t="str">
        <x:v>平和县</x:v>
      </x:c>
      <x:c r="E2750" s="22" t="str">
        <x:v>建设用地</x:v>
      </x:c>
      <x:c r="F2750" s="22" t="str">
        <x:v>工矿仓储用地</x:v>
      </x:c>
      <x:c r="G2750" s="32" t="str">
        <x:v>601</x:v>
      </x:c>
      <x:c r="H2750" s="32" t="str">
        <x:v>601</x:v>
      </x:c>
      <x:c r="I2750" s="22" t="str">
        <x:v>工业用地</x:v>
      </x:c>
      <x:c r="J2750" s="22" t="str">
        <x:v>产业功能</x:v>
      </x:c>
      <x:c r="K2750" s="32" t="str">
        <x:v>202</x:v>
      </x:c>
      <x:c r="L2750" s="22" t="str">
        <x:v>建制镇范围</x:v>
      </x:c>
      <x:c r="M2750" s="33" t="n">
        <x:v>1006966.6600000001</x:v>
      </x:c>
      <x:c r="N2750" s="33" t="n">
        <x:v>100.69666600000002</x:v>
      </x:c>
      <x:c r="O2750" s="22" t="str">
        <x:v>公顷</x:v>
      </x:c>
      <x:c r="P2750" s="22" t="str">
        <x:v>未提供（单期横截面）</x:v>
      </x:c>
      <x:c r="Q2750" s="23" t="n">
        <x:v>5729</x:v>
      </x:c>
    </x:row>
    <x:row r="2751">
      <x:c r="A2751" s="30" t="n">
        <x:v>350600</x:v>
      </x:c>
      <x:c r="B2751" s="22" t="str">
        <x:v>漳州市</x:v>
      </x:c>
      <x:c r="C2751" s="31" t="n">
        <x:v>350628</x:v>
      </x:c>
      <x:c r="D2751" s="22" t="str">
        <x:v>平和县</x:v>
      </x:c>
      <x:c r="E2751" s="22" t="str">
        <x:v>建设用地</x:v>
      </x:c>
      <x:c r="F2751" s="22" t="str">
        <x:v>工矿仓储用地</x:v>
      </x:c>
      <x:c r="G2751" s="32" t="str">
        <x:v>602</x:v>
      </x:c>
      <x:c r="H2751" s="32" t="str">
        <x:v>602</x:v>
      </x:c>
      <x:c r="I2751" s="22" t="str">
        <x:v>采矿用地</x:v>
      </x:c>
      <x:c r="J2751" s="22" t="str">
        <x:v>产业功能</x:v>
      </x:c>
      <x:c r="K2751" s="32" t="str">
        <x:v>202</x:v>
      </x:c>
      <x:c r="L2751" s="22" t="str">
        <x:v>建制镇范围</x:v>
      </x:c>
      <x:c r="M2751" s="33" t="n">
        <x:v>41230.880000000005</x:v>
      </x:c>
      <x:c r="N2751" s="33" t="n">
        <x:v>4.123088</x:v>
      </x:c>
      <x:c r="O2751" s="22" t="str">
        <x:v>公顷</x:v>
      </x:c>
      <x:c r="P2751" s="22" t="str">
        <x:v>未提供（单期横截面）</x:v>
      </x:c>
      <x:c r="Q2751" s="23" t="n">
        <x:v>5730</x:v>
      </x:c>
    </x:row>
    <x:row r="2752">
      <x:c r="A2752" s="30" t="n">
        <x:v>350600</x:v>
      </x:c>
      <x:c r="B2752" s="22" t="str">
        <x:v>漳州市</x:v>
      </x:c>
      <x:c r="C2752" s="31" t="n">
        <x:v>350628</x:v>
      </x:c>
      <x:c r="D2752" s="22" t="str">
        <x:v>平和县</x:v>
      </x:c>
      <x:c r="E2752" s="22" t="str">
        <x:v>建设用地</x:v>
      </x:c>
      <x:c r="F2752" s="22" t="str">
        <x:v>居住用地</x:v>
      </x:c>
      <x:c r="G2752" s="32" t="str">
        <x:v>701</x:v>
      </x:c>
      <x:c r="H2752" s="32" t="str">
        <x:v>701</x:v>
      </x:c>
      <x:c r="I2752" s="22" t="str">
        <x:v>城镇住宅用地</x:v>
      </x:c>
      <x:c r="J2752" s="22" t="str">
        <x:v>居住功能</x:v>
      </x:c>
      <x:c r="K2752" s="32" t="str">
        <x:v>202</x:v>
      </x:c>
      <x:c r="L2752" s="22" t="str">
        <x:v>建制镇范围</x:v>
      </x:c>
      <x:c r="M2752" s="33" t="n">
        <x:v>8338299.730000006</x:v>
      </x:c>
      <x:c r="N2752" s="33" t="n">
        <x:v>833.8299730000006</x:v>
      </x:c>
      <x:c r="O2752" s="22" t="str">
        <x:v>公顷</x:v>
      </x:c>
      <x:c r="P2752" s="22" t="str">
        <x:v>未提供（单期横截面）</x:v>
      </x:c>
      <x:c r="Q2752" s="23" t="n">
        <x:v>5731</x:v>
      </x:c>
    </x:row>
    <x:row r="2753">
      <x:c r="A2753" s="30" t="n">
        <x:v>350600</x:v>
      </x:c>
      <x:c r="B2753" s="22" t="str">
        <x:v>漳州市</x:v>
      </x:c>
      <x:c r="C2753" s="31" t="n">
        <x:v>350628</x:v>
      </x:c>
      <x:c r="D2753" s="22" t="str">
        <x:v>平和县</x:v>
      </x:c>
      <x:c r="E2753" s="22" t="str">
        <x:v>建设用地</x:v>
      </x:c>
      <x:c r="F2753" s="22" t="str">
        <x:v>居住用地</x:v>
      </x:c>
      <x:c r="G2753" s="32" t="str">
        <x:v>702</x:v>
      </x:c>
      <x:c r="H2753" s="32" t="str">
        <x:v>702</x:v>
      </x:c>
      <x:c r="I2753" s="22" t="str">
        <x:v>农村宅基地</x:v>
      </x:c>
      <x:c r="J2753" s="22" t="str">
        <x:v>居住功能</x:v>
      </x:c>
      <x:c r="K2753" s="32" t="str">
        <x:v>202</x:v>
      </x:c>
      <x:c r="L2753" s="22" t="str">
        <x:v>建制镇范围</x:v>
      </x:c>
      <x:c r="M2753" s="33" t="n">
        <x:v>45909.21</x:v>
      </x:c>
      <x:c r="N2753" s="33" t="n">
        <x:v>4.590921</x:v>
      </x:c>
      <x:c r="O2753" s="22" t="str">
        <x:v>公顷</x:v>
      </x:c>
      <x:c r="P2753" s="22" t="str">
        <x:v>未提供（单期横截面）</x:v>
      </x:c>
      <x:c r="Q2753" s="23" t="n">
        <x:v>5732</x:v>
      </x:c>
    </x:row>
    <x:row r="2754">
      <x:c r="A2754" s="30" t="n">
        <x:v>350600</x:v>
      </x:c>
      <x:c r="B2754" s="22" t="str">
        <x:v>漳州市</x:v>
      </x:c>
      <x:c r="C2754" s="31" t="n">
        <x:v>350628</x:v>
      </x:c>
      <x:c r="D2754" s="22" t="str">
        <x:v>平和县</x:v>
      </x:c>
      <x:c r="E2754" s="22" t="str">
        <x:v>建设用地</x:v>
      </x:c>
      <x:c r="F2754" s="22" t="str">
        <x:v>公用设施用地</x:v>
      </x:c>
      <x:c r="G2754" s="32" t="str">
        <x:v>809</x:v>
      </x:c>
      <x:c r="H2754" s="32" t="str">
        <x:v>809</x:v>
      </x:c>
      <x:c r="I2754" s="22" t="str">
        <x:v>公用设施用地</x:v>
      </x:c>
      <x:c r="J2754" s="22" t="str">
        <x:v>其他建设</x:v>
      </x:c>
      <x:c r="K2754" s="32" t="str">
        <x:v>202</x:v>
      </x:c>
      <x:c r="L2754" s="22" t="str">
        <x:v>建制镇范围</x:v>
      </x:c>
      <x:c r="M2754" s="33" t="n">
        <x:v>94219.09000000001</x:v>
      </x:c>
      <x:c r="N2754" s="33" t="n">
        <x:v>9.421909000000001</x:v>
      </x:c>
      <x:c r="O2754" s="22" t="str">
        <x:v>公顷</x:v>
      </x:c>
      <x:c r="P2754" s="22" t="str">
        <x:v>未提供（单期横截面）</x:v>
      </x:c>
      <x:c r="Q2754" s="23" t="n">
        <x:v>5733</x:v>
      </x:c>
    </x:row>
    <x:row r="2755">
      <x:c r="A2755" s="30" t="n">
        <x:v>350600</x:v>
      </x:c>
      <x:c r="B2755" s="22" t="str">
        <x:v>漳州市</x:v>
      </x:c>
      <x:c r="C2755" s="31" t="n">
        <x:v>350628</x:v>
      </x:c>
      <x:c r="D2755" s="22" t="str">
        <x:v>平和县</x:v>
      </x:c>
      <x:c r="E2755" s="22" t="str">
        <x:v>建设用地</x:v>
      </x:c>
      <x:c r="F2755" s="22" t="str">
        <x:v>绿地与广场用地</x:v>
      </x:c>
      <x:c r="G2755" s="32" t="str">
        <x:v>810</x:v>
      </x:c>
      <x:c r="H2755" s="32" t="str">
        <x:v>810</x:v>
      </x:c>
      <x:c r="I2755" s="22" t="str">
        <x:v>公园与绿地</x:v>
      </x:c>
      <x:c r="J2755" s="22" t="str">
        <x:v>公共空间</x:v>
      </x:c>
      <x:c r="K2755" s="32" t="str">
        <x:v>202</x:v>
      </x:c>
      <x:c r="L2755" s="22" t="str">
        <x:v>建制镇范围</x:v>
      </x:c>
      <x:c r="M2755" s="33" t="n">
        <x:v>246945.43999999997</x:v>
      </x:c>
      <x:c r="N2755" s="33" t="n">
        <x:v>24.694543999999997</x:v>
      </x:c>
      <x:c r="O2755" s="22" t="str">
        <x:v>公顷</x:v>
      </x:c>
      <x:c r="P2755" s="22" t="str">
        <x:v>未提供（单期横截面）</x:v>
      </x:c>
      <x:c r="Q2755" s="23" t="n">
        <x:v>5734</x:v>
      </x:c>
    </x:row>
    <x:row r="2756">
      <x:c r="A2756" s="30" t="n">
        <x:v>350600</x:v>
      </x:c>
      <x:c r="B2756" s="22" t="str">
        <x:v>漳州市</x:v>
      </x:c>
      <x:c r="C2756" s="31" t="n">
        <x:v>350628</x:v>
      </x:c>
      <x:c r="D2756" s="22" t="str">
        <x:v>平和县</x:v>
      </x:c>
      <x:c r="E2756" s="22" t="str">
        <x:v>建设用地</x:v>
      </x:c>
      <x:c r="F2756" s="22" t="str">
        <x:v>绿地与广场用地</x:v>
      </x:c>
      <x:c r="G2756" s="32" t="str">
        <x:v>0810A</x:v>
      </x:c>
      <x:c r="H2756" s="32" t="str">
        <x:v>0810</x:v>
      </x:c>
      <x:c r="I2756" s="22" t="str">
        <x:v>广场用地</x:v>
      </x:c>
      <x:c r="J2756" s="22" t="str">
        <x:v>公共空间</x:v>
      </x:c>
      <x:c r="K2756" s="32" t="str">
        <x:v>202</x:v>
      </x:c>
      <x:c r="L2756" s="22" t="str">
        <x:v>建制镇范围</x:v>
      </x:c>
      <x:c r="M2756" s="33" t="n">
        <x:v>18273.49</x:v>
      </x:c>
      <x:c r="N2756" s="33" t="n">
        <x:v>1.8273490000000001</x:v>
      </x:c>
      <x:c r="O2756" s="22" t="str">
        <x:v>公顷</x:v>
      </x:c>
      <x:c r="P2756" s="22" t="str">
        <x:v>未提供（单期横截面）</x:v>
      </x:c>
      <x:c r="Q2756" s="23" t="n">
        <x:v>5735</x:v>
      </x:c>
    </x:row>
    <x:row r="2757">
      <x:c r="A2757" s="30" t="n">
        <x:v>350600</x:v>
      </x:c>
      <x:c r="B2757" s="22" t="str">
        <x:v>漳州市</x:v>
      </x:c>
      <x:c r="C2757" s="31" t="n">
        <x:v>350628</x:v>
      </x:c>
      <x:c r="D2757" s="22" t="str">
        <x:v>平和县</x:v>
      </x:c>
      <x:c r="E2757" s="22" t="str">
        <x:v>建设用地</x:v>
      </x:c>
      <x:c r="F2757" s="22" t="str">
        <x:v>公共管理与公共服务用地</x:v>
      </x:c>
      <x:c r="G2757" s="32" t="str">
        <x:v>08H1</x:v>
      </x:c>
      <x:c r="H2757" s="32" t="str">
        <x:v>08H1</x:v>
      </x:c>
      <x:c r="I2757" s="22" t="str">
        <x:v>机关团体新闻出版用地</x:v>
      </x:c>
      <x:c r="J2757" s="22" t="str">
        <x:v>公共服务</x:v>
      </x:c>
      <x:c r="K2757" s="32" t="str">
        <x:v>202</x:v>
      </x:c>
      <x:c r="L2757" s="22" t="str">
        <x:v>建制镇范围</x:v>
      </x:c>
      <x:c r="M2757" s="33" t="n">
        <x:v>268142.99</x:v>
      </x:c>
      <x:c r="N2757" s="33" t="n">
        <x:v>26.814299</x:v>
      </x:c>
      <x:c r="O2757" s="22" t="str">
        <x:v>公顷</x:v>
      </x:c>
      <x:c r="P2757" s="22" t="str">
        <x:v>未提供（单期横截面）</x:v>
      </x:c>
      <x:c r="Q2757" s="23" t="n">
        <x:v>5736</x:v>
      </x:c>
    </x:row>
    <x:row r="2758">
      <x:c r="A2758" s="30" t="n">
        <x:v>350600</x:v>
      </x:c>
      <x:c r="B2758" s="22" t="str">
        <x:v>漳州市</x:v>
      </x:c>
      <x:c r="C2758" s="31" t="n">
        <x:v>350628</x:v>
      </x:c>
      <x:c r="D2758" s="22" t="str">
        <x:v>平和县</x:v>
      </x:c>
      <x:c r="E2758" s="22" t="str">
        <x:v>建设用地</x:v>
      </x:c>
      <x:c r="F2758" s="22" t="str">
        <x:v>公共管理与公共服务用地</x:v>
      </x:c>
      <x:c r="G2758" s="32" t="str">
        <x:v>08H2</x:v>
      </x:c>
      <x:c r="H2758" s="32" t="str">
        <x:v>08H2</x:v>
      </x:c>
      <x:c r="I2758" s="22" t="str">
        <x:v>科教文卫用地</x:v>
      </x:c>
      <x:c r="J2758" s="22" t="str">
        <x:v>公共服务</x:v>
      </x:c>
      <x:c r="K2758" s="32" t="str">
        <x:v>202</x:v>
      </x:c>
      <x:c r="L2758" s="22" t="str">
        <x:v>建制镇范围</x:v>
      </x:c>
      <x:c r="M2758" s="33" t="n">
        <x:v>965062.2500000001</x:v>
      </x:c>
      <x:c r="N2758" s="33" t="n">
        <x:v>96.50622500000001</x:v>
      </x:c>
      <x:c r="O2758" s="22" t="str">
        <x:v>公顷</x:v>
      </x:c>
      <x:c r="P2758" s="22" t="str">
        <x:v>未提供（单期横截面）</x:v>
      </x:c>
      <x:c r="Q2758" s="23" t="n">
        <x:v>5737</x:v>
      </x:c>
    </x:row>
    <x:row r="2759">
      <x:c r="A2759" s="30" t="n">
        <x:v>350600</x:v>
      </x:c>
      <x:c r="B2759" s="22" t="str">
        <x:v>漳州市</x:v>
      </x:c>
      <x:c r="C2759" s="31" t="n">
        <x:v>350628</x:v>
      </x:c>
      <x:c r="D2759" s="22" t="str">
        <x:v>平和县</x:v>
      </x:c>
      <x:c r="E2759" s="22" t="str">
        <x:v>建设用地</x:v>
      </x:c>
      <x:c r="F2759" s="22" t="str">
        <x:v>特殊用地</x:v>
      </x:c>
      <x:c r="G2759" s="32" t="str">
        <x:v>9</x:v>
      </x:c>
      <x:c r="H2759" s="32" t="str">
        <x:v>9</x:v>
      </x:c>
      <x:c r="I2759" s="22" t="str">
        <x:v>特殊用地</x:v>
      </x:c>
      <x:c r="J2759" s="22" t="str">
        <x:v>其他建设</x:v>
      </x:c>
      <x:c r="K2759" s="32" t="str">
        <x:v>202</x:v>
      </x:c>
      <x:c r="L2759" s="22" t="str">
        <x:v>建制镇范围</x:v>
      </x:c>
      <x:c r="M2759" s="33" t="n">
        <x:v>95776.24000000002</x:v>
      </x:c>
      <x:c r="N2759" s="33" t="n">
        <x:v>9.577624000000002</x:v>
      </x:c>
      <x:c r="O2759" s="22" t="str">
        <x:v>公顷</x:v>
      </x:c>
      <x:c r="P2759" s="22" t="str">
        <x:v>未提供（单期横截面）</x:v>
      </x:c>
      <x:c r="Q2759" s="23" t="n">
        <x:v>5738</x:v>
      </x:c>
    </x:row>
    <x:row r="2760">
      <x:c r="A2760" s="30" t="n">
        <x:v>350600</x:v>
      </x:c>
      <x:c r="B2760" s="22" t="str">
        <x:v>漳州市</x:v>
      </x:c>
      <x:c r="C2760" s="31" t="n">
        <x:v>350628</x:v>
      </x:c>
      <x:c r="D2760" s="22" t="str">
        <x:v>平和县</x:v>
      </x:c>
      <x:c r="E2760" s="22" t="str">
        <x:v>建设用地</x:v>
      </x:c>
      <x:c r="F2760" s="22" t="str">
        <x:v>交通运输用地</x:v>
      </x:c>
      <x:c r="G2760" s="32" t="str">
        <x:v>1003</x:v>
      </x:c>
      <x:c r="H2760" s="32" t="str">
        <x:v>1003</x:v>
      </x:c>
      <x:c r="I2760" s="22" t="str">
        <x:v>公路用地</x:v>
      </x:c>
      <x:c r="J2760" s="22" t="str">
        <x:v>交通门户</x:v>
      </x:c>
      <x:c r="K2760" s="32" t="str">
        <x:v>202</x:v>
      </x:c>
      <x:c r="L2760" s="22" t="str">
        <x:v>建制镇范围</x:v>
      </x:c>
      <x:c r="M2760" s="33" t="n">
        <x:v>3015.29</x:v>
      </x:c>
      <x:c r="N2760" s="33" t="n">
        <x:v>0.301529</x:v>
      </x:c>
      <x:c r="O2760" s="22" t="str">
        <x:v>公顷</x:v>
      </x:c>
      <x:c r="P2760" s="22" t="str">
        <x:v>未提供（单期横截面）</x:v>
      </x:c>
      <x:c r="Q2760" s="23" t="n">
        <x:v>5739</x:v>
      </x:c>
    </x:row>
    <x:row r="2761">
      <x:c r="A2761" s="30" t="n">
        <x:v>350600</x:v>
      </x:c>
      <x:c r="B2761" s="22" t="str">
        <x:v>漳州市</x:v>
      </x:c>
      <x:c r="C2761" s="31" t="n">
        <x:v>350628</x:v>
      </x:c>
      <x:c r="D2761" s="22" t="str">
        <x:v>平和县</x:v>
      </x:c>
      <x:c r="E2761" s="22" t="str">
        <x:v>建设用地</x:v>
      </x:c>
      <x:c r="F2761" s="22" t="str">
        <x:v>交通运输用地</x:v>
      </x:c>
      <x:c r="G2761" s="32" t="str">
        <x:v>1004</x:v>
      </x:c>
      <x:c r="H2761" s="32" t="str">
        <x:v>1004</x:v>
      </x:c>
      <x:c r="I2761" s="22" t="str">
        <x:v>城镇村道路用地</x:v>
      </x:c>
      <x:c r="J2761" s="22" t="str">
        <x:v>交通门户</x:v>
      </x:c>
      <x:c r="K2761" s="32" t="str">
        <x:v>202</x:v>
      </x:c>
      <x:c r="L2761" s="22" t="str">
        <x:v>建制镇范围</x:v>
      </x:c>
      <x:c r="M2761" s="33" t="n">
        <x:v>950979.1800000005</x:v>
      </x:c>
      <x:c r="N2761" s="33" t="n">
        <x:v>95.09791800000005</x:v>
      </x:c>
      <x:c r="O2761" s="22" t="str">
        <x:v>公顷</x:v>
      </x:c>
      <x:c r="P2761" s="22" t="str">
        <x:v>未提供（单期横截面）</x:v>
      </x:c>
      <x:c r="Q2761" s="23" t="n">
        <x:v>5740</x:v>
      </x:c>
    </x:row>
    <x:row r="2762">
      <x:c r="A2762" s="30" t="n">
        <x:v>350600</x:v>
      </x:c>
      <x:c r="B2762" s="22" t="str">
        <x:v>漳州市</x:v>
      </x:c>
      <x:c r="C2762" s="31" t="n">
        <x:v>350628</x:v>
      </x:c>
      <x:c r="D2762" s="22" t="str">
        <x:v>平和县</x:v>
      </x:c>
      <x:c r="E2762" s="22" t="str">
        <x:v>建设用地</x:v>
      </x:c>
      <x:c r="F2762" s="22" t="str">
        <x:v>交通运输用地</x:v>
      </x:c>
      <x:c r="G2762" s="32" t="str">
        <x:v>1005</x:v>
      </x:c>
      <x:c r="H2762" s="32" t="str">
        <x:v>1005</x:v>
      </x:c>
      <x:c r="I2762" s="22" t="str">
        <x:v>交通服务场站用地</x:v>
      </x:c>
      <x:c r="J2762" s="22" t="str">
        <x:v>交通门户</x:v>
      </x:c>
      <x:c r="K2762" s="32" t="str">
        <x:v>202</x:v>
      </x:c>
      <x:c r="L2762" s="22" t="str">
        <x:v>建制镇范围</x:v>
      </x:c>
      <x:c r="M2762" s="33" t="n">
        <x:v>47433.07000000001</x:v>
      </x:c>
      <x:c r="N2762" s="33" t="n">
        <x:v>4.743307000000001</x:v>
      </x:c>
      <x:c r="O2762" s="22" t="str">
        <x:v>公顷</x:v>
      </x:c>
      <x:c r="P2762" s="22" t="str">
        <x:v>未提供（单期横截面）</x:v>
      </x:c>
      <x:c r="Q2762" s="23" t="n">
        <x:v>5741</x:v>
      </x:c>
    </x:row>
    <x:row r="2763">
      <x:c r="A2763" s="30" t="n">
        <x:v>350600</x:v>
      </x:c>
      <x:c r="B2763" s="22" t="str">
        <x:v>漳州市</x:v>
      </x:c>
      <x:c r="C2763" s="31" t="n">
        <x:v>350628</x:v>
      </x:c>
      <x:c r="D2763" s="22" t="str">
        <x:v>平和县</x:v>
      </x:c>
      <x:c r="E2763" s="22" t="str">
        <x:v>建设用地</x:v>
      </x:c>
      <x:c r="F2763" s="22" t="str">
        <x:v>水域及水利设施</x:v>
      </x:c>
      <x:c r="G2763" s="32" t="str">
        <x:v>1109</x:v>
      </x:c>
      <x:c r="H2763" s="32" t="str">
        <x:v>1109</x:v>
      </x:c>
      <x:c r="I2763" s="22" t="str">
        <x:v>水工建筑用地</x:v>
      </x:c>
      <x:c r="J2763" s="22" t="str">
        <x:v>其他建设</x:v>
      </x:c>
      <x:c r="K2763" s="32" t="str">
        <x:v>202</x:v>
      </x:c>
      <x:c r="L2763" s="22" t="str">
        <x:v>建制镇范围</x:v>
      </x:c>
      <x:c r="M2763" s="33" t="n">
        <x:v>1697.18</x:v>
      </x:c>
      <x:c r="N2763" s="33" t="n">
        <x:v>0.169718</x:v>
      </x:c>
      <x:c r="O2763" s="22" t="str">
        <x:v>公顷</x:v>
      </x:c>
      <x:c r="P2763" s="22" t="str">
        <x:v>未提供（单期横截面）</x:v>
      </x:c>
      <x:c r="Q2763" s="23" t="n">
        <x:v>5742</x:v>
      </x:c>
    </x:row>
    <x:row r="2764">
      <x:c r="A2764" s="30" t="n">
        <x:v>350600</x:v>
      </x:c>
      <x:c r="B2764" s="22" t="str">
        <x:v>漳州市</x:v>
      </x:c>
      <x:c r="C2764" s="31" t="n">
        <x:v>350628</x:v>
      </x:c>
      <x:c r="D2764" s="22" t="str">
        <x:v>平和县</x:v>
      </x:c>
      <x:c r="E2764" s="22" t="str">
        <x:v>建设用地</x:v>
      </x:c>
      <x:c r="F2764" s="22" t="str">
        <x:v>其他建设用地</x:v>
      </x:c>
      <x:c r="G2764" s="32" t="str">
        <x:v>1201</x:v>
      </x:c>
      <x:c r="H2764" s="32" t="str">
        <x:v>1201</x:v>
      </x:c>
      <x:c r="I2764" s="22" t="str">
        <x:v>空闲地</x:v>
      </x:c>
      <x:c r="J2764" s="22" t="str">
        <x:v>其他建设</x:v>
      </x:c>
      <x:c r="K2764" s="32" t="str">
        <x:v>202</x:v>
      </x:c>
      <x:c r="L2764" s="22" t="str">
        <x:v>建制镇范围</x:v>
      </x:c>
      <x:c r="M2764" s="33" t="n">
        <x:v>2277.38</x:v>
      </x:c>
      <x:c r="N2764" s="33" t="n">
        <x:v>0.22773800000000002</x:v>
      </x:c>
      <x:c r="O2764" s="22" t="str">
        <x:v>公顷</x:v>
      </x:c>
      <x:c r="P2764" s="22" t="str">
        <x:v>未提供（单期横截面）</x:v>
      </x:c>
      <x:c r="Q2764" s="23" t="n">
        <x:v>5743</x:v>
      </x:c>
    </x:row>
    <x:row r="2765">
      <x:c r="A2765" s="30" t="n">
        <x:v>350600</x:v>
      </x:c>
      <x:c r="B2765" s="22" t="str">
        <x:v>漳州市</x:v>
      </x:c>
      <x:c r="C2765" s="31" t="n">
        <x:v>350628</x:v>
      </x:c>
      <x:c r="D2765" s="22" t="str">
        <x:v>平和县</x:v>
      </x:c>
      <x:c r="E2765" s="22" t="str">
        <x:v>建设用地</x:v>
      </x:c>
      <x:c r="F2765" s="22" t="str">
        <x:v>工矿仓储用地</x:v>
      </x:c>
      <x:c r="G2765" s="32" t="str">
        <x:v>601</x:v>
      </x:c>
      <x:c r="H2765" s="32" t="str">
        <x:v>601</x:v>
      </x:c>
      <x:c r="I2765" s="22" t="str">
        <x:v>工业用地</x:v>
      </x:c>
      <x:c r="J2765" s="22" t="str">
        <x:v>产业功能</x:v>
      </x:c>
      <x:c r="K2765" s="32" t="str">
        <x:v>202A</x:v>
      </x:c>
      <x:c r="L2765" s="22" t="str">
        <x:v>建制镇独立工业用地</x:v>
      </x:c>
      <x:c r="M2765" s="33" t="n">
        <x:v>7768.049999999999</x:v>
      </x:c>
      <x:c r="N2765" s="33" t="n">
        <x:v>0.776805</x:v>
      </x:c>
      <x:c r="O2765" s="22" t="str">
        <x:v>公顷</x:v>
      </x:c>
      <x:c r="P2765" s="22" t="str">
        <x:v>未提供（单期横截面）</x:v>
      </x:c>
      <x:c r="Q2765" s="23" t="n">
        <x:v>5744</x:v>
      </x:c>
    </x:row>
    <x:row r="2766">
      <x:c r="A2766" s="30" t="n">
        <x:v>350600</x:v>
      </x:c>
      <x:c r="B2766" s="22" t="str">
        <x:v>漳州市</x:v>
      </x:c>
      <x:c r="C2766" s="31" t="n">
        <x:v>350628</x:v>
      </x:c>
      <x:c r="D2766" s="22" t="str">
        <x:v>平和县</x:v>
      </x:c>
      <x:c r="E2766" s="22" t="str">
        <x:v>建设用地</x:v>
      </x:c>
      <x:c r="F2766" s="22" t="str">
        <x:v>工矿仓储用地</x:v>
      </x:c>
      <x:c r="G2766" s="32" t="str">
        <x:v>508</x:v>
      </x:c>
      <x:c r="H2766" s="32" t="str">
        <x:v>508</x:v>
      </x:c>
      <x:c r="I2766" s="22" t="str">
        <x:v>物流仓储用地</x:v>
      </x:c>
      <x:c r="J2766" s="22" t="str">
        <x:v>产业功能</x:v>
      </x:c>
      <x:c r="K2766" s="32" t="str">
        <x:v>203</x:v>
      </x:c>
      <x:c r="L2766" s="22" t="str">
        <x:v>村庄范围</x:v>
      </x:c>
      <x:c r="M2766" s="33" t="n">
        <x:v>731827.83</x:v>
      </x:c>
      <x:c r="N2766" s="33" t="n">
        <x:v>73.182783</x:v>
      </x:c>
      <x:c r="O2766" s="22" t="str">
        <x:v>公顷</x:v>
      </x:c>
      <x:c r="P2766" s="22" t="str">
        <x:v>未提供（单期横截面）</x:v>
      </x:c>
      <x:c r="Q2766" s="23" t="n">
        <x:v>5745</x:v>
      </x:c>
    </x:row>
    <x:row r="2767">
      <x:c r="A2767" s="30" t="n">
        <x:v>350600</x:v>
      </x:c>
      <x:c r="B2767" s="22" t="str">
        <x:v>漳州市</x:v>
      </x:c>
      <x:c r="C2767" s="31" t="n">
        <x:v>350628</x:v>
      </x:c>
      <x:c r="D2767" s="22" t="str">
        <x:v>平和县</x:v>
      </x:c>
      <x:c r="E2767" s="22" t="str">
        <x:v>建设用地</x:v>
      </x:c>
      <x:c r="F2767" s="22" t="str">
        <x:v>商业服务业用地</x:v>
      </x:c>
      <x:c r="G2767" s="32" t="str">
        <x:v>05H1</x:v>
      </x:c>
      <x:c r="H2767" s="32" t="str">
        <x:v>05H1</x:v>
      </x:c>
      <x:c r="I2767" s="22" t="str">
        <x:v>商业服务业设施用地</x:v>
      </x:c>
      <x:c r="J2767" s="22" t="str">
        <x:v>商业服务</x:v>
      </x:c>
      <x:c r="K2767" s="32" t="str">
        <x:v>203</x:v>
      </x:c>
      <x:c r="L2767" s="22" t="str">
        <x:v>村庄范围</x:v>
      </x:c>
      <x:c r="M2767" s="33" t="n">
        <x:v>2876077.4999999967</x:v>
      </x:c>
      <x:c r="N2767" s="33" t="n">
        <x:v>287.60774999999967</x:v>
      </x:c>
      <x:c r="O2767" s="22" t="str">
        <x:v>公顷</x:v>
      </x:c>
      <x:c r="P2767" s="22" t="str">
        <x:v>未提供（单期横截面）</x:v>
      </x:c>
      <x:c r="Q2767" s="23" t="n">
        <x:v>5746</x:v>
      </x:c>
    </x:row>
    <x:row r="2768">
      <x:c r="A2768" s="30" t="n">
        <x:v>350600</x:v>
      </x:c>
      <x:c r="B2768" s="22" t="str">
        <x:v>漳州市</x:v>
      </x:c>
      <x:c r="C2768" s="31" t="n">
        <x:v>350628</x:v>
      </x:c>
      <x:c r="D2768" s="22" t="str">
        <x:v>平和县</x:v>
      </x:c>
      <x:c r="E2768" s="22" t="str">
        <x:v>建设用地</x:v>
      </x:c>
      <x:c r="F2768" s="22" t="str">
        <x:v>工矿仓储用地</x:v>
      </x:c>
      <x:c r="G2768" s="32" t="str">
        <x:v>601</x:v>
      </x:c>
      <x:c r="H2768" s="32" t="str">
        <x:v>601</x:v>
      </x:c>
      <x:c r="I2768" s="22" t="str">
        <x:v>工业用地</x:v>
      </x:c>
      <x:c r="J2768" s="22" t="str">
        <x:v>产业功能</x:v>
      </x:c>
      <x:c r="K2768" s="32" t="str">
        <x:v>203</x:v>
      </x:c>
      <x:c r="L2768" s="22" t="str">
        <x:v>村庄范围</x:v>
      </x:c>
      <x:c r="M2768" s="33" t="n">
        <x:v>4388293.91</x:v>
      </x:c>
      <x:c r="N2768" s="33" t="n">
        <x:v>438.829391</x:v>
      </x:c>
      <x:c r="O2768" s="22" t="str">
        <x:v>公顷</x:v>
      </x:c>
      <x:c r="P2768" s="22" t="str">
        <x:v>未提供（单期横截面）</x:v>
      </x:c>
      <x:c r="Q2768" s="23" t="n">
        <x:v>5747</x:v>
      </x:c>
    </x:row>
    <x:row r="2769">
      <x:c r="A2769" s="30" t="n">
        <x:v>350600</x:v>
      </x:c>
      <x:c r="B2769" s="22" t="str">
        <x:v>漳州市</x:v>
      </x:c>
      <x:c r="C2769" s="31" t="n">
        <x:v>350628</x:v>
      </x:c>
      <x:c r="D2769" s="22" t="str">
        <x:v>平和县</x:v>
      </x:c>
      <x:c r="E2769" s="22" t="str">
        <x:v>建设用地</x:v>
      </x:c>
      <x:c r="F2769" s="22" t="str">
        <x:v>工矿仓储用地</x:v>
      </x:c>
      <x:c r="G2769" s="32" t="str">
        <x:v>602</x:v>
      </x:c>
      <x:c r="H2769" s="32" t="str">
        <x:v>602</x:v>
      </x:c>
      <x:c r="I2769" s="22" t="str">
        <x:v>采矿用地</x:v>
      </x:c>
      <x:c r="J2769" s="22" t="str">
        <x:v>产业功能</x:v>
      </x:c>
      <x:c r="K2769" s="32" t="str">
        <x:v>203</x:v>
      </x:c>
      <x:c r="L2769" s="22" t="str">
        <x:v>村庄范围</x:v>
      </x:c>
      <x:c r="M2769" s="33" t="n">
        <x:v>333560.43</x:v>
      </x:c>
      <x:c r="N2769" s="33" t="n">
        <x:v>33.356043</x:v>
      </x:c>
      <x:c r="O2769" s="22" t="str">
        <x:v>公顷</x:v>
      </x:c>
      <x:c r="P2769" s="22" t="str">
        <x:v>未提供（单期横截面）</x:v>
      </x:c>
      <x:c r="Q2769" s="23" t="n">
        <x:v>5748</x:v>
      </x:c>
    </x:row>
    <x:row r="2770">
      <x:c r="A2770" s="30" t="n">
        <x:v>350600</x:v>
      </x:c>
      <x:c r="B2770" s="22" t="str">
        <x:v>漳州市</x:v>
      </x:c>
      <x:c r="C2770" s="31" t="n">
        <x:v>350628</x:v>
      </x:c>
      <x:c r="D2770" s="22" t="str">
        <x:v>平和县</x:v>
      </x:c>
      <x:c r="E2770" s="22" t="str">
        <x:v>建设用地</x:v>
      </x:c>
      <x:c r="F2770" s="22" t="str">
        <x:v>居住用地</x:v>
      </x:c>
      <x:c r="G2770" s="32" t="str">
        <x:v>701</x:v>
      </x:c>
      <x:c r="H2770" s="32" t="str">
        <x:v>701</x:v>
      </x:c>
      <x:c r="I2770" s="22" t="str">
        <x:v>城镇住宅用地</x:v>
      </x:c>
      <x:c r="J2770" s="22" t="str">
        <x:v>居住功能</x:v>
      </x:c>
      <x:c r="K2770" s="32" t="str">
        <x:v>203</x:v>
      </x:c>
      <x:c r="L2770" s="22" t="str">
        <x:v>村庄范围</x:v>
      </x:c>
      <x:c r="M2770" s="33" t="n">
        <x:v>3227.29</x:v>
      </x:c>
      <x:c r="N2770" s="33" t="n">
        <x:v>0.322729</x:v>
      </x:c>
      <x:c r="O2770" s="22" t="str">
        <x:v>公顷</x:v>
      </x:c>
      <x:c r="P2770" s="22" t="str">
        <x:v>未提供（单期横截面）</x:v>
      </x:c>
      <x:c r="Q2770" s="23" t="n">
        <x:v>5749</x:v>
      </x:c>
    </x:row>
    <x:row r="2771">
      <x:c r="A2771" s="30" t="n">
        <x:v>350600</x:v>
      </x:c>
      <x:c r="B2771" s="22" t="str">
        <x:v>漳州市</x:v>
      </x:c>
      <x:c r="C2771" s="31" t="n">
        <x:v>350628</x:v>
      </x:c>
      <x:c r="D2771" s="22" t="str">
        <x:v>平和县</x:v>
      </x:c>
      <x:c r="E2771" s="22" t="str">
        <x:v>建设用地</x:v>
      </x:c>
      <x:c r="F2771" s="22" t="str">
        <x:v>居住用地</x:v>
      </x:c>
      <x:c r="G2771" s="32" t="str">
        <x:v>702</x:v>
      </x:c>
      <x:c r="H2771" s="32" t="str">
        <x:v>702</x:v>
      </x:c>
      <x:c r="I2771" s="22" t="str">
        <x:v>农村宅基地</x:v>
      </x:c>
      <x:c r="J2771" s="22" t="str">
        <x:v>居住功能</x:v>
      </x:c>
      <x:c r="K2771" s="32" t="str">
        <x:v>203</x:v>
      </x:c>
      <x:c r="L2771" s="22" t="str">
        <x:v>村庄范围</x:v>
      </x:c>
      <x:c r="M2771" s="33" t="n">
        <x:v>43302199.430000044</x:v>
      </x:c>
      <x:c r="N2771" s="33" t="n">
        <x:v>4330.219943000005</x:v>
      </x:c>
      <x:c r="O2771" s="22" t="str">
        <x:v>公顷</x:v>
      </x:c>
      <x:c r="P2771" s="22" t="str">
        <x:v>未提供（单期横截面）</x:v>
      </x:c>
      <x:c r="Q2771" s="23" t="n">
        <x:v>5750</x:v>
      </x:c>
    </x:row>
    <x:row r="2772">
      <x:c r="A2772" s="30" t="n">
        <x:v>350600</x:v>
      </x:c>
      <x:c r="B2772" s="22" t="str">
        <x:v>漳州市</x:v>
      </x:c>
      <x:c r="C2772" s="31" t="n">
        <x:v>350628</x:v>
      </x:c>
      <x:c r="D2772" s="22" t="str">
        <x:v>平和县</x:v>
      </x:c>
      <x:c r="E2772" s="22" t="str">
        <x:v>建设用地</x:v>
      </x:c>
      <x:c r="F2772" s="22" t="str">
        <x:v>公用设施用地</x:v>
      </x:c>
      <x:c r="G2772" s="32" t="str">
        <x:v>809</x:v>
      </x:c>
      <x:c r="H2772" s="32" t="str">
        <x:v>809</x:v>
      </x:c>
      <x:c r="I2772" s="22" t="str">
        <x:v>公用设施用地</x:v>
      </x:c>
      <x:c r="J2772" s="22" t="str">
        <x:v>其他建设</x:v>
      </x:c>
      <x:c r="K2772" s="32" t="str">
        <x:v>203</x:v>
      </x:c>
      <x:c r="L2772" s="22" t="str">
        <x:v>村庄范围</x:v>
      </x:c>
      <x:c r="M2772" s="33" t="n">
        <x:v>384662.45999999996</x:v>
      </x:c>
      <x:c r="N2772" s="33" t="n">
        <x:v>38.466246</x:v>
      </x:c>
      <x:c r="O2772" s="22" t="str">
        <x:v>公顷</x:v>
      </x:c>
      <x:c r="P2772" s="22" t="str">
        <x:v>未提供（单期横截面）</x:v>
      </x:c>
      <x:c r="Q2772" s="23" t="n">
        <x:v>5751</x:v>
      </x:c>
    </x:row>
    <x:row r="2773">
      <x:c r="A2773" s="30" t="n">
        <x:v>350600</x:v>
      </x:c>
      <x:c r="B2773" s="22" t="str">
        <x:v>漳州市</x:v>
      </x:c>
      <x:c r="C2773" s="31" t="n">
        <x:v>350628</x:v>
      </x:c>
      <x:c r="D2773" s="22" t="str">
        <x:v>平和县</x:v>
      </x:c>
      <x:c r="E2773" s="22" t="str">
        <x:v>建设用地</x:v>
      </x:c>
      <x:c r="F2773" s="22" t="str">
        <x:v>绿地与广场用地</x:v>
      </x:c>
      <x:c r="G2773" s="32" t="str">
        <x:v>810</x:v>
      </x:c>
      <x:c r="H2773" s="32" t="str">
        <x:v>810</x:v>
      </x:c>
      <x:c r="I2773" s="22" t="str">
        <x:v>公园与绿地</x:v>
      </x:c>
      <x:c r="J2773" s="22" t="str">
        <x:v>公共空间</x:v>
      </x:c>
      <x:c r="K2773" s="32" t="str">
        <x:v>203</x:v>
      </x:c>
      <x:c r="L2773" s="22" t="str">
        <x:v>村庄范围</x:v>
      </x:c>
      <x:c r="M2773" s="33" t="n">
        <x:v>247755.95000000004</x:v>
      </x:c>
      <x:c r="N2773" s="33" t="n">
        <x:v>24.775595000000003</x:v>
      </x:c>
      <x:c r="O2773" s="22" t="str">
        <x:v>公顷</x:v>
      </x:c>
      <x:c r="P2773" s="22" t="str">
        <x:v>未提供（单期横截面）</x:v>
      </x:c>
      <x:c r="Q2773" s="23" t="n">
        <x:v>5752</x:v>
      </x:c>
    </x:row>
    <x:row r="2774">
      <x:c r="A2774" s="30" t="n">
        <x:v>350600</x:v>
      </x:c>
      <x:c r="B2774" s="22" t="str">
        <x:v>漳州市</x:v>
      </x:c>
      <x:c r="C2774" s="31" t="n">
        <x:v>350628</x:v>
      </x:c>
      <x:c r="D2774" s="22" t="str">
        <x:v>平和县</x:v>
      </x:c>
      <x:c r="E2774" s="22" t="str">
        <x:v>建设用地</x:v>
      </x:c>
      <x:c r="F2774" s="22" t="str">
        <x:v>绿地与广场用地</x:v>
      </x:c>
      <x:c r="G2774" s="32" t="str">
        <x:v>0810A</x:v>
      </x:c>
      <x:c r="H2774" s="32" t="str">
        <x:v>0810</x:v>
      </x:c>
      <x:c r="I2774" s="22" t="str">
        <x:v>广场用地</x:v>
      </x:c>
      <x:c r="J2774" s="22" t="str">
        <x:v>公共空间</x:v>
      </x:c>
      <x:c r="K2774" s="32" t="str">
        <x:v>203</x:v>
      </x:c>
      <x:c r="L2774" s="22" t="str">
        <x:v>村庄范围</x:v>
      </x:c>
      <x:c r="M2774" s="33" t="n">
        <x:v>38825.11000000001</x:v>
      </x:c>
      <x:c r="N2774" s="33" t="n">
        <x:v>3.882511000000001</x:v>
      </x:c>
      <x:c r="O2774" s="22" t="str">
        <x:v>公顷</x:v>
      </x:c>
      <x:c r="P2774" s="22" t="str">
        <x:v>未提供（单期横截面）</x:v>
      </x:c>
      <x:c r="Q2774" s="23" t="n">
        <x:v>5753</x:v>
      </x:c>
    </x:row>
    <x:row r="2775">
      <x:c r="A2775" s="30" t="n">
        <x:v>350600</x:v>
      </x:c>
      <x:c r="B2775" s="22" t="str">
        <x:v>漳州市</x:v>
      </x:c>
      <x:c r="C2775" s="31" t="n">
        <x:v>350628</x:v>
      </x:c>
      <x:c r="D2775" s="22" t="str">
        <x:v>平和县</x:v>
      </x:c>
      <x:c r="E2775" s="22" t="str">
        <x:v>建设用地</x:v>
      </x:c>
      <x:c r="F2775" s="22" t="str">
        <x:v>公共管理与公共服务用地</x:v>
      </x:c>
      <x:c r="G2775" s="32" t="str">
        <x:v>08H1</x:v>
      </x:c>
      <x:c r="H2775" s="32" t="str">
        <x:v>08H1</x:v>
      </x:c>
      <x:c r="I2775" s="22" t="str">
        <x:v>机关团体新闻出版用地</x:v>
      </x:c>
      <x:c r="J2775" s="22" t="str">
        <x:v>公共服务</x:v>
      </x:c>
      <x:c r="K2775" s="32" t="str">
        <x:v>203</x:v>
      </x:c>
      <x:c r="L2775" s="22" t="str">
        <x:v>村庄范围</x:v>
      </x:c>
      <x:c r="M2775" s="33" t="n">
        <x:v>334720.4900000001</x:v>
      </x:c>
      <x:c r="N2775" s="33" t="n">
        <x:v>33.47204900000001</x:v>
      </x:c>
      <x:c r="O2775" s="22" t="str">
        <x:v>公顷</x:v>
      </x:c>
      <x:c r="P2775" s="22" t="str">
        <x:v>未提供（单期横截面）</x:v>
      </x:c>
      <x:c r="Q2775" s="23" t="n">
        <x:v>5754</x:v>
      </x:c>
    </x:row>
    <x:row r="2776">
      <x:c r="A2776" s="30" t="n">
        <x:v>350600</x:v>
      </x:c>
      <x:c r="B2776" s="22" t="str">
        <x:v>漳州市</x:v>
      </x:c>
      <x:c r="C2776" s="31" t="n">
        <x:v>350628</x:v>
      </x:c>
      <x:c r="D2776" s="22" t="str">
        <x:v>平和县</x:v>
      </x:c>
      <x:c r="E2776" s="22" t="str">
        <x:v>建设用地</x:v>
      </x:c>
      <x:c r="F2776" s="22" t="str">
        <x:v>公共管理与公共服务用地</x:v>
      </x:c>
      <x:c r="G2776" s="32" t="str">
        <x:v>08H2</x:v>
      </x:c>
      <x:c r="H2776" s="32" t="str">
        <x:v>08H2</x:v>
      </x:c>
      <x:c r="I2776" s="22" t="str">
        <x:v>科教文卫用地</x:v>
      </x:c>
      <x:c r="J2776" s="22" t="str">
        <x:v>公共服务</x:v>
      </x:c>
      <x:c r="K2776" s="32" t="str">
        <x:v>203</x:v>
      </x:c>
      <x:c r="L2776" s="22" t="str">
        <x:v>村庄范围</x:v>
      </x:c>
      <x:c r="M2776" s="33" t="n">
        <x:v>1324462.1800000002</x:v>
      </x:c>
      <x:c r="N2776" s="33" t="n">
        <x:v>132.44621800000002</x:v>
      </x:c>
      <x:c r="O2776" s="22" t="str">
        <x:v>公顷</x:v>
      </x:c>
      <x:c r="P2776" s="22" t="str">
        <x:v>未提供（单期横截面）</x:v>
      </x:c>
      <x:c r="Q2776" s="23" t="n">
        <x:v>5755</x:v>
      </x:c>
    </x:row>
    <x:row r="2777">
      <x:c r="A2777" s="30" t="n">
        <x:v>350600</x:v>
      </x:c>
      <x:c r="B2777" s="22" t="str">
        <x:v>漳州市</x:v>
      </x:c>
      <x:c r="C2777" s="31" t="n">
        <x:v>350628</x:v>
      </x:c>
      <x:c r="D2777" s="22" t="str">
        <x:v>平和县</x:v>
      </x:c>
      <x:c r="E2777" s="22" t="str">
        <x:v>建设用地</x:v>
      </x:c>
      <x:c r="F2777" s="22" t="str">
        <x:v>特殊用地</x:v>
      </x:c>
      <x:c r="G2777" s="32" t="str">
        <x:v>9</x:v>
      </x:c>
      <x:c r="H2777" s="32" t="str">
        <x:v>9</x:v>
      </x:c>
      <x:c r="I2777" s="22" t="str">
        <x:v>特殊用地</x:v>
      </x:c>
      <x:c r="J2777" s="22" t="str">
        <x:v>其他建设</x:v>
      </x:c>
      <x:c r="K2777" s="32" t="str">
        <x:v>203</x:v>
      </x:c>
      <x:c r="L2777" s="22" t="str">
        <x:v>村庄范围</x:v>
      </x:c>
      <x:c r="M2777" s="33" t="n">
        <x:v>502752.9999999995</x:v>
      </x:c>
      <x:c r="N2777" s="33" t="n">
        <x:v>50.275299999999945</x:v>
      </x:c>
      <x:c r="O2777" s="22" t="str">
        <x:v>公顷</x:v>
      </x:c>
      <x:c r="P2777" s="22" t="str">
        <x:v>未提供（单期横截面）</x:v>
      </x:c>
      <x:c r="Q2777" s="23" t="n">
        <x:v>5756</x:v>
      </x:c>
    </x:row>
    <x:row r="2778">
      <x:c r="A2778" s="30" t="n">
        <x:v>350600</x:v>
      </x:c>
      <x:c r="B2778" s="22" t="str">
        <x:v>漳州市</x:v>
      </x:c>
      <x:c r="C2778" s="31" t="n">
        <x:v>350628</x:v>
      </x:c>
      <x:c r="D2778" s="22" t="str">
        <x:v>平和县</x:v>
      </x:c>
      <x:c r="E2778" s="22" t="str">
        <x:v>建设用地</x:v>
      </x:c>
      <x:c r="F2778" s="22" t="str">
        <x:v>交通运输用地</x:v>
      </x:c>
      <x:c r="G2778" s="32" t="str">
        <x:v>1004</x:v>
      </x:c>
      <x:c r="H2778" s="32" t="str">
        <x:v>1004</x:v>
      </x:c>
      <x:c r="I2778" s="22" t="str">
        <x:v>城镇村道路用地</x:v>
      </x:c>
      <x:c r="J2778" s="22" t="str">
        <x:v>交通门户</x:v>
      </x:c>
      <x:c r="K2778" s="32" t="str">
        <x:v>203</x:v>
      </x:c>
      <x:c r="L2778" s="22" t="str">
        <x:v>村庄范围</x:v>
      </x:c>
      <x:c r="M2778" s="33" t="n">
        <x:v>925511.5699999995</x:v>
      </x:c>
      <x:c r="N2778" s="33" t="n">
        <x:v>92.55115699999995</x:v>
      </x:c>
      <x:c r="O2778" s="22" t="str">
        <x:v>公顷</x:v>
      </x:c>
      <x:c r="P2778" s="22" t="str">
        <x:v>未提供（单期横截面）</x:v>
      </x:c>
      <x:c r="Q2778" s="23" t="n">
        <x:v>5757</x:v>
      </x:c>
    </x:row>
    <x:row r="2779">
      <x:c r="A2779" s="30" t="n">
        <x:v>350600</x:v>
      </x:c>
      <x:c r="B2779" s="22" t="str">
        <x:v>漳州市</x:v>
      </x:c>
      <x:c r="C2779" s="31" t="n">
        <x:v>350628</x:v>
      </x:c>
      <x:c r="D2779" s="22" t="str">
        <x:v>平和县</x:v>
      </x:c>
      <x:c r="E2779" s="22" t="str">
        <x:v>建设用地</x:v>
      </x:c>
      <x:c r="F2779" s="22" t="str">
        <x:v>交通运输用地</x:v>
      </x:c>
      <x:c r="G2779" s="32" t="str">
        <x:v>1005</x:v>
      </x:c>
      <x:c r="H2779" s="32" t="str">
        <x:v>1005</x:v>
      </x:c>
      <x:c r="I2779" s="22" t="str">
        <x:v>交通服务场站用地</x:v>
      </x:c>
      <x:c r="J2779" s="22" t="str">
        <x:v>交通门户</x:v>
      </x:c>
      <x:c r="K2779" s="32" t="str">
        <x:v>203</x:v>
      </x:c>
      <x:c r="L2779" s="22" t="str">
        <x:v>村庄范围</x:v>
      </x:c>
      <x:c r="M2779" s="33" t="n">
        <x:v>234000.05000000005</x:v>
      </x:c>
      <x:c r="N2779" s="33" t="n">
        <x:v>23.400005000000004</x:v>
      </x:c>
      <x:c r="O2779" s="22" t="str">
        <x:v>公顷</x:v>
      </x:c>
      <x:c r="P2779" s="22" t="str">
        <x:v>未提供（单期横截面）</x:v>
      </x:c>
      <x:c r="Q2779" s="23" t="n">
        <x:v>5758</x:v>
      </x:c>
    </x:row>
    <x:row r="2780">
      <x:c r="A2780" s="30" t="n">
        <x:v>350600</x:v>
      </x:c>
      <x:c r="B2780" s="22" t="str">
        <x:v>漳州市</x:v>
      </x:c>
      <x:c r="C2780" s="31" t="n">
        <x:v>350628</x:v>
      </x:c>
      <x:c r="D2780" s="22" t="str">
        <x:v>平和县</x:v>
      </x:c>
      <x:c r="E2780" s="22" t="str">
        <x:v>建设用地</x:v>
      </x:c>
      <x:c r="F2780" s="22" t="str">
        <x:v>其他建设用地</x:v>
      </x:c>
      <x:c r="G2780" s="32" t="str">
        <x:v>1201</x:v>
      </x:c>
      <x:c r="H2780" s="32" t="str">
        <x:v>1201</x:v>
      </x:c>
      <x:c r="I2780" s="22" t="str">
        <x:v>空闲地</x:v>
      </x:c>
      <x:c r="J2780" s="22" t="str">
        <x:v>其他建设</x:v>
      </x:c>
      <x:c r="K2780" s="32" t="str">
        <x:v>203</x:v>
      </x:c>
      <x:c r="L2780" s="22" t="str">
        <x:v>村庄范围</x:v>
      </x:c>
      <x:c r="M2780" s="33" t="n">
        <x:v>12707.839999999998</x:v>
      </x:c>
      <x:c r="N2780" s="33" t="n">
        <x:v>1.270784</x:v>
      </x:c>
      <x:c r="O2780" s="22" t="str">
        <x:v>公顷</x:v>
      </x:c>
      <x:c r="P2780" s="22" t="str">
        <x:v>未提供（单期横截面）</x:v>
      </x:c>
      <x:c r="Q2780" s="23" t="n">
        <x:v>5759</x:v>
      </x:c>
    </x:row>
    <x:row r="2781">
      <x:c r="A2781" s="30" t="n">
        <x:v>350600</x:v>
      </x:c>
      <x:c r="B2781" s="22" t="str">
        <x:v>漳州市</x:v>
      </x:c>
      <x:c r="C2781" s="31" t="n">
        <x:v>350628</x:v>
      </x:c>
      <x:c r="D2781" s="22" t="str">
        <x:v>平和县</x:v>
      </x:c>
      <x:c r="E2781" s="22" t="str">
        <x:v>建设用地</x:v>
      </x:c>
      <x:c r="F2781" s="22" t="str">
        <x:v>工矿仓储用地</x:v>
      </x:c>
      <x:c r="G2781" s="32" t="str">
        <x:v>601</x:v>
      </x:c>
      <x:c r="H2781" s="32" t="str">
        <x:v>601</x:v>
      </x:c>
      <x:c r="I2781" s="22" t="str">
        <x:v>工业用地</x:v>
      </x:c>
      <x:c r="J2781" s="22" t="str">
        <x:v>产业功能</x:v>
      </x:c>
      <x:c r="K2781" s="32" t="str">
        <x:v>203A</x:v>
      </x:c>
      <x:c r="L2781" s="22" t="str">
        <x:v>村庄独立工业用地</x:v>
      </x:c>
      <x:c r="M2781" s="33" t="n">
        <x:v>1137076.0999999999</x:v>
      </x:c>
      <x:c r="N2781" s="33" t="n">
        <x:v>113.70760999999999</x:v>
      </x:c>
      <x:c r="O2781" s="22" t="str">
        <x:v>公顷</x:v>
      </x:c>
      <x:c r="P2781" s="22" t="str">
        <x:v>未提供（单期横截面）</x:v>
      </x:c>
      <x:c r="Q2781" s="23" t="n">
        <x:v>5760</x:v>
      </x:c>
    </x:row>
    <x:row r="2782">
      <x:c r="A2782" s="30" t="n">
        <x:v>350600</x:v>
      </x:c>
      <x:c r="B2782" s="22" t="str">
        <x:v>漳州市</x:v>
      </x:c>
      <x:c r="C2782" s="31" t="n">
        <x:v>350628</x:v>
      </x:c>
      <x:c r="D2782" s="22" t="str">
        <x:v>平和县</x:v>
      </x:c>
      <x:c r="E2782" s="22" t="str">
        <x:v>建设用地</x:v>
      </x:c>
      <x:c r="F2782" s="22" t="str">
        <x:v>工矿仓储用地</x:v>
      </x:c>
      <x:c r="G2782" s="32" t="str">
        <x:v>602</x:v>
      </x:c>
      <x:c r="H2782" s="32" t="str">
        <x:v>602</x:v>
      </x:c>
      <x:c r="I2782" s="22" t="str">
        <x:v>采矿用地</x:v>
      </x:c>
      <x:c r="J2782" s="22" t="str">
        <x:v>产业功能</x:v>
      </x:c>
      <x:c r="K2782" s="32" t="str">
        <x:v>204</x:v>
      </x:c>
      <x:c r="L2782" s="22" t="str">
        <x:v>盐田及采矿用地</x:v>
      </x:c>
      <x:c r="M2782" s="33" t="n">
        <x:v>1848454.3200000003</x:v>
      </x:c>
      <x:c r="N2782" s="33" t="n">
        <x:v>184.84543200000002</x:v>
      </x:c>
      <x:c r="O2782" s="22" t="str">
        <x:v>公顷</x:v>
      </x:c>
      <x:c r="P2782" s="22" t="str">
        <x:v>未提供（单期横截面）</x:v>
      </x:c>
      <x:c r="Q2782" s="23" t="n">
        <x:v>5761</x:v>
      </x:c>
    </x:row>
    <x:row r="2783">
      <x:c r="A2783" s="30" t="n">
        <x:v>350600</x:v>
      </x:c>
      <x:c r="B2783" s="22" t="str">
        <x:v>漳州市</x:v>
      </x:c>
      <x:c r="C2783" s="31" t="n">
        <x:v>350628</x:v>
      </x:c>
      <x:c r="D2783" s="22" t="str">
        <x:v>平和县</x:v>
      </x:c>
      <x:c r="E2783" s="22" t="str">
        <x:v>建设用地</x:v>
      </x:c>
      <x:c r="F2783" s="22" t="str">
        <x:v>特殊用地</x:v>
      </x:c>
      <x:c r="G2783" s="32" t="str">
        <x:v>9</x:v>
      </x:c>
      <x:c r="H2783" s="32" t="str">
        <x:v>9</x:v>
      </x:c>
      <x:c r="I2783" s="22" t="str">
        <x:v>特殊用地</x:v>
      </x:c>
      <x:c r="J2783" s="22" t="str">
        <x:v>其他建设</x:v>
      </x:c>
      <x:c r="K2783" s="32" t="str">
        <x:v>205</x:v>
      </x:c>
      <x:c r="L2783" s="22" t="str">
        <x:v>特殊用地</x:v>
      </x:c>
      <x:c r="M2783" s="33" t="n">
        <x:v>550422.8099999994</x:v>
      </x:c>
      <x:c r="N2783" s="33" t="n">
        <x:v>55.04228099999994</x:v>
      </x:c>
      <x:c r="O2783" s="22" t="str">
        <x:v>公顷</x:v>
      </x:c>
      <x:c r="P2783" s="22" t="str">
        <x:v>未提供（单期横截面）</x:v>
      </x:c>
      <x:c r="Q2783" s="23" t="n">
        <x:v>5762</x:v>
      </x:c>
    </x:row>
    <x:row r="2784">
      <x:c r="A2784" s="30" t="n">
        <x:v>350600</x:v>
      </x:c>
      <x:c r="B2784" s="22" t="str">
        <x:v>漳州市</x:v>
      </x:c>
      <x:c r="C2784" s="31" t="n">
        <x:v>350628</x:v>
      </x:c>
      <x:c r="D2784" s="22" t="str">
        <x:v>平和县</x:v>
      </x:c>
      <x:c r="E2784" s="22" t="str">
        <x:v>农用地</x:v>
      </x:c>
      <x:c r="F2784" s="22" t="str">
        <x:v>耕地</x:v>
      </x:c>
      <x:c r="G2784" s="32" t="str">
        <x:v>101</x:v>
      </x:c>
      <x:c r="H2784" s="32" t="str">
        <x:v>101</x:v>
      </x:c>
      <x:c r="I2784" s="22" t="str">
        <x:v>水田</x:v>
      </x:c>
      <x:c r="J2784" s="22" t="str">
        <x:v>农业生态</x:v>
      </x:c>
      <x:c r="K2784" s="32" t="str"/>
      <x:c r="L2784" s="22" t="str">
        <x:v>不适用/未标注</x:v>
      </x:c>
      <x:c r="M2784" s="33" t="n">
        <x:v>40995717.4400001</x:v>
      </x:c>
      <x:c r="N2784" s="33" t="n">
        <x:v>4099.57174400001</x:v>
      </x:c>
      <x:c r="O2784" s="22" t="str">
        <x:v>公顷</x:v>
      </x:c>
      <x:c r="P2784" s="22" t="str">
        <x:v>未提供（单期横截面）</x:v>
      </x:c>
      <x:c r="Q2784" s="23" t="n">
        <x:v>5763</x:v>
      </x:c>
    </x:row>
    <x:row r="2785">
      <x:c r="A2785" s="30" t="n">
        <x:v>350600</x:v>
      </x:c>
      <x:c r="B2785" s="22" t="str">
        <x:v>漳州市</x:v>
      </x:c>
      <x:c r="C2785" s="31" t="n">
        <x:v>350628</x:v>
      </x:c>
      <x:c r="D2785" s="22" t="str">
        <x:v>平和县</x:v>
      </x:c>
      <x:c r="E2785" s="22" t="str">
        <x:v>农用地</x:v>
      </x:c>
      <x:c r="F2785" s="22" t="str">
        <x:v>耕地</x:v>
      </x:c>
      <x:c r="G2785" s="32" t="str">
        <x:v>102</x:v>
      </x:c>
      <x:c r="H2785" s="32" t="str">
        <x:v>102</x:v>
      </x:c>
      <x:c r="I2785" s="22" t="str">
        <x:v>水浇地</x:v>
      </x:c>
      <x:c r="J2785" s="22" t="str">
        <x:v>农业生态</x:v>
      </x:c>
      <x:c r="K2785" s="32" t="str"/>
      <x:c r="L2785" s="22" t="str">
        <x:v>不适用/未标注</x:v>
      </x:c>
      <x:c r="M2785" s="33" t="n">
        <x:v>433661.7600000003</x:v>
      </x:c>
      <x:c r="N2785" s="33" t="n">
        <x:v>43.36617600000003</x:v>
      </x:c>
      <x:c r="O2785" s="22" t="str">
        <x:v>公顷</x:v>
      </x:c>
      <x:c r="P2785" s="22" t="str">
        <x:v>未提供（单期横截面）</x:v>
      </x:c>
      <x:c r="Q2785" s="23" t="n">
        <x:v>5764</x:v>
      </x:c>
    </x:row>
    <x:row r="2786">
      <x:c r="A2786" s="30" t="n">
        <x:v>350600</x:v>
      </x:c>
      <x:c r="B2786" s="22" t="str">
        <x:v>漳州市</x:v>
      </x:c>
      <x:c r="C2786" s="31" t="n">
        <x:v>350628</x:v>
      </x:c>
      <x:c r="D2786" s="22" t="str">
        <x:v>平和县</x:v>
      </x:c>
      <x:c r="E2786" s="22" t="str">
        <x:v>农用地</x:v>
      </x:c>
      <x:c r="F2786" s="22" t="str">
        <x:v>耕地</x:v>
      </x:c>
      <x:c r="G2786" s="32" t="str">
        <x:v>103</x:v>
      </x:c>
      <x:c r="H2786" s="32" t="str">
        <x:v>103</x:v>
      </x:c>
      <x:c r="I2786" s="22" t="str">
        <x:v>旱地</x:v>
      </x:c>
      <x:c r="J2786" s="22" t="str">
        <x:v>农业生态</x:v>
      </x:c>
      <x:c r="K2786" s="32" t="str"/>
      <x:c r="L2786" s="22" t="str">
        <x:v>不适用/未标注</x:v>
      </x:c>
      <x:c r="M2786" s="33" t="n">
        <x:v>1606943.350000005</x:v>
      </x:c>
      <x:c r="N2786" s="33" t="n">
        <x:v>160.6943350000005</x:v>
      </x:c>
      <x:c r="O2786" s="22" t="str">
        <x:v>公顷</x:v>
      </x:c>
      <x:c r="P2786" s="22" t="str">
        <x:v>未提供（单期横截面）</x:v>
      </x:c>
      <x:c r="Q2786" s="23" t="n">
        <x:v>5765</x:v>
      </x:c>
    </x:row>
    <x:row r="2787">
      <x:c r="A2787" s="30" t="n">
        <x:v>350600</x:v>
      </x:c>
      <x:c r="B2787" s="22" t="str">
        <x:v>漳州市</x:v>
      </x:c>
      <x:c r="C2787" s="31" t="n">
        <x:v>350628</x:v>
      </x:c>
      <x:c r="D2787" s="22" t="str">
        <x:v>平和县</x:v>
      </x:c>
      <x:c r="E2787" s="22" t="str">
        <x:v>农用地</x:v>
      </x:c>
      <x:c r="F2787" s="22" t="str">
        <x:v>园地</x:v>
      </x:c>
      <x:c r="G2787" s="32" t="str">
        <x:v>201</x:v>
      </x:c>
      <x:c r="H2787" s="32" t="str">
        <x:v>201</x:v>
      </x:c>
      <x:c r="I2787" s="22" t="str">
        <x:v>果园</x:v>
      </x:c>
      <x:c r="J2787" s="22" t="str">
        <x:v>农业生态</x:v>
      </x:c>
      <x:c r="K2787" s="32" t="str"/>
      <x:c r="L2787" s="22" t="str">
        <x:v>不适用/未标注</x:v>
      </x:c>
      <x:c r="M2787" s="33" t="n">
        <x:v>902273653.6899996</x:v>
      </x:c>
      <x:c r="N2787" s="33" t="n">
        <x:v>90227.36536899996</x:v>
      </x:c>
      <x:c r="O2787" s="22" t="str">
        <x:v>公顷</x:v>
      </x:c>
      <x:c r="P2787" s="22" t="str">
        <x:v>未提供（单期横截面）</x:v>
      </x:c>
      <x:c r="Q2787" s="23" t="n">
        <x:v>5766</x:v>
      </x:c>
    </x:row>
    <x:row r="2788">
      <x:c r="A2788" s="30" t="n">
        <x:v>350600</x:v>
      </x:c>
      <x:c r="B2788" s="22" t="str">
        <x:v>漳州市</x:v>
      </x:c>
      <x:c r="C2788" s="31" t="n">
        <x:v>350628</x:v>
      </x:c>
      <x:c r="D2788" s="22" t="str">
        <x:v>平和县</x:v>
      </x:c>
      <x:c r="E2788" s="22" t="str">
        <x:v>农用地</x:v>
      </x:c>
      <x:c r="F2788" s="22" t="str">
        <x:v>园地</x:v>
      </x:c>
      <x:c r="G2788" s="32" t="str">
        <x:v>0201K</x:v>
      </x:c>
      <x:c r="H2788" s="32" t="str">
        <x:v>201</x:v>
      </x:c>
      <x:c r="I2788" s="22" t="str">
        <x:v>可调整果园</x:v>
      </x:c>
      <x:c r="J2788" s="22" t="str">
        <x:v>农业生态</x:v>
      </x:c>
      <x:c r="K2788" s="32" t="str"/>
      <x:c r="L2788" s="22" t="str">
        <x:v>不适用/未标注</x:v>
      </x:c>
      <x:c r="M2788" s="33" t="n">
        <x:v>11922184.159999995</x:v>
      </x:c>
      <x:c r="N2788" s="33" t="n">
        <x:v>1192.2184159999995</x:v>
      </x:c>
      <x:c r="O2788" s="22" t="str">
        <x:v>公顷</x:v>
      </x:c>
      <x:c r="P2788" s="22" t="str">
        <x:v>未提供（单期横截面）</x:v>
      </x:c>
      <x:c r="Q2788" s="23" t="n">
        <x:v>5767</x:v>
      </x:c>
    </x:row>
    <x:row r="2789">
      <x:c r="A2789" s="30" t="n">
        <x:v>350600</x:v>
      </x:c>
      <x:c r="B2789" s="22" t="str">
        <x:v>漳州市</x:v>
      </x:c>
      <x:c r="C2789" s="31" t="n">
        <x:v>350628</x:v>
      </x:c>
      <x:c r="D2789" s="22" t="str">
        <x:v>平和县</x:v>
      </x:c>
      <x:c r="E2789" s="22" t="str">
        <x:v>农用地</x:v>
      </x:c>
      <x:c r="F2789" s="22" t="str">
        <x:v>园地</x:v>
      </x:c>
      <x:c r="G2789" s="32" t="str">
        <x:v>202</x:v>
      </x:c>
      <x:c r="H2789" s="32" t="str">
        <x:v>202</x:v>
      </x:c>
      <x:c r="I2789" s="22" t="str">
        <x:v>茶园</x:v>
      </x:c>
      <x:c r="J2789" s="22" t="str">
        <x:v>农业生态</x:v>
      </x:c>
      <x:c r="K2789" s="32" t="str"/>
      <x:c r="L2789" s="22" t="str">
        <x:v>不适用/未标注</x:v>
      </x:c>
      <x:c r="M2789" s="33" t="n">
        <x:v>16570118.03000002</x:v>
      </x:c>
      <x:c r="N2789" s="33" t="n">
        <x:v>1657.011803000002</x:v>
      </x:c>
      <x:c r="O2789" s="22" t="str">
        <x:v>公顷</x:v>
      </x:c>
      <x:c r="P2789" s="22" t="str">
        <x:v>未提供（单期横截面）</x:v>
      </x:c>
      <x:c r="Q2789" s="23" t="n">
        <x:v>5768</x:v>
      </x:c>
    </x:row>
    <x:row r="2790">
      <x:c r="A2790" s="30" t="n">
        <x:v>350600</x:v>
      </x:c>
      <x:c r="B2790" s="22" t="str">
        <x:v>漳州市</x:v>
      </x:c>
      <x:c r="C2790" s="31" t="n">
        <x:v>350628</x:v>
      </x:c>
      <x:c r="D2790" s="22" t="str">
        <x:v>平和县</x:v>
      </x:c>
      <x:c r="E2790" s="22" t="str">
        <x:v>农用地</x:v>
      </x:c>
      <x:c r="F2790" s="22" t="str">
        <x:v>园地</x:v>
      </x:c>
      <x:c r="G2790" s="32" t="str">
        <x:v>0202K</x:v>
      </x:c>
      <x:c r="H2790" s="32" t="str">
        <x:v>0202</x:v>
      </x:c>
      <x:c r="I2790" s="22" t="str">
        <x:v>可调整茶园</x:v>
      </x:c>
      <x:c r="J2790" s="22" t="str">
        <x:v>农业生态</x:v>
      </x:c>
      <x:c r="K2790" s="32" t="str"/>
      <x:c r="L2790" s="22" t="str">
        <x:v>不适用/未标注</x:v>
      </x:c>
      <x:c r="M2790" s="33" t="n">
        <x:v>125674.92000000003</x:v>
      </x:c>
      <x:c r="N2790" s="33" t="n">
        <x:v>12.567492000000003</x:v>
      </x:c>
      <x:c r="O2790" s="22" t="str">
        <x:v>公顷</x:v>
      </x:c>
      <x:c r="P2790" s="22" t="str">
        <x:v>未提供（单期横截面）</x:v>
      </x:c>
      <x:c r="Q2790" s="23" t="n">
        <x:v>5769</x:v>
      </x:c>
    </x:row>
    <x:row r="2791">
      <x:c r="A2791" s="30" t="n">
        <x:v>350600</x:v>
      </x:c>
      <x:c r="B2791" s="22" t="str">
        <x:v>漳州市</x:v>
      </x:c>
      <x:c r="C2791" s="31" t="n">
        <x:v>350628</x:v>
      </x:c>
      <x:c r="D2791" s="22" t="str">
        <x:v>平和县</x:v>
      </x:c>
      <x:c r="E2791" s="22" t="str">
        <x:v>农用地</x:v>
      </x:c>
      <x:c r="F2791" s="22" t="str">
        <x:v>园地</x:v>
      </x:c>
      <x:c r="G2791" s="32" t="str">
        <x:v>204</x:v>
      </x:c>
      <x:c r="H2791" s="32" t="str">
        <x:v>204</x:v>
      </x:c>
      <x:c r="I2791" s="22" t="str">
        <x:v>其他园地</x:v>
      </x:c>
      <x:c r="J2791" s="22" t="str">
        <x:v>农业生态</x:v>
      </x:c>
      <x:c r="K2791" s="32" t="str"/>
      <x:c r="L2791" s="22" t="str">
        <x:v>不适用/未标注</x:v>
      </x:c>
      <x:c r="M2791" s="33" t="n">
        <x:v>1311207.69</x:v>
      </x:c>
      <x:c r="N2791" s="33" t="n">
        <x:v>131.120769</x:v>
      </x:c>
      <x:c r="O2791" s="22" t="str">
        <x:v>公顷</x:v>
      </x:c>
      <x:c r="P2791" s="22" t="str">
        <x:v>未提供（单期横截面）</x:v>
      </x:c>
      <x:c r="Q2791" s="23" t="n">
        <x:v>5770</x:v>
      </x:c>
    </x:row>
    <x:row r="2792">
      <x:c r="A2792" s="30" t="n">
        <x:v>350600</x:v>
      </x:c>
      <x:c r="B2792" s="22" t="str">
        <x:v>漳州市</x:v>
      </x:c>
      <x:c r="C2792" s="31" t="n">
        <x:v>350628</x:v>
      </x:c>
      <x:c r="D2792" s="22" t="str">
        <x:v>平和县</x:v>
      </x:c>
      <x:c r="E2792" s="22" t="str">
        <x:v>农用地</x:v>
      </x:c>
      <x:c r="F2792" s="22" t="str">
        <x:v>林地</x:v>
      </x:c>
      <x:c r="G2792" s="32" t="str">
        <x:v>301</x:v>
      </x:c>
      <x:c r="H2792" s="32" t="str">
        <x:v>301</x:v>
      </x:c>
      <x:c r="I2792" s="22" t="str">
        <x:v>乔木林地</x:v>
      </x:c>
      <x:c r="J2792" s="22" t="str">
        <x:v>农业生态</x:v>
      </x:c>
      <x:c r="K2792" s="32" t="str"/>
      <x:c r="L2792" s="22" t="str">
        <x:v>不适用/未标注</x:v>
      </x:c>
      <x:c r="M2792" s="33" t="n">
        <x:v>994015535.0099983</x:v>
      </x:c>
      <x:c r="N2792" s="33" t="n">
        <x:v>99401.55350099983</x:v>
      </x:c>
      <x:c r="O2792" s="22" t="str">
        <x:v>公顷</x:v>
      </x:c>
      <x:c r="P2792" s="22" t="str">
        <x:v>未提供（单期横截面）</x:v>
      </x:c>
      <x:c r="Q2792" s="23" t="n">
        <x:v>5771</x:v>
      </x:c>
    </x:row>
    <x:row r="2793">
      <x:c r="A2793" s="30" t="n">
        <x:v>350600</x:v>
      </x:c>
      <x:c r="B2793" s="22" t="str">
        <x:v>漳州市</x:v>
      </x:c>
      <x:c r="C2793" s="31" t="n">
        <x:v>350628</x:v>
      </x:c>
      <x:c r="D2793" s="22" t="str">
        <x:v>平和县</x:v>
      </x:c>
      <x:c r="E2793" s="22" t="str">
        <x:v>农用地</x:v>
      </x:c>
      <x:c r="F2793" s="22" t="str">
        <x:v>林地</x:v>
      </x:c>
      <x:c r="G2793" s="32" t="str">
        <x:v>0301K</x:v>
      </x:c>
      <x:c r="H2793" s="32" t="str">
        <x:v>0301</x:v>
      </x:c>
      <x:c r="I2793" s="22" t="str">
        <x:v>可调整乔木林地</x:v>
      </x:c>
      <x:c r="J2793" s="22" t="str">
        <x:v>农业生态</x:v>
      </x:c>
      <x:c r="K2793" s="32" t="str"/>
      <x:c r="L2793" s="22" t="str">
        <x:v>不适用/未标注</x:v>
      </x:c>
      <x:c r="M2793" s="33" t="n">
        <x:v>7493.84</x:v>
      </x:c>
      <x:c r="N2793" s="33" t="n">
        <x:v>0.749384</x:v>
      </x:c>
      <x:c r="O2793" s="22" t="str">
        <x:v>公顷</x:v>
      </x:c>
      <x:c r="P2793" s="22" t="str">
        <x:v>未提供（单期横截面）</x:v>
      </x:c>
      <x:c r="Q2793" s="23" t="n">
        <x:v>5772</x:v>
      </x:c>
    </x:row>
    <x:row r="2794">
      <x:c r="A2794" s="30" t="n">
        <x:v>350600</x:v>
      </x:c>
      <x:c r="B2794" s="22" t="str">
        <x:v>漳州市</x:v>
      </x:c>
      <x:c r="C2794" s="31" t="n">
        <x:v>350628</x:v>
      </x:c>
      <x:c r="D2794" s="22" t="str">
        <x:v>平和县</x:v>
      </x:c>
      <x:c r="E2794" s="22" t="str">
        <x:v>农用地</x:v>
      </x:c>
      <x:c r="F2794" s="22" t="str">
        <x:v>林地</x:v>
      </x:c>
      <x:c r="G2794" s="32" t="str">
        <x:v>302</x:v>
      </x:c>
      <x:c r="H2794" s="32" t="str">
        <x:v>302</x:v>
      </x:c>
      <x:c r="I2794" s="22" t="str">
        <x:v>竹林地</x:v>
      </x:c>
      <x:c r="J2794" s="22" t="str">
        <x:v>农业生态</x:v>
      </x:c>
      <x:c r="K2794" s="32" t="str"/>
      <x:c r="L2794" s="22" t="str">
        <x:v>不适用/未标注</x:v>
      </x:c>
      <x:c r="M2794" s="33" t="n">
        <x:v>43469467.92999998</x:v>
      </x:c>
      <x:c r="N2794" s="33" t="n">
        <x:v>4346.946792999997</x:v>
      </x:c>
      <x:c r="O2794" s="22" t="str">
        <x:v>公顷</x:v>
      </x:c>
      <x:c r="P2794" s="22" t="str">
        <x:v>未提供（单期横截面）</x:v>
      </x:c>
      <x:c r="Q2794" s="23" t="n">
        <x:v>5773</x:v>
      </x:c>
    </x:row>
    <x:row r="2795">
      <x:c r="A2795" s="30" t="n">
        <x:v>350600</x:v>
      </x:c>
      <x:c r="B2795" s="22" t="str">
        <x:v>漳州市</x:v>
      </x:c>
      <x:c r="C2795" s="31" t="n">
        <x:v>350628</x:v>
      </x:c>
      <x:c r="D2795" s="22" t="str">
        <x:v>平和县</x:v>
      </x:c>
      <x:c r="E2795" s="22" t="str">
        <x:v>农用地</x:v>
      </x:c>
      <x:c r="F2795" s="22" t="str">
        <x:v>林地</x:v>
      </x:c>
      <x:c r="G2795" s="32" t="str">
        <x:v>305</x:v>
      </x:c>
      <x:c r="H2795" s="32" t="str">
        <x:v>305</x:v>
      </x:c>
      <x:c r="I2795" s="22" t="str">
        <x:v>灌木林地</x:v>
      </x:c>
      <x:c r="J2795" s="22" t="str">
        <x:v>农业生态</x:v>
      </x:c>
      <x:c r="K2795" s="32" t="str"/>
      <x:c r="L2795" s="22" t="str">
        <x:v>不适用/未标注</x:v>
      </x:c>
      <x:c r="M2795" s="33" t="n">
        <x:v>2688267.2599999984</x:v>
      </x:c>
      <x:c r="N2795" s="33" t="n">
        <x:v>268.82672599999984</x:v>
      </x:c>
      <x:c r="O2795" s="22" t="str">
        <x:v>公顷</x:v>
      </x:c>
      <x:c r="P2795" s="22" t="str">
        <x:v>未提供（单期横截面）</x:v>
      </x:c>
      <x:c r="Q2795" s="23" t="n">
        <x:v>5774</x:v>
      </x:c>
    </x:row>
    <x:row r="2796">
      <x:c r="A2796" s="30" t="n">
        <x:v>350600</x:v>
      </x:c>
      <x:c r="B2796" s="22" t="str">
        <x:v>漳州市</x:v>
      </x:c>
      <x:c r="C2796" s="31" t="n">
        <x:v>350628</x:v>
      </x:c>
      <x:c r="D2796" s="22" t="str">
        <x:v>平和县</x:v>
      </x:c>
      <x:c r="E2796" s="22" t="str">
        <x:v>农用地</x:v>
      </x:c>
      <x:c r="F2796" s="22" t="str">
        <x:v>林地</x:v>
      </x:c>
      <x:c r="G2796" s="32" t="str">
        <x:v>307</x:v>
      </x:c>
      <x:c r="H2796" s="32" t="str">
        <x:v>307</x:v>
      </x:c>
      <x:c r="I2796" s="22" t="str">
        <x:v>其他林地</x:v>
      </x:c>
      <x:c r="J2796" s="22" t="str">
        <x:v>农业生态</x:v>
      </x:c>
      <x:c r="K2796" s="32" t="str"/>
      <x:c r="L2796" s="22" t="str">
        <x:v>不适用/未标注</x:v>
      </x:c>
      <x:c r="M2796" s="33" t="n">
        <x:v>143182154.25999966</x:v>
      </x:c>
      <x:c r="N2796" s="33" t="n">
        <x:v>14318.215425999966</x:v>
      </x:c>
      <x:c r="O2796" s="22" t="str">
        <x:v>公顷</x:v>
      </x:c>
      <x:c r="P2796" s="22" t="str">
        <x:v>未提供（单期横截面）</x:v>
      </x:c>
      <x:c r="Q2796" s="23" t="n">
        <x:v>5775</x:v>
      </x:c>
    </x:row>
    <x:row r="2797">
      <x:c r="A2797" s="30" t="n">
        <x:v>350600</x:v>
      </x:c>
      <x:c r="B2797" s="22" t="str">
        <x:v>漳州市</x:v>
      </x:c>
      <x:c r="C2797" s="31" t="n">
        <x:v>350628</x:v>
      </x:c>
      <x:c r="D2797" s="22" t="str">
        <x:v>平和县</x:v>
      </x:c>
      <x:c r="E2797" s="22" t="str">
        <x:v>农用地</x:v>
      </x:c>
      <x:c r="F2797" s="22" t="str">
        <x:v>其他农用地</x:v>
      </x:c>
      <x:c r="G2797" s="32" t="str">
        <x:v>1006</x:v>
      </x:c>
      <x:c r="H2797" s="32" t="str">
        <x:v>1006</x:v>
      </x:c>
      <x:c r="I2797" s="22" t="str">
        <x:v>农村道路</x:v>
      </x:c>
      <x:c r="J2797" s="22" t="str">
        <x:v>农业生态</x:v>
      </x:c>
      <x:c r="K2797" s="32" t="str"/>
      <x:c r="L2797" s="22" t="str">
        <x:v>不适用/未标注</x:v>
      </x:c>
      <x:c r="M2797" s="33" t="n">
        <x:v>22504533.199999902</x:v>
      </x:c>
      <x:c r="N2797" s="33" t="n">
        <x:v>2250.45331999999</x:v>
      </x:c>
      <x:c r="O2797" s="22" t="str">
        <x:v>公顷</x:v>
      </x:c>
      <x:c r="P2797" s="22" t="str">
        <x:v>未提供（单期横截面）</x:v>
      </x:c>
      <x:c r="Q2797" s="23" t="n">
        <x:v>5776</x:v>
      </x:c>
    </x:row>
    <x:row r="2798">
      <x:c r="A2798" s="30" t="n">
        <x:v>350600</x:v>
      </x:c>
      <x:c r="B2798" s="22" t="str">
        <x:v>漳州市</x:v>
      </x:c>
      <x:c r="C2798" s="31" t="n">
        <x:v>350628</x:v>
      </x:c>
      <x:c r="D2798" s="22" t="str">
        <x:v>平和县</x:v>
      </x:c>
      <x:c r="E2798" s="22" t="str">
        <x:v>农用地</x:v>
      </x:c>
      <x:c r="F2798" s="22" t="str">
        <x:v>水域及水利设施</x:v>
      </x:c>
      <x:c r="G2798" s="32" t="str">
        <x:v>1103</x:v>
      </x:c>
      <x:c r="H2798" s="32" t="str">
        <x:v>1103</x:v>
      </x:c>
      <x:c r="I2798" s="22" t="str">
        <x:v>水库水面</x:v>
      </x:c>
      <x:c r="J2798" s="22" t="str">
        <x:v>农业生态</x:v>
      </x:c>
      <x:c r="K2798" s="32" t="str"/>
      <x:c r="L2798" s="22" t="str">
        <x:v>不适用/未标注</x:v>
      </x:c>
      <x:c r="M2798" s="33" t="n">
        <x:v>4910775.420000001</x:v>
      </x:c>
      <x:c r="N2798" s="33" t="n">
        <x:v>491.0775420000001</x:v>
      </x:c>
      <x:c r="O2798" s="22" t="str">
        <x:v>公顷</x:v>
      </x:c>
      <x:c r="P2798" s="22" t="str">
        <x:v>未提供（单期横截面）</x:v>
      </x:c>
      <x:c r="Q2798" s="23" t="n">
        <x:v>5777</x:v>
      </x:c>
    </x:row>
    <x:row r="2799">
      <x:c r="A2799" s="30" t="n">
        <x:v>350600</x:v>
      </x:c>
      <x:c r="B2799" s="22" t="str">
        <x:v>漳州市</x:v>
      </x:c>
      <x:c r="C2799" s="31" t="n">
        <x:v>350628</x:v>
      </x:c>
      <x:c r="D2799" s="22" t="str">
        <x:v>平和县</x:v>
      </x:c>
      <x:c r="E2799" s="22" t="str">
        <x:v>农用地</x:v>
      </x:c>
      <x:c r="F2799" s="22" t="str">
        <x:v>水域及水利设施</x:v>
      </x:c>
      <x:c r="G2799" s="32" t="str">
        <x:v>1104</x:v>
      </x:c>
      <x:c r="H2799" s="32" t="str">
        <x:v>1104</x:v>
      </x:c>
      <x:c r="I2799" s="22" t="str">
        <x:v>坑塘水面</x:v>
      </x:c>
      <x:c r="J2799" s="22" t="str">
        <x:v>农业生态</x:v>
      </x:c>
      <x:c r="K2799" s="32" t="str"/>
      <x:c r="L2799" s="22" t="str">
        <x:v>不适用/未标注</x:v>
      </x:c>
      <x:c r="M2799" s="33" t="n">
        <x:v>2396068.8599999975</x:v>
      </x:c>
      <x:c r="N2799" s="33" t="n">
        <x:v>239.60688599999975</x:v>
      </x:c>
      <x:c r="O2799" s="22" t="str">
        <x:v>公顷</x:v>
      </x:c>
      <x:c r="P2799" s="22" t="str">
        <x:v>未提供（单期横截面）</x:v>
      </x:c>
      <x:c r="Q2799" s="23" t="n">
        <x:v>5778</x:v>
      </x:c>
    </x:row>
    <x:row r="2800">
      <x:c r="A2800" s="30" t="n">
        <x:v>350600</x:v>
      </x:c>
      <x:c r="B2800" s="22" t="str">
        <x:v>漳州市</x:v>
      </x:c>
      <x:c r="C2800" s="31" t="n">
        <x:v>350628</x:v>
      </x:c>
      <x:c r="D2800" s="22" t="str">
        <x:v>平和县</x:v>
      </x:c>
      <x:c r="E2800" s="22" t="str">
        <x:v>农用地</x:v>
      </x:c>
      <x:c r="F2800" s="22" t="str">
        <x:v>水域及水利设施</x:v>
      </x:c>
      <x:c r="G2800" s="32" t="str">
        <x:v>1104A</x:v>
      </x:c>
      <x:c r="H2800" s="32" t="str">
        <x:v>1104</x:v>
      </x:c>
      <x:c r="I2800" s="22" t="str">
        <x:v>养殖坑塘</x:v>
      </x:c>
      <x:c r="J2800" s="22" t="str">
        <x:v>农业生态</x:v>
      </x:c>
      <x:c r="K2800" s="32" t="str"/>
      <x:c r="L2800" s="22" t="str">
        <x:v>不适用/未标注</x:v>
      </x:c>
      <x:c r="M2800" s="33" t="n">
        <x:v>128255.37000000001</x:v>
      </x:c>
      <x:c r="N2800" s="33" t="n">
        <x:v>12.825537</x:v>
      </x:c>
      <x:c r="O2800" s="22" t="str">
        <x:v>公顷</x:v>
      </x:c>
      <x:c r="P2800" s="22" t="str">
        <x:v>未提供（单期横截面）</x:v>
      </x:c>
      <x:c r="Q2800" s="23" t="n">
        <x:v>5779</x:v>
      </x:c>
    </x:row>
    <x:row r="2801">
      <x:c r="A2801" s="30" t="n">
        <x:v>350600</x:v>
      </x:c>
      <x:c r="B2801" s="22" t="str">
        <x:v>漳州市</x:v>
      </x:c>
      <x:c r="C2801" s="31" t="n">
        <x:v>350628</x:v>
      </x:c>
      <x:c r="D2801" s="22" t="str">
        <x:v>平和县</x:v>
      </x:c>
      <x:c r="E2801" s="22" t="str">
        <x:v>农用地</x:v>
      </x:c>
      <x:c r="F2801" s="22" t="str">
        <x:v>水域及水利设施</x:v>
      </x:c>
      <x:c r="G2801" s="32" t="str">
        <x:v>1104K</x:v>
      </x:c>
      <x:c r="H2801" s="32" t="str">
        <x:v>1104</x:v>
      </x:c>
      <x:c r="I2801" s="22" t="str">
        <x:v>可调整养殖坑塘</x:v>
      </x:c>
      <x:c r="J2801" s="22" t="str">
        <x:v>农业生态</x:v>
      </x:c>
      <x:c r="K2801" s="32" t="str"/>
      <x:c r="L2801" s="22" t="str">
        <x:v>不适用/未标注</x:v>
      </x:c>
      <x:c r="M2801" s="33" t="n">
        <x:v>305019.6099999999</x:v>
      </x:c>
      <x:c r="N2801" s="33" t="n">
        <x:v>30.501960999999994</x:v>
      </x:c>
      <x:c r="O2801" s="22" t="str">
        <x:v>公顷</x:v>
      </x:c>
      <x:c r="P2801" s="22" t="str">
        <x:v>未提供（单期横截面）</x:v>
      </x:c>
      <x:c r="Q2801" s="23" t="n">
        <x:v>5780</x:v>
      </x:c>
    </x:row>
    <x:row r="2802">
      <x:c r="A2802" s="30" t="n">
        <x:v>350600</x:v>
      </x:c>
      <x:c r="B2802" s="22" t="str">
        <x:v>漳州市</x:v>
      </x:c>
      <x:c r="C2802" s="31" t="n">
        <x:v>350628</x:v>
      </x:c>
      <x:c r="D2802" s="22" t="str">
        <x:v>平和县</x:v>
      </x:c>
      <x:c r="E2802" s="22" t="str">
        <x:v>农用地</x:v>
      </x:c>
      <x:c r="F2802" s="22" t="str">
        <x:v>水域及水利设施</x:v>
      </x:c>
      <x:c r="G2802" s="32" t="str">
        <x:v>1107</x:v>
      </x:c>
      <x:c r="H2802" s="32" t="str">
        <x:v>1107</x:v>
      </x:c>
      <x:c r="I2802" s="22" t="str">
        <x:v>沟渠</x:v>
      </x:c>
      <x:c r="J2802" s="22" t="str">
        <x:v>农业生态</x:v>
      </x:c>
      <x:c r="K2802" s="32" t="str"/>
      <x:c r="L2802" s="22" t="str">
        <x:v>不适用/未标注</x:v>
      </x:c>
      <x:c r="M2802" s="33" t="n">
        <x:v>3159716.6200000034</x:v>
      </x:c>
      <x:c r="N2802" s="33" t="n">
        <x:v>315.9716620000003</x:v>
      </x:c>
      <x:c r="O2802" s="22" t="str">
        <x:v>公顷</x:v>
      </x:c>
      <x:c r="P2802" s="22" t="str">
        <x:v>未提供（单期横截面）</x:v>
      </x:c>
      <x:c r="Q2802" s="23" t="n">
        <x:v>5781</x:v>
      </x:c>
    </x:row>
    <x:row r="2803">
      <x:c r="A2803" s="30" t="n">
        <x:v>350600</x:v>
      </x:c>
      <x:c r="B2803" s="22" t="str">
        <x:v>漳州市</x:v>
      </x:c>
      <x:c r="C2803" s="31" t="n">
        <x:v>350628</x:v>
      </x:c>
      <x:c r="D2803" s="22" t="str">
        <x:v>平和县</x:v>
      </x:c>
      <x:c r="E2803" s="22" t="str">
        <x:v>农用地</x:v>
      </x:c>
      <x:c r="F2803" s="22" t="str">
        <x:v>水域及水利设施</x:v>
      </x:c>
      <x:c r="G2803" s="32" t="str">
        <x:v>1107A</x:v>
      </x:c>
      <x:c r="H2803" s="32" t="str">
        <x:v>1107</x:v>
      </x:c>
      <x:c r="I2803" s="22" t="str">
        <x:v>干渠</x:v>
      </x:c>
      <x:c r="J2803" s="22" t="str">
        <x:v>农业生态</x:v>
      </x:c>
      <x:c r="K2803" s="32" t="str"/>
      <x:c r="L2803" s="22" t="str">
        <x:v>不适用/未标注</x:v>
      </x:c>
      <x:c r="M2803" s="33" t="n">
        <x:v>1239.91</x:v>
      </x:c>
      <x:c r="N2803" s="33" t="n">
        <x:v>0.123991</x:v>
      </x:c>
      <x:c r="O2803" s="22" t="str">
        <x:v>公顷</x:v>
      </x:c>
      <x:c r="P2803" s="22" t="str">
        <x:v>未提供（单期横截面）</x:v>
      </x:c>
      <x:c r="Q2803" s="23" t="n">
        <x:v>5782</x:v>
      </x:c>
    </x:row>
    <x:row r="2804">
      <x:c r="A2804" s="30" t="n">
        <x:v>350600</x:v>
      </x:c>
      <x:c r="B2804" s="22" t="str">
        <x:v>漳州市</x:v>
      </x:c>
      <x:c r="C2804" s="31" t="n">
        <x:v>350628</x:v>
      </x:c>
      <x:c r="D2804" s="22" t="str">
        <x:v>平和县</x:v>
      </x:c>
      <x:c r="E2804" s="22" t="str">
        <x:v>农用地</x:v>
      </x:c>
      <x:c r="F2804" s="22" t="str">
        <x:v>其他农用地</x:v>
      </x:c>
      <x:c r="G2804" s="32" t="str">
        <x:v>1202</x:v>
      </x:c>
      <x:c r="H2804" s="32" t="str">
        <x:v>1202</x:v>
      </x:c>
      <x:c r="I2804" s="22" t="str">
        <x:v>设施农用地</x:v>
      </x:c>
      <x:c r="J2804" s="22" t="str">
        <x:v>农业生态</x:v>
      </x:c>
      <x:c r="K2804" s="32" t="str"/>
      <x:c r="L2804" s="22" t="str">
        <x:v>不适用/未标注</x:v>
      </x:c>
      <x:c r="M2804" s="33" t="n">
        <x:v>2815340.4099999974</x:v>
      </x:c>
      <x:c r="N2804" s="33" t="n">
        <x:v>281.5340409999997</x:v>
      </x:c>
      <x:c r="O2804" s="22" t="str">
        <x:v>公顷</x:v>
      </x:c>
      <x:c r="P2804" s="22" t="str">
        <x:v>未提供（单期横截面）</x:v>
      </x:c>
      <x:c r="Q2804" s="23" t="n">
        <x:v>5783</x:v>
      </x:c>
    </x:row>
    <x:row r="2805">
      <x:c r="A2805" s="30" t="n">
        <x:v>350600</x:v>
      </x:c>
      <x:c r="B2805" s="22" t="str">
        <x:v>漳州市</x:v>
      </x:c>
      <x:c r="C2805" s="31" t="n">
        <x:v>350628</x:v>
      </x:c>
      <x:c r="D2805" s="22" t="str">
        <x:v>平和县</x:v>
      </x:c>
      <x:c r="E2805" s="22" t="str">
        <x:v>农用地</x:v>
      </x:c>
      <x:c r="F2805" s="22" t="str">
        <x:v>耕地</x:v>
      </x:c>
      <x:c r="G2805" s="32" t="str">
        <x:v>101</x:v>
      </x:c>
      <x:c r="H2805" s="32" t="str">
        <x:v>101</x:v>
      </x:c>
      <x:c r="I2805" s="22" t="str">
        <x:v>水田</x:v>
      </x:c>
      <x:c r="J2805" s="22" t="str">
        <x:v>农业生态</x:v>
      </x:c>
      <x:c r="K2805" s="32" t="str">
        <x:v>202</x:v>
      </x:c>
      <x:c r="L2805" s="22" t="str">
        <x:v>建制镇范围</x:v>
      </x:c>
      <x:c r="M2805" s="33" t="n">
        <x:v>125038.07000000002</x:v>
      </x:c>
      <x:c r="N2805" s="33" t="n">
        <x:v>12.503807000000002</x:v>
      </x:c>
      <x:c r="O2805" s="22" t="str">
        <x:v>公顷</x:v>
      </x:c>
      <x:c r="P2805" s="22" t="str">
        <x:v>未提供（单期横截面）</x:v>
      </x:c>
      <x:c r="Q2805" s="23" t="n">
        <x:v>5784</x:v>
      </x:c>
    </x:row>
    <x:row r="2806">
      <x:c r="A2806" s="30" t="n">
        <x:v>350600</x:v>
      </x:c>
      <x:c r="B2806" s="22" t="str">
        <x:v>漳州市</x:v>
      </x:c>
      <x:c r="C2806" s="31" t="n">
        <x:v>350628</x:v>
      </x:c>
      <x:c r="D2806" s="22" t="str">
        <x:v>平和县</x:v>
      </x:c>
      <x:c r="E2806" s="22" t="str">
        <x:v>农用地</x:v>
      </x:c>
      <x:c r="F2806" s="22" t="str">
        <x:v>耕地</x:v>
      </x:c>
      <x:c r="G2806" s="32" t="str">
        <x:v>102</x:v>
      </x:c>
      <x:c r="H2806" s="32" t="str">
        <x:v>102</x:v>
      </x:c>
      <x:c r="I2806" s="22" t="str">
        <x:v>水浇地</x:v>
      </x:c>
      <x:c r="J2806" s="22" t="str">
        <x:v>农业生态</x:v>
      </x:c>
      <x:c r="K2806" s="32" t="str">
        <x:v>202</x:v>
      </x:c>
      <x:c r="L2806" s="22" t="str">
        <x:v>建制镇范围</x:v>
      </x:c>
      <x:c r="M2806" s="33" t="n">
        <x:v>1168.81</x:v>
      </x:c>
      <x:c r="N2806" s="33" t="n">
        <x:v>0.116881</x:v>
      </x:c>
      <x:c r="O2806" s="22" t="str">
        <x:v>公顷</x:v>
      </x:c>
      <x:c r="P2806" s="22" t="str">
        <x:v>未提供（单期横截面）</x:v>
      </x:c>
      <x:c r="Q2806" s="23" t="n">
        <x:v>5785</x:v>
      </x:c>
    </x:row>
    <x:row r="2807">
      <x:c r="A2807" s="30" t="n">
        <x:v>350600</x:v>
      </x:c>
      <x:c r="B2807" s="22" t="str">
        <x:v>漳州市</x:v>
      </x:c>
      <x:c r="C2807" s="31" t="n">
        <x:v>350628</x:v>
      </x:c>
      <x:c r="D2807" s="22" t="str">
        <x:v>平和县</x:v>
      </x:c>
      <x:c r="E2807" s="22" t="str">
        <x:v>农用地</x:v>
      </x:c>
      <x:c r="F2807" s="22" t="str">
        <x:v>耕地</x:v>
      </x:c>
      <x:c r="G2807" s="32" t="str">
        <x:v>103</x:v>
      </x:c>
      <x:c r="H2807" s="32" t="str">
        <x:v>103</x:v>
      </x:c>
      <x:c r="I2807" s="22" t="str">
        <x:v>旱地</x:v>
      </x:c>
      <x:c r="J2807" s="22" t="str">
        <x:v>农业生态</x:v>
      </x:c>
      <x:c r="K2807" s="32" t="str">
        <x:v>202</x:v>
      </x:c>
      <x:c r="L2807" s="22" t="str">
        <x:v>建制镇范围</x:v>
      </x:c>
      <x:c r="M2807" s="33" t="n">
        <x:v>42789.15999999999</x:v>
      </x:c>
      <x:c r="N2807" s="33" t="n">
        <x:v>4.278915999999999</x:v>
      </x:c>
      <x:c r="O2807" s="22" t="str">
        <x:v>公顷</x:v>
      </x:c>
      <x:c r="P2807" s="22" t="str">
        <x:v>未提供（单期横截面）</x:v>
      </x:c>
      <x:c r="Q2807" s="23" t="n">
        <x:v>5786</x:v>
      </x:c>
    </x:row>
    <x:row r="2808">
      <x:c r="A2808" s="30" t="n">
        <x:v>350600</x:v>
      </x:c>
      <x:c r="B2808" s="22" t="str">
        <x:v>漳州市</x:v>
      </x:c>
      <x:c r="C2808" s="31" t="n">
        <x:v>350628</x:v>
      </x:c>
      <x:c r="D2808" s="22" t="str">
        <x:v>平和县</x:v>
      </x:c>
      <x:c r="E2808" s="22" t="str">
        <x:v>农用地</x:v>
      </x:c>
      <x:c r="F2808" s="22" t="str">
        <x:v>园地</x:v>
      </x:c>
      <x:c r="G2808" s="32" t="str">
        <x:v>201</x:v>
      </x:c>
      <x:c r="H2808" s="32" t="str">
        <x:v>201</x:v>
      </x:c>
      <x:c r="I2808" s="22" t="str">
        <x:v>果园</x:v>
      </x:c>
      <x:c r="J2808" s="22" t="str">
        <x:v>农业生态</x:v>
      </x:c>
      <x:c r="K2808" s="32" t="str">
        <x:v>202</x:v>
      </x:c>
      <x:c r="L2808" s="22" t="str">
        <x:v>建制镇范围</x:v>
      </x:c>
      <x:c r="M2808" s="33" t="n">
        <x:v>329477.76</x:v>
      </x:c>
      <x:c r="N2808" s="33" t="n">
        <x:v>32.947776</x:v>
      </x:c>
      <x:c r="O2808" s="22" t="str">
        <x:v>公顷</x:v>
      </x:c>
      <x:c r="P2808" s="22" t="str">
        <x:v>未提供（单期横截面）</x:v>
      </x:c>
      <x:c r="Q2808" s="23" t="n">
        <x:v>5787</x:v>
      </x:c>
    </x:row>
    <x:row r="2809">
      <x:c r="A2809" s="30" t="n">
        <x:v>350600</x:v>
      </x:c>
      <x:c r="B2809" s="22" t="str">
        <x:v>漳州市</x:v>
      </x:c>
      <x:c r="C2809" s="31" t="n">
        <x:v>350628</x:v>
      </x:c>
      <x:c r="D2809" s="22" t="str">
        <x:v>平和县</x:v>
      </x:c>
      <x:c r="E2809" s="22" t="str">
        <x:v>农用地</x:v>
      </x:c>
      <x:c r="F2809" s="22" t="str">
        <x:v>园地</x:v>
      </x:c>
      <x:c r="G2809" s="32" t="str">
        <x:v>0201K</x:v>
      </x:c>
      <x:c r="H2809" s="32" t="str">
        <x:v>201</x:v>
      </x:c>
      <x:c r="I2809" s="22" t="str">
        <x:v>可调整果园</x:v>
      </x:c>
      <x:c r="J2809" s="22" t="str">
        <x:v>农业生态</x:v>
      </x:c>
      <x:c r="K2809" s="32" t="str">
        <x:v>202</x:v>
      </x:c>
      <x:c r="L2809" s="22" t="str">
        <x:v>建制镇范围</x:v>
      </x:c>
      <x:c r="M2809" s="33" t="n">
        <x:v>24569.469999999998</x:v>
      </x:c>
      <x:c r="N2809" s="33" t="n">
        <x:v>2.4569469999999995</x:v>
      </x:c>
      <x:c r="O2809" s="22" t="str">
        <x:v>公顷</x:v>
      </x:c>
      <x:c r="P2809" s="22" t="str">
        <x:v>未提供（单期横截面）</x:v>
      </x:c>
      <x:c r="Q2809" s="23" t="n">
        <x:v>5788</x:v>
      </x:c>
    </x:row>
    <x:row r="2810">
      <x:c r="A2810" s="30" t="n">
        <x:v>350600</x:v>
      </x:c>
      <x:c r="B2810" s="22" t="str">
        <x:v>漳州市</x:v>
      </x:c>
      <x:c r="C2810" s="31" t="n">
        <x:v>350628</x:v>
      </x:c>
      <x:c r="D2810" s="22" t="str">
        <x:v>平和县</x:v>
      </x:c>
      <x:c r="E2810" s="22" t="str">
        <x:v>农用地</x:v>
      </x:c>
      <x:c r="F2810" s="22" t="str">
        <x:v>园地</x:v>
      </x:c>
      <x:c r="G2810" s="32" t="str">
        <x:v>204</x:v>
      </x:c>
      <x:c r="H2810" s="32" t="str">
        <x:v>204</x:v>
      </x:c>
      <x:c r="I2810" s="22" t="str">
        <x:v>其他园地</x:v>
      </x:c>
      <x:c r="J2810" s="22" t="str">
        <x:v>农业生态</x:v>
      </x:c>
      <x:c r="K2810" s="32" t="str">
        <x:v>202</x:v>
      </x:c>
      <x:c r="L2810" s="22" t="str">
        <x:v>建制镇范围</x:v>
      </x:c>
      <x:c r="M2810" s="33" t="n">
        <x:v>1589.4</x:v>
      </x:c>
      <x:c r="N2810" s="33" t="n">
        <x:v>0.15894</x:v>
      </x:c>
      <x:c r="O2810" s="22" t="str">
        <x:v>公顷</x:v>
      </x:c>
      <x:c r="P2810" s="22" t="str">
        <x:v>未提供（单期横截面）</x:v>
      </x:c>
      <x:c r="Q2810" s="23" t="n">
        <x:v>5789</x:v>
      </x:c>
    </x:row>
    <x:row r="2811">
      <x:c r="A2811" s="30" t="n">
        <x:v>350600</x:v>
      </x:c>
      <x:c r="B2811" s="22" t="str">
        <x:v>漳州市</x:v>
      </x:c>
      <x:c r="C2811" s="31" t="n">
        <x:v>350628</x:v>
      </x:c>
      <x:c r="D2811" s="22" t="str">
        <x:v>平和县</x:v>
      </x:c>
      <x:c r="E2811" s="22" t="str">
        <x:v>农用地</x:v>
      </x:c>
      <x:c r="F2811" s="22" t="str">
        <x:v>林地</x:v>
      </x:c>
      <x:c r="G2811" s="32" t="str">
        <x:v>301</x:v>
      </x:c>
      <x:c r="H2811" s="32" t="str">
        <x:v>301</x:v>
      </x:c>
      <x:c r="I2811" s="22" t="str">
        <x:v>乔木林地</x:v>
      </x:c>
      <x:c r="J2811" s="22" t="str">
        <x:v>农业生态</x:v>
      </x:c>
      <x:c r="K2811" s="32" t="str">
        <x:v>202</x:v>
      </x:c>
      <x:c r="L2811" s="22" t="str">
        <x:v>建制镇范围</x:v>
      </x:c>
      <x:c r="M2811" s="33" t="n">
        <x:v>23282.44</x:v>
      </x:c>
      <x:c r="N2811" s="33" t="n">
        <x:v>2.3282439999999998</x:v>
      </x:c>
      <x:c r="O2811" s="22" t="str">
        <x:v>公顷</x:v>
      </x:c>
      <x:c r="P2811" s="22" t="str">
        <x:v>未提供（单期横截面）</x:v>
      </x:c>
      <x:c r="Q2811" s="23" t="n">
        <x:v>5790</x:v>
      </x:c>
    </x:row>
    <x:row r="2812">
      <x:c r="A2812" s="30" t="n">
        <x:v>350600</x:v>
      </x:c>
      <x:c r="B2812" s="22" t="str">
        <x:v>漳州市</x:v>
      </x:c>
      <x:c r="C2812" s="31" t="n">
        <x:v>350628</x:v>
      </x:c>
      <x:c r="D2812" s="22" t="str">
        <x:v>平和县</x:v>
      </x:c>
      <x:c r="E2812" s="22" t="str">
        <x:v>农用地</x:v>
      </x:c>
      <x:c r="F2812" s="22" t="str">
        <x:v>林地</x:v>
      </x:c>
      <x:c r="G2812" s="32" t="str">
        <x:v>305</x:v>
      </x:c>
      <x:c r="H2812" s="32" t="str">
        <x:v>305</x:v>
      </x:c>
      <x:c r="I2812" s="22" t="str">
        <x:v>灌木林地</x:v>
      </x:c>
      <x:c r="J2812" s="22" t="str">
        <x:v>农业生态</x:v>
      </x:c>
      <x:c r="K2812" s="32" t="str">
        <x:v>202</x:v>
      </x:c>
      <x:c r="L2812" s="22" t="str">
        <x:v>建制镇范围</x:v>
      </x:c>
      <x:c r="M2812" s="33" t="n">
        <x:v>3727.26</x:v>
      </x:c>
      <x:c r="N2812" s="33" t="n">
        <x:v>0.372726</x:v>
      </x:c>
      <x:c r="O2812" s="22" t="str">
        <x:v>公顷</x:v>
      </x:c>
      <x:c r="P2812" s="22" t="str">
        <x:v>未提供（单期横截面）</x:v>
      </x:c>
      <x:c r="Q2812" s="23" t="n">
        <x:v>5791</x:v>
      </x:c>
    </x:row>
    <x:row r="2813">
      <x:c r="A2813" s="30" t="n">
        <x:v>350600</x:v>
      </x:c>
      <x:c r="B2813" s="22" t="str">
        <x:v>漳州市</x:v>
      </x:c>
      <x:c r="C2813" s="31" t="n">
        <x:v>350628</x:v>
      </x:c>
      <x:c r="D2813" s="22" t="str">
        <x:v>平和县</x:v>
      </x:c>
      <x:c r="E2813" s="22" t="str">
        <x:v>农用地</x:v>
      </x:c>
      <x:c r="F2813" s="22" t="str">
        <x:v>林地</x:v>
      </x:c>
      <x:c r="G2813" s="32" t="str">
        <x:v>307</x:v>
      </x:c>
      <x:c r="H2813" s="32" t="str">
        <x:v>307</x:v>
      </x:c>
      <x:c r="I2813" s="22" t="str">
        <x:v>其他林地</x:v>
      </x:c>
      <x:c r="J2813" s="22" t="str">
        <x:v>农业生态</x:v>
      </x:c>
      <x:c r="K2813" s="32" t="str">
        <x:v>202</x:v>
      </x:c>
      <x:c r="L2813" s="22" t="str">
        <x:v>建制镇范围</x:v>
      </x:c>
      <x:c r="M2813" s="33" t="n">
        <x:v>8265.76</x:v>
      </x:c>
      <x:c r="N2813" s="33" t="n">
        <x:v>0.826576</x:v>
      </x:c>
      <x:c r="O2813" s="22" t="str">
        <x:v>公顷</x:v>
      </x:c>
      <x:c r="P2813" s="22" t="str">
        <x:v>未提供（单期横截面）</x:v>
      </x:c>
      <x:c r="Q2813" s="23" t="n">
        <x:v>5792</x:v>
      </x:c>
    </x:row>
    <x:row r="2814">
      <x:c r="A2814" s="30" t="n">
        <x:v>350600</x:v>
      </x:c>
      <x:c r="B2814" s="22" t="str">
        <x:v>漳州市</x:v>
      </x:c>
      <x:c r="C2814" s="31" t="n">
        <x:v>350628</x:v>
      </x:c>
      <x:c r="D2814" s="22" t="str">
        <x:v>平和县</x:v>
      </x:c>
      <x:c r="E2814" s="22" t="str">
        <x:v>农用地</x:v>
      </x:c>
      <x:c r="F2814" s="22" t="str">
        <x:v>其他农用地</x:v>
      </x:c>
      <x:c r="G2814" s="32" t="str">
        <x:v>1006</x:v>
      </x:c>
      <x:c r="H2814" s="32" t="str">
        <x:v>1006</x:v>
      </x:c>
      <x:c r="I2814" s="22" t="str">
        <x:v>农村道路</x:v>
      </x:c>
      <x:c r="J2814" s="22" t="str">
        <x:v>农业生态</x:v>
      </x:c>
      <x:c r="K2814" s="32" t="str">
        <x:v>202</x:v>
      </x:c>
      <x:c r="L2814" s="22" t="str">
        <x:v>建制镇范围</x:v>
      </x:c>
      <x:c r="M2814" s="33" t="n">
        <x:v>1392.77</x:v>
      </x:c>
      <x:c r="N2814" s="33" t="n">
        <x:v>0.139277</x:v>
      </x:c>
      <x:c r="O2814" s="22" t="str">
        <x:v>公顷</x:v>
      </x:c>
      <x:c r="P2814" s="22" t="str">
        <x:v>未提供（单期横截面）</x:v>
      </x:c>
      <x:c r="Q2814" s="23" t="n">
        <x:v>5793</x:v>
      </x:c>
    </x:row>
    <x:row r="2815">
      <x:c r="A2815" s="30" t="n">
        <x:v>350600</x:v>
      </x:c>
      <x:c r="B2815" s="22" t="str">
        <x:v>漳州市</x:v>
      </x:c>
      <x:c r="C2815" s="31" t="n">
        <x:v>350628</x:v>
      </x:c>
      <x:c r="D2815" s="22" t="str">
        <x:v>平和县</x:v>
      </x:c>
      <x:c r="E2815" s="22" t="str">
        <x:v>农用地</x:v>
      </x:c>
      <x:c r="F2815" s="22" t="str">
        <x:v>水域及水利设施</x:v>
      </x:c>
      <x:c r="G2815" s="32" t="str">
        <x:v>1104</x:v>
      </x:c>
      <x:c r="H2815" s="32" t="str">
        <x:v>1104</x:v>
      </x:c>
      <x:c r="I2815" s="22" t="str">
        <x:v>坑塘水面</x:v>
      </x:c>
      <x:c r="J2815" s="22" t="str">
        <x:v>农业生态</x:v>
      </x:c>
      <x:c r="K2815" s="32" t="str">
        <x:v>202</x:v>
      </x:c>
      <x:c r="L2815" s="22" t="str">
        <x:v>建制镇范围</x:v>
      </x:c>
      <x:c r="M2815" s="33" t="n">
        <x:v>20119.039999999997</x:v>
      </x:c>
      <x:c r="N2815" s="33" t="n">
        <x:v>2.011904</x:v>
      </x:c>
      <x:c r="O2815" s="22" t="str">
        <x:v>公顷</x:v>
      </x:c>
      <x:c r="P2815" s="22" t="str">
        <x:v>未提供（单期横截面）</x:v>
      </x:c>
      <x:c r="Q2815" s="23" t="n">
        <x:v>5794</x:v>
      </x:c>
    </x:row>
    <x:row r="2816">
      <x:c r="A2816" s="30" t="n">
        <x:v>350600</x:v>
      </x:c>
      <x:c r="B2816" s="22" t="str">
        <x:v>漳州市</x:v>
      </x:c>
      <x:c r="C2816" s="31" t="n">
        <x:v>350628</x:v>
      </x:c>
      <x:c r="D2816" s="22" t="str">
        <x:v>平和县</x:v>
      </x:c>
      <x:c r="E2816" s="22" t="str">
        <x:v>农用地</x:v>
      </x:c>
      <x:c r="F2816" s="22" t="str">
        <x:v>水域及水利设施</x:v>
      </x:c>
      <x:c r="G2816" s="32" t="str">
        <x:v>1107</x:v>
      </x:c>
      <x:c r="H2816" s="32" t="str">
        <x:v>1107</x:v>
      </x:c>
      <x:c r="I2816" s="22" t="str">
        <x:v>沟渠</x:v>
      </x:c>
      <x:c r="J2816" s="22" t="str">
        <x:v>农业生态</x:v>
      </x:c>
      <x:c r="K2816" s="32" t="str">
        <x:v>202</x:v>
      </x:c>
      <x:c r="L2816" s="22" t="str">
        <x:v>建制镇范围</x:v>
      </x:c>
      <x:c r="M2816" s="33" t="n">
        <x:v>671.72</x:v>
      </x:c>
      <x:c r="N2816" s="33" t="n">
        <x:v>0.06717200000000001</x:v>
      </x:c>
      <x:c r="O2816" s="22" t="str">
        <x:v>公顷</x:v>
      </x:c>
      <x:c r="P2816" s="22" t="str">
        <x:v>未提供（单期横截面）</x:v>
      </x:c>
      <x:c r="Q2816" s="23" t="n">
        <x:v>5795</x:v>
      </x:c>
    </x:row>
    <x:row r="2817">
      <x:c r="A2817" s="30" t="n">
        <x:v>350600</x:v>
      </x:c>
      <x:c r="B2817" s="22" t="str">
        <x:v>漳州市</x:v>
      </x:c>
      <x:c r="C2817" s="31" t="n">
        <x:v>350628</x:v>
      </x:c>
      <x:c r="D2817" s="22" t="str">
        <x:v>平和县</x:v>
      </x:c>
      <x:c r="E2817" s="22" t="str">
        <x:v>农用地</x:v>
      </x:c>
      <x:c r="F2817" s="22" t="str">
        <x:v>其他农用地</x:v>
      </x:c>
      <x:c r="G2817" s="32" t="str">
        <x:v>1202</x:v>
      </x:c>
      <x:c r="H2817" s="32" t="str">
        <x:v>1202</x:v>
      </x:c>
      <x:c r="I2817" s="22" t="str">
        <x:v>设施农用地</x:v>
      </x:c>
      <x:c r="J2817" s="22" t="str">
        <x:v>农业生态</x:v>
      </x:c>
      <x:c r="K2817" s="32" t="str">
        <x:v>202</x:v>
      </x:c>
      <x:c r="L2817" s="22" t="str">
        <x:v>建制镇范围</x:v>
      </x:c>
      <x:c r="M2817" s="33" t="n">
        <x:v>3137.91</x:v>
      </x:c>
      <x:c r="N2817" s="33" t="n">
        <x:v>0.313791</x:v>
      </x:c>
      <x:c r="O2817" s="22" t="str">
        <x:v>公顷</x:v>
      </x:c>
      <x:c r="P2817" s="22" t="str">
        <x:v>未提供（单期横截面）</x:v>
      </x:c>
      <x:c r="Q2817" s="23" t="n">
        <x:v>5796</x:v>
      </x:c>
    </x:row>
    <x:row r="2818">
      <x:c r="A2818" s="30" t="n">
        <x:v>350600</x:v>
      </x:c>
      <x:c r="B2818" s="22" t="str">
        <x:v>漳州市</x:v>
      </x:c>
      <x:c r="C2818" s="31" t="n">
        <x:v>350628</x:v>
      </x:c>
      <x:c r="D2818" s="22" t="str">
        <x:v>平和县</x:v>
      </x:c>
      <x:c r="E2818" s="22" t="str">
        <x:v>农用地</x:v>
      </x:c>
      <x:c r="F2818" s="22" t="str">
        <x:v>耕地</x:v>
      </x:c>
      <x:c r="G2818" s="32" t="str">
        <x:v>101</x:v>
      </x:c>
      <x:c r="H2818" s="32" t="str">
        <x:v>101</x:v>
      </x:c>
      <x:c r="I2818" s="22" t="str">
        <x:v>水田</x:v>
      </x:c>
      <x:c r="J2818" s="22" t="str">
        <x:v>农业生态</x:v>
      </x:c>
      <x:c r="K2818" s="32" t="str">
        <x:v>203</x:v>
      </x:c>
      <x:c r="L2818" s="22" t="str">
        <x:v>村庄范围</x:v>
      </x:c>
      <x:c r="M2818" s="33" t="n">
        <x:v>71775.62</x:v>
      </x:c>
      <x:c r="N2818" s="33" t="n">
        <x:v>7.177561999999999</x:v>
      </x:c>
      <x:c r="O2818" s="22" t="str">
        <x:v>公顷</x:v>
      </x:c>
      <x:c r="P2818" s="22" t="str">
        <x:v>未提供（单期横截面）</x:v>
      </x:c>
      <x:c r="Q2818" s="23" t="n">
        <x:v>5797</x:v>
      </x:c>
    </x:row>
    <x:row r="2819">
      <x:c r="A2819" s="30" t="n">
        <x:v>350600</x:v>
      </x:c>
      <x:c r="B2819" s="22" t="str">
        <x:v>漳州市</x:v>
      </x:c>
      <x:c r="C2819" s="31" t="n">
        <x:v>350628</x:v>
      </x:c>
      <x:c r="D2819" s="22" t="str">
        <x:v>平和县</x:v>
      </x:c>
      <x:c r="E2819" s="22" t="str">
        <x:v>农用地</x:v>
      </x:c>
      <x:c r="F2819" s="22" t="str">
        <x:v>耕地</x:v>
      </x:c>
      <x:c r="G2819" s="32" t="str">
        <x:v>102</x:v>
      </x:c>
      <x:c r="H2819" s="32" t="str">
        <x:v>102</x:v>
      </x:c>
      <x:c r="I2819" s="22" t="str">
        <x:v>水浇地</x:v>
      </x:c>
      <x:c r="J2819" s="22" t="str">
        <x:v>农业生态</x:v>
      </x:c>
      <x:c r="K2819" s="32" t="str">
        <x:v>203</x:v>
      </x:c>
      <x:c r="L2819" s="22" t="str">
        <x:v>村庄范围</x:v>
      </x:c>
      <x:c r="M2819" s="33" t="n">
        <x:v>6387.68</x:v>
      </x:c>
      <x:c r="N2819" s="33" t="n">
        <x:v>0.638768</x:v>
      </x:c>
      <x:c r="O2819" s="22" t="str">
        <x:v>公顷</x:v>
      </x:c>
      <x:c r="P2819" s="22" t="str">
        <x:v>未提供（单期横截面）</x:v>
      </x:c>
      <x:c r="Q2819" s="23" t="n">
        <x:v>5798</x:v>
      </x:c>
    </x:row>
    <x:row r="2820">
      <x:c r="A2820" s="30" t="n">
        <x:v>350600</x:v>
      </x:c>
      <x:c r="B2820" s="22" t="str">
        <x:v>漳州市</x:v>
      </x:c>
      <x:c r="C2820" s="31" t="n">
        <x:v>350628</x:v>
      </x:c>
      <x:c r="D2820" s="22" t="str">
        <x:v>平和县</x:v>
      </x:c>
      <x:c r="E2820" s="22" t="str">
        <x:v>农用地</x:v>
      </x:c>
      <x:c r="F2820" s="22" t="str">
        <x:v>耕地</x:v>
      </x:c>
      <x:c r="G2820" s="32" t="str">
        <x:v>103</x:v>
      </x:c>
      <x:c r="H2820" s="32" t="str">
        <x:v>103</x:v>
      </x:c>
      <x:c r="I2820" s="22" t="str">
        <x:v>旱地</x:v>
      </x:c>
      <x:c r="J2820" s="22" t="str">
        <x:v>农业生态</x:v>
      </x:c>
      <x:c r="K2820" s="32" t="str">
        <x:v>203</x:v>
      </x:c>
      <x:c r="L2820" s="22" t="str">
        <x:v>村庄范围</x:v>
      </x:c>
      <x:c r="M2820" s="33" t="n">
        <x:v>69913.86</x:v>
      </x:c>
      <x:c r="N2820" s="33" t="n">
        <x:v>6.991386</x:v>
      </x:c>
      <x:c r="O2820" s="22" t="str">
        <x:v>公顷</x:v>
      </x:c>
      <x:c r="P2820" s="22" t="str">
        <x:v>未提供（单期横截面）</x:v>
      </x:c>
      <x:c r="Q2820" s="23" t="n">
        <x:v>5799</x:v>
      </x:c>
    </x:row>
    <x:row r="2821">
      <x:c r="A2821" s="30" t="n">
        <x:v>350600</x:v>
      </x:c>
      <x:c r="B2821" s="22" t="str">
        <x:v>漳州市</x:v>
      </x:c>
      <x:c r="C2821" s="31" t="n">
        <x:v>350628</x:v>
      </x:c>
      <x:c r="D2821" s="22" t="str">
        <x:v>平和县</x:v>
      </x:c>
      <x:c r="E2821" s="22" t="str">
        <x:v>农用地</x:v>
      </x:c>
      <x:c r="F2821" s="22" t="str">
        <x:v>园地</x:v>
      </x:c>
      <x:c r="G2821" s="32" t="str">
        <x:v>201</x:v>
      </x:c>
      <x:c r="H2821" s="32" t="str">
        <x:v>201</x:v>
      </x:c>
      <x:c r="I2821" s="22" t="str">
        <x:v>果园</x:v>
      </x:c>
      <x:c r="J2821" s="22" t="str">
        <x:v>农业生态</x:v>
      </x:c>
      <x:c r="K2821" s="32" t="str">
        <x:v>203</x:v>
      </x:c>
      <x:c r="L2821" s="22" t="str">
        <x:v>村庄范围</x:v>
      </x:c>
      <x:c r="M2821" s="33" t="n">
        <x:v>285404.1300000001</x:v>
      </x:c>
      <x:c r="N2821" s="33" t="n">
        <x:v>28.54041300000001</x:v>
      </x:c>
      <x:c r="O2821" s="22" t="str">
        <x:v>公顷</x:v>
      </x:c>
      <x:c r="P2821" s="22" t="str">
        <x:v>未提供（单期横截面）</x:v>
      </x:c>
      <x:c r="Q2821" s="23" t="n">
        <x:v>5800</x:v>
      </x:c>
    </x:row>
    <x:row r="2822">
      <x:c r="A2822" s="30" t="n">
        <x:v>350600</x:v>
      </x:c>
      <x:c r="B2822" s="22" t="str">
        <x:v>漳州市</x:v>
      </x:c>
      <x:c r="C2822" s="31" t="n">
        <x:v>350628</x:v>
      </x:c>
      <x:c r="D2822" s="22" t="str">
        <x:v>平和县</x:v>
      </x:c>
      <x:c r="E2822" s="22" t="str">
        <x:v>农用地</x:v>
      </x:c>
      <x:c r="F2822" s="22" t="str">
        <x:v>园地</x:v>
      </x:c>
      <x:c r="G2822" s="32" t="str">
        <x:v>0201K</x:v>
      </x:c>
      <x:c r="H2822" s="32" t="str">
        <x:v>201</x:v>
      </x:c>
      <x:c r="I2822" s="22" t="str">
        <x:v>可调整果园</x:v>
      </x:c>
      <x:c r="J2822" s="22" t="str">
        <x:v>农业生态</x:v>
      </x:c>
      <x:c r="K2822" s="32" t="str">
        <x:v>203</x:v>
      </x:c>
      <x:c r="L2822" s="22" t="str">
        <x:v>村庄范围</x:v>
      </x:c>
      <x:c r="M2822" s="33" t="n">
        <x:v>10301.21</x:v>
      </x:c>
      <x:c r="N2822" s="33" t="n">
        <x:v>1.0301209999999998</x:v>
      </x:c>
      <x:c r="O2822" s="22" t="str">
        <x:v>公顷</x:v>
      </x:c>
      <x:c r="P2822" s="22" t="str">
        <x:v>未提供（单期横截面）</x:v>
      </x:c>
      <x:c r="Q2822" s="23" t="n">
        <x:v>5801</x:v>
      </x:c>
    </x:row>
    <x:row r="2823">
      <x:c r="A2823" s="30" t="n">
        <x:v>350600</x:v>
      </x:c>
      <x:c r="B2823" s="22" t="str">
        <x:v>漳州市</x:v>
      </x:c>
      <x:c r="C2823" s="31" t="n">
        <x:v>350628</x:v>
      </x:c>
      <x:c r="D2823" s="22" t="str">
        <x:v>平和县</x:v>
      </x:c>
      <x:c r="E2823" s="22" t="str">
        <x:v>农用地</x:v>
      </x:c>
      <x:c r="F2823" s="22" t="str">
        <x:v>园地</x:v>
      </x:c>
      <x:c r="G2823" s="32" t="str">
        <x:v>202</x:v>
      </x:c>
      <x:c r="H2823" s="32" t="str">
        <x:v>202</x:v>
      </x:c>
      <x:c r="I2823" s="22" t="str">
        <x:v>茶园</x:v>
      </x:c>
      <x:c r="J2823" s="22" t="str">
        <x:v>农业生态</x:v>
      </x:c>
      <x:c r="K2823" s="32" t="str">
        <x:v>203</x:v>
      </x:c>
      <x:c r="L2823" s="22" t="str">
        <x:v>村庄范围</x:v>
      </x:c>
      <x:c r="M2823" s="33" t="n">
        <x:v>602.44</x:v>
      </x:c>
      <x:c r="N2823" s="33" t="n">
        <x:v>0.060244000000000006</x:v>
      </x:c>
      <x:c r="O2823" s="22" t="str">
        <x:v>公顷</x:v>
      </x:c>
      <x:c r="P2823" s="22" t="str">
        <x:v>未提供（单期横截面）</x:v>
      </x:c>
      <x:c r="Q2823" s="23" t="n">
        <x:v>5802</x:v>
      </x:c>
    </x:row>
    <x:row r="2824">
      <x:c r="A2824" s="30" t="n">
        <x:v>350600</x:v>
      </x:c>
      <x:c r="B2824" s="22" t="str">
        <x:v>漳州市</x:v>
      </x:c>
      <x:c r="C2824" s="31" t="n">
        <x:v>350628</x:v>
      </x:c>
      <x:c r="D2824" s="22" t="str">
        <x:v>平和县</x:v>
      </x:c>
      <x:c r="E2824" s="22" t="str">
        <x:v>农用地</x:v>
      </x:c>
      <x:c r="F2824" s="22" t="str">
        <x:v>园地</x:v>
      </x:c>
      <x:c r="G2824" s="32" t="str">
        <x:v>204</x:v>
      </x:c>
      <x:c r="H2824" s="32" t="str">
        <x:v>204</x:v>
      </x:c>
      <x:c r="I2824" s="22" t="str">
        <x:v>其他园地</x:v>
      </x:c>
      <x:c r="J2824" s="22" t="str">
        <x:v>农业生态</x:v>
      </x:c>
      <x:c r="K2824" s="32" t="str">
        <x:v>203</x:v>
      </x:c>
      <x:c r="L2824" s="22" t="str">
        <x:v>村庄范围</x:v>
      </x:c>
      <x:c r="M2824" s="33" t="n">
        <x:v>534.44</x:v>
      </x:c>
      <x:c r="N2824" s="33" t="n">
        <x:v>0.053444000000000005</x:v>
      </x:c>
      <x:c r="O2824" s="22" t="str">
        <x:v>公顷</x:v>
      </x:c>
      <x:c r="P2824" s="22" t="str">
        <x:v>未提供（单期横截面）</x:v>
      </x:c>
      <x:c r="Q2824" s="23" t="n">
        <x:v>5803</x:v>
      </x:c>
    </x:row>
    <x:row r="2825">
      <x:c r="A2825" s="30" t="n">
        <x:v>350600</x:v>
      </x:c>
      <x:c r="B2825" s="22" t="str">
        <x:v>漳州市</x:v>
      </x:c>
      <x:c r="C2825" s="31" t="n">
        <x:v>350628</x:v>
      </x:c>
      <x:c r="D2825" s="22" t="str">
        <x:v>平和县</x:v>
      </x:c>
      <x:c r="E2825" s="22" t="str">
        <x:v>农用地</x:v>
      </x:c>
      <x:c r="F2825" s="22" t="str">
        <x:v>林地</x:v>
      </x:c>
      <x:c r="G2825" s="32" t="str">
        <x:v>301</x:v>
      </x:c>
      <x:c r="H2825" s="32" t="str">
        <x:v>301</x:v>
      </x:c>
      <x:c r="I2825" s="22" t="str">
        <x:v>乔木林地</x:v>
      </x:c>
      <x:c r="J2825" s="22" t="str">
        <x:v>农业生态</x:v>
      </x:c>
      <x:c r="K2825" s="32" t="str">
        <x:v>203</x:v>
      </x:c>
      <x:c r="L2825" s="22" t="str">
        <x:v>村庄范围</x:v>
      </x:c>
      <x:c r="M2825" s="33" t="n">
        <x:v>41609.020000000004</x:v>
      </x:c>
      <x:c r="N2825" s="33" t="n">
        <x:v>4.160902</x:v>
      </x:c>
      <x:c r="O2825" s="22" t="str">
        <x:v>公顷</x:v>
      </x:c>
      <x:c r="P2825" s="22" t="str">
        <x:v>未提供（单期横截面）</x:v>
      </x:c>
      <x:c r="Q2825" s="23" t="n">
        <x:v>5804</x:v>
      </x:c>
    </x:row>
    <x:row r="2826">
      <x:c r="A2826" s="30" t="n">
        <x:v>350600</x:v>
      </x:c>
      <x:c r="B2826" s="22" t="str">
        <x:v>漳州市</x:v>
      </x:c>
      <x:c r="C2826" s="31" t="n">
        <x:v>350628</x:v>
      </x:c>
      <x:c r="D2826" s="22" t="str">
        <x:v>平和县</x:v>
      </x:c>
      <x:c r="E2826" s="22" t="str">
        <x:v>农用地</x:v>
      </x:c>
      <x:c r="F2826" s="22" t="str">
        <x:v>林地</x:v>
      </x:c>
      <x:c r="G2826" s="32" t="str">
        <x:v>302</x:v>
      </x:c>
      <x:c r="H2826" s="32" t="str">
        <x:v>302</x:v>
      </x:c>
      <x:c r="I2826" s="22" t="str">
        <x:v>竹林地</x:v>
      </x:c>
      <x:c r="J2826" s="22" t="str">
        <x:v>农业生态</x:v>
      </x:c>
      <x:c r="K2826" s="32" t="str">
        <x:v>203</x:v>
      </x:c>
      <x:c r="L2826" s="22" t="str">
        <x:v>村庄范围</x:v>
      </x:c>
      <x:c r="M2826" s="33" t="n">
        <x:v>2572.89</x:v>
      </x:c>
      <x:c r="N2826" s="33" t="n">
        <x:v>0.257289</x:v>
      </x:c>
      <x:c r="O2826" s="22" t="str">
        <x:v>公顷</x:v>
      </x:c>
      <x:c r="P2826" s="22" t="str">
        <x:v>未提供（单期横截面）</x:v>
      </x:c>
      <x:c r="Q2826" s="23" t="n">
        <x:v>5805</x:v>
      </x:c>
    </x:row>
    <x:row r="2827">
      <x:c r="A2827" s="30" t="n">
        <x:v>350600</x:v>
      </x:c>
      <x:c r="B2827" s="22" t="str">
        <x:v>漳州市</x:v>
      </x:c>
      <x:c r="C2827" s="31" t="n">
        <x:v>350628</x:v>
      </x:c>
      <x:c r="D2827" s="22" t="str">
        <x:v>平和县</x:v>
      </x:c>
      <x:c r="E2827" s="22" t="str">
        <x:v>农用地</x:v>
      </x:c>
      <x:c r="F2827" s="22" t="str">
        <x:v>林地</x:v>
      </x:c>
      <x:c r="G2827" s="32" t="str">
        <x:v>305</x:v>
      </x:c>
      <x:c r="H2827" s="32" t="str">
        <x:v>305</x:v>
      </x:c>
      <x:c r="I2827" s="22" t="str">
        <x:v>灌木林地</x:v>
      </x:c>
      <x:c r="J2827" s="22" t="str">
        <x:v>农业生态</x:v>
      </x:c>
      <x:c r="K2827" s="32" t="str">
        <x:v>203</x:v>
      </x:c>
      <x:c r="L2827" s="22" t="str">
        <x:v>村庄范围</x:v>
      </x:c>
      <x:c r="M2827" s="33" t="n">
        <x:v>540.53</x:v>
      </x:c>
      <x:c r="N2827" s="33" t="n">
        <x:v>0.054053</x:v>
      </x:c>
      <x:c r="O2827" s="22" t="str">
        <x:v>公顷</x:v>
      </x:c>
      <x:c r="P2827" s="22" t="str">
        <x:v>未提供（单期横截面）</x:v>
      </x:c>
      <x:c r="Q2827" s="23" t="n">
        <x:v>5806</x:v>
      </x:c>
    </x:row>
    <x:row r="2828">
      <x:c r="A2828" s="30" t="n">
        <x:v>350600</x:v>
      </x:c>
      <x:c r="B2828" s="22" t="str">
        <x:v>漳州市</x:v>
      </x:c>
      <x:c r="C2828" s="31" t="n">
        <x:v>350628</x:v>
      </x:c>
      <x:c r="D2828" s="22" t="str">
        <x:v>平和县</x:v>
      </x:c>
      <x:c r="E2828" s="22" t="str">
        <x:v>农用地</x:v>
      </x:c>
      <x:c r="F2828" s="22" t="str">
        <x:v>林地</x:v>
      </x:c>
      <x:c r="G2828" s="32" t="str">
        <x:v>307</x:v>
      </x:c>
      <x:c r="H2828" s="32" t="str">
        <x:v>307</x:v>
      </x:c>
      <x:c r="I2828" s="22" t="str">
        <x:v>其他林地</x:v>
      </x:c>
      <x:c r="J2828" s="22" t="str">
        <x:v>农业生态</x:v>
      </x:c>
      <x:c r="K2828" s="32" t="str">
        <x:v>203</x:v>
      </x:c>
      <x:c r="L2828" s="22" t="str">
        <x:v>村庄范围</x:v>
      </x:c>
      <x:c r="M2828" s="33" t="n">
        <x:v>7293.47</x:v>
      </x:c>
      <x:c r="N2828" s="33" t="n">
        <x:v>0.7293470000000001</x:v>
      </x:c>
      <x:c r="O2828" s="22" t="str">
        <x:v>公顷</x:v>
      </x:c>
      <x:c r="P2828" s="22" t="str">
        <x:v>未提供（单期横截面）</x:v>
      </x:c>
      <x:c r="Q2828" s="23" t="n">
        <x:v>5807</x:v>
      </x:c>
    </x:row>
    <x:row r="2829">
      <x:c r="A2829" s="30" t="n">
        <x:v>350600</x:v>
      </x:c>
      <x:c r="B2829" s="22" t="str">
        <x:v>漳州市</x:v>
      </x:c>
      <x:c r="C2829" s="31" t="n">
        <x:v>350628</x:v>
      </x:c>
      <x:c r="D2829" s="22" t="str">
        <x:v>平和县</x:v>
      </x:c>
      <x:c r="E2829" s="22" t="str">
        <x:v>农用地</x:v>
      </x:c>
      <x:c r="F2829" s="22" t="str">
        <x:v>水域及水利设施</x:v>
      </x:c>
      <x:c r="G2829" s="32" t="str">
        <x:v>1104</x:v>
      </x:c>
      <x:c r="H2829" s="32" t="str">
        <x:v>1104</x:v>
      </x:c>
      <x:c r="I2829" s="22" t="str">
        <x:v>坑塘水面</x:v>
      </x:c>
      <x:c r="J2829" s="22" t="str">
        <x:v>农业生态</x:v>
      </x:c>
      <x:c r="K2829" s="32" t="str">
        <x:v>203</x:v>
      </x:c>
      <x:c r="L2829" s="22" t="str">
        <x:v>村庄范围</x:v>
      </x:c>
      <x:c r="M2829" s="33" t="n">
        <x:v>42395.66</x:v>
      </x:c>
      <x:c r="N2829" s="33" t="n">
        <x:v>4.239566</x:v>
      </x:c>
      <x:c r="O2829" s="22" t="str">
        <x:v>公顷</x:v>
      </x:c>
      <x:c r="P2829" s="22" t="str">
        <x:v>未提供（单期横截面）</x:v>
      </x:c>
      <x:c r="Q2829" s="23" t="n">
        <x:v>5808</x:v>
      </x:c>
    </x:row>
    <x:row r="2830">
      <x:c r="A2830" s="30" t="n">
        <x:v>350600</x:v>
      </x:c>
      <x:c r="B2830" s="22" t="str">
        <x:v>漳州市</x:v>
      </x:c>
      <x:c r="C2830" s="31" t="n">
        <x:v>350628</x:v>
      </x:c>
      <x:c r="D2830" s="22" t="str">
        <x:v>平和县</x:v>
      </x:c>
      <x:c r="E2830" s="22" t="str">
        <x:v>农用地</x:v>
      </x:c>
      <x:c r="F2830" s="22" t="str">
        <x:v>水域及水利设施</x:v>
      </x:c>
      <x:c r="G2830" s="32" t="str">
        <x:v>1107</x:v>
      </x:c>
      <x:c r="H2830" s="32" t="str">
        <x:v>1107</x:v>
      </x:c>
      <x:c r="I2830" s="22" t="str">
        <x:v>沟渠</x:v>
      </x:c>
      <x:c r="J2830" s="22" t="str">
        <x:v>农业生态</x:v>
      </x:c>
      <x:c r="K2830" s="32" t="str">
        <x:v>203</x:v>
      </x:c>
      <x:c r="L2830" s="22" t="str">
        <x:v>村庄范围</x:v>
      </x:c>
      <x:c r="M2830" s="33" t="n">
        <x:v>367.28999999999996</x:v>
      </x:c>
      <x:c r="N2830" s="33" t="n">
        <x:v>0.036729</x:v>
      </x:c>
      <x:c r="O2830" s="22" t="str">
        <x:v>公顷</x:v>
      </x:c>
      <x:c r="P2830" s="22" t="str">
        <x:v>未提供（单期横截面）</x:v>
      </x:c>
      <x:c r="Q2830" s="23" t="n">
        <x:v>5809</x:v>
      </x:c>
    </x:row>
    <x:row r="2831">
      <x:c r="A2831" s="30" t="n">
        <x:v>350600</x:v>
      </x:c>
      <x:c r="B2831" s="22" t="str">
        <x:v>漳州市</x:v>
      </x:c>
      <x:c r="C2831" s="31" t="n">
        <x:v>350628</x:v>
      </x:c>
      <x:c r="D2831" s="22" t="str">
        <x:v>平和县</x:v>
      </x:c>
      <x:c r="E2831" s="22" t="str">
        <x:v>农用地</x:v>
      </x:c>
      <x:c r="F2831" s="22" t="str">
        <x:v>其他农用地</x:v>
      </x:c>
      <x:c r="G2831" s="32" t="str">
        <x:v>1202</x:v>
      </x:c>
      <x:c r="H2831" s="32" t="str">
        <x:v>1202</x:v>
      </x:c>
      <x:c r="I2831" s="22" t="str">
        <x:v>设施农用地</x:v>
      </x:c>
      <x:c r="J2831" s="22" t="str">
        <x:v>农业生态</x:v>
      </x:c>
      <x:c r="K2831" s="32" t="str">
        <x:v>203</x:v>
      </x:c>
      <x:c r="L2831" s="22" t="str">
        <x:v>村庄范围</x:v>
      </x:c>
      <x:c r="M2831" s="33" t="n">
        <x:v>5498.320000000001</x:v>
      </x:c>
      <x:c r="N2831" s="33" t="n">
        <x:v>0.5498320000000001</x:v>
      </x:c>
      <x:c r="O2831" s="22" t="str">
        <x:v>公顷</x:v>
      </x:c>
      <x:c r="P2831" s="22" t="str">
        <x:v>未提供（单期横截面）</x:v>
      </x:c>
      <x:c r="Q2831" s="23" t="n">
        <x:v>5810</x:v>
      </x:c>
    </x:row>
    <x:row r="2832">
      <x:c r="A2832" s="30" t="n">
        <x:v>350600</x:v>
      </x:c>
      <x:c r="B2832" s="22" t="str">
        <x:v>漳州市</x:v>
      </x:c>
      <x:c r="C2832" s="31" t="n">
        <x:v>350628</x:v>
      </x:c>
      <x:c r="D2832" s="22" t="str">
        <x:v>平和县</x:v>
      </x:c>
      <x:c r="E2832" s="22" t="str">
        <x:v>未利用地</x:v>
      </x:c>
      <x:c r="F2832" s="22" t="str">
        <x:v>草地</x:v>
      </x:c>
      <x:c r="G2832" s="32" t="str">
        <x:v>404</x:v>
      </x:c>
      <x:c r="H2832" s="32" t="str">
        <x:v>404</x:v>
      </x:c>
      <x:c r="I2832" s="22" t="str">
        <x:v>其他草地</x:v>
      </x:c>
      <x:c r="J2832" s="22" t="str">
        <x:v>农业生态</x:v>
      </x:c>
      <x:c r="K2832" s="32" t="str"/>
      <x:c r="L2832" s="22" t="str">
        <x:v>不适用/未标注</x:v>
      </x:c>
      <x:c r="M2832" s="33" t="n">
        <x:v>3568407.4900000063</x:v>
      </x:c>
      <x:c r="N2832" s="33" t="n">
        <x:v>356.84074900000064</x:v>
      </x:c>
      <x:c r="O2832" s="22" t="str">
        <x:v>公顷</x:v>
      </x:c>
      <x:c r="P2832" s="22" t="str">
        <x:v>未提供（单期横截面）</x:v>
      </x:c>
      <x:c r="Q2832" s="23" t="n">
        <x:v>5811</x:v>
      </x:c>
    </x:row>
    <x:row r="2833">
      <x:c r="A2833" s="30" t="n">
        <x:v>350600</x:v>
      </x:c>
      <x:c r="B2833" s="22" t="str">
        <x:v>漳州市</x:v>
      </x:c>
      <x:c r="C2833" s="31" t="n">
        <x:v>350628</x:v>
      </x:c>
      <x:c r="D2833" s="22" t="str">
        <x:v>平和县</x:v>
      </x:c>
      <x:c r="E2833" s="22" t="str">
        <x:v>未利用地</x:v>
      </x:c>
      <x:c r="F2833" s="22" t="str">
        <x:v>水域及水利设施</x:v>
      </x:c>
      <x:c r="G2833" s="32" t="str">
        <x:v>1101</x:v>
      </x:c>
      <x:c r="H2833" s="32" t="str">
        <x:v>1101</x:v>
      </x:c>
      <x:c r="I2833" s="22" t="str">
        <x:v>河流水面</x:v>
      </x:c>
      <x:c r="J2833" s="22" t="str">
        <x:v>农业生态</x:v>
      </x:c>
      <x:c r="K2833" s="32" t="str"/>
      <x:c r="L2833" s="22" t="str">
        <x:v>不适用/未标注</x:v>
      </x:c>
      <x:c r="M2833" s="33" t="n">
        <x:v>20134986.929999992</x:v>
      </x:c>
      <x:c r="N2833" s="33" t="n">
        <x:v>2013.4986929999993</x:v>
      </x:c>
      <x:c r="O2833" s="22" t="str">
        <x:v>公顷</x:v>
      </x:c>
      <x:c r="P2833" s="22" t="str">
        <x:v>未提供（单期横截面）</x:v>
      </x:c>
      <x:c r="Q2833" s="23" t="n">
        <x:v>5812</x:v>
      </x:c>
    </x:row>
    <x:row r="2834">
      <x:c r="A2834" s="30" t="n">
        <x:v>350600</x:v>
      </x:c>
      <x:c r="B2834" s="22" t="str">
        <x:v>漳州市</x:v>
      </x:c>
      <x:c r="C2834" s="31" t="n">
        <x:v>350628</x:v>
      </x:c>
      <x:c r="D2834" s="22" t="str">
        <x:v>平和县</x:v>
      </x:c>
      <x:c r="E2834" s="22" t="str">
        <x:v>未利用地</x:v>
      </x:c>
      <x:c r="F2834" s="22" t="str">
        <x:v>水域及水利设施</x:v>
      </x:c>
      <x:c r="G2834" s="32" t="str">
        <x:v>1106</x:v>
      </x:c>
      <x:c r="H2834" s="32" t="str">
        <x:v>1106</x:v>
      </x:c>
      <x:c r="I2834" s="22" t="str">
        <x:v>内陆滩涂</x:v>
      </x:c>
      <x:c r="J2834" s="22" t="str">
        <x:v>农业生态</x:v>
      </x:c>
      <x:c r="K2834" s="32" t="str"/>
      <x:c r="L2834" s="22" t="str">
        <x:v>不适用/未标注</x:v>
      </x:c>
      <x:c r="M2834" s="33" t="n">
        <x:v>1335077.88</x:v>
      </x:c>
      <x:c r="N2834" s="33" t="n">
        <x:v>133.50778799999998</x:v>
      </x:c>
      <x:c r="O2834" s="22" t="str">
        <x:v>公顷</x:v>
      </x:c>
      <x:c r="P2834" s="22" t="str">
        <x:v>未提供（单期横截面）</x:v>
      </x:c>
      <x:c r="Q2834" s="23" t="n">
        <x:v>5813</x:v>
      </x:c>
    </x:row>
    <x:row r="2835">
      <x:c r="A2835" s="30" t="n">
        <x:v>350600</x:v>
      </x:c>
      <x:c r="B2835" s="22" t="str">
        <x:v>漳州市</x:v>
      </x:c>
      <x:c r="C2835" s="31" t="n">
        <x:v>350628</x:v>
      </x:c>
      <x:c r="D2835" s="22" t="str">
        <x:v>平和县</x:v>
      </x:c>
      <x:c r="E2835" s="22" t="str">
        <x:v>未利用地</x:v>
      </x:c>
      <x:c r="F2835" s="22" t="str">
        <x:v>未利用地</x:v>
      </x:c>
      <x:c r="G2835" s="32" t="str">
        <x:v>1206</x:v>
      </x:c>
      <x:c r="H2835" s="32" t="str">
        <x:v>1206</x:v>
      </x:c>
      <x:c r="I2835" s="22" t="str">
        <x:v>裸土地</x:v>
      </x:c>
      <x:c r="J2835" s="22" t="str">
        <x:v>未利用地</x:v>
      </x:c>
      <x:c r="K2835" s="32" t="str"/>
      <x:c r="L2835" s="22" t="str">
        <x:v>不适用/未标注</x:v>
      </x:c>
      <x:c r="M2835" s="33" t="n">
        <x:v>11992.45</x:v>
      </x:c>
      <x:c r="N2835" s="33" t="n">
        <x:v>1.1992450000000001</x:v>
      </x:c>
      <x:c r="O2835" s="22" t="str">
        <x:v>公顷</x:v>
      </x:c>
      <x:c r="P2835" s="22" t="str">
        <x:v>未提供（单期横截面）</x:v>
      </x:c>
      <x:c r="Q2835" s="23" t="n">
        <x:v>5814</x:v>
      </x:c>
    </x:row>
    <x:row r="2836">
      <x:c r="A2836" s="30" t="n">
        <x:v>350600</x:v>
      </x:c>
      <x:c r="B2836" s="22" t="str">
        <x:v>漳州市</x:v>
      </x:c>
      <x:c r="C2836" s="31" t="n">
        <x:v>350628</x:v>
      </x:c>
      <x:c r="D2836" s="22" t="str">
        <x:v>平和县</x:v>
      </x:c>
      <x:c r="E2836" s="22" t="str">
        <x:v>未利用地</x:v>
      </x:c>
      <x:c r="F2836" s="22" t="str">
        <x:v>未利用地</x:v>
      </x:c>
      <x:c r="G2836" s="32" t="str">
        <x:v>1207</x:v>
      </x:c>
      <x:c r="H2836" s="32" t="str">
        <x:v>1207</x:v>
      </x:c>
      <x:c r="I2836" s="22" t="str">
        <x:v>裸岩石砾地</x:v>
      </x:c>
      <x:c r="J2836" s="22" t="str">
        <x:v>未利用地</x:v>
      </x:c>
      <x:c r="K2836" s="32" t="str"/>
      <x:c r="L2836" s="22" t="str">
        <x:v>不适用/未标注</x:v>
      </x:c>
      <x:c r="M2836" s="33" t="n">
        <x:v>906799.3400000002</x:v>
      </x:c>
      <x:c r="N2836" s="33" t="n">
        <x:v>90.67993400000002</x:v>
      </x:c>
      <x:c r="O2836" s="22" t="str">
        <x:v>公顷</x:v>
      </x:c>
      <x:c r="P2836" s="22" t="str">
        <x:v>未提供（单期横截面）</x:v>
      </x:c>
      <x:c r="Q2836" s="23" t="n">
        <x:v>5815</x:v>
      </x:c>
    </x:row>
    <x:row r="2837">
      <x:c r="A2837" s="30" t="n">
        <x:v>350600</x:v>
      </x:c>
      <x:c r="B2837" s="22" t="str">
        <x:v>漳州市</x:v>
      </x:c>
      <x:c r="C2837" s="31" t="n">
        <x:v>350628</x:v>
      </x:c>
      <x:c r="D2837" s="22" t="str">
        <x:v>平和县</x:v>
      </x:c>
      <x:c r="E2837" s="22" t="str">
        <x:v>未利用地</x:v>
      </x:c>
      <x:c r="F2837" s="22" t="str">
        <x:v>草地</x:v>
      </x:c>
      <x:c r="G2837" s="32" t="str">
        <x:v>404</x:v>
      </x:c>
      <x:c r="H2837" s="32" t="str">
        <x:v>404</x:v>
      </x:c>
      <x:c r="I2837" s="22" t="str">
        <x:v>其他草地</x:v>
      </x:c>
      <x:c r="J2837" s="22" t="str">
        <x:v>农业生态</x:v>
      </x:c>
      <x:c r="K2837" s="32" t="str">
        <x:v>202</x:v>
      </x:c>
      <x:c r="L2837" s="22" t="str">
        <x:v>建制镇范围</x:v>
      </x:c>
      <x:c r="M2837" s="33" t="n">
        <x:v>37547.2</x:v>
      </x:c>
      <x:c r="N2837" s="33" t="n">
        <x:v>3.75472</x:v>
      </x:c>
      <x:c r="O2837" s="22" t="str">
        <x:v>公顷</x:v>
      </x:c>
      <x:c r="P2837" s="22" t="str">
        <x:v>未提供（单期横截面）</x:v>
      </x:c>
      <x:c r="Q2837" s="23" t="n">
        <x:v>5816</x:v>
      </x:c>
    </x:row>
    <x:row r="2838">
      <x:c r="A2838" s="30" t="n">
        <x:v>350600</x:v>
      </x:c>
      <x:c r="B2838" s="22" t="str">
        <x:v>漳州市</x:v>
      </x:c>
      <x:c r="C2838" s="31" t="n">
        <x:v>350628</x:v>
      </x:c>
      <x:c r="D2838" s="22" t="str">
        <x:v>平和县</x:v>
      </x:c>
      <x:c r="E2838" s="22" t="str">
        <x:v>未利用地</x:v>
      </x:c>
      <x:c r="F2838" s="22" t="str">
        <x:v>水域及水利设施</x:v>
      </x:c>
      <x:c r="G2838" s="32" t="str">
        <x:v>1101</x:v>
      </x:c>
      <x:c r="H2838" s="32" t="str">
        <x:v>1101</x:v>
      </x:c>
      <x:c r="I2838" s="22" t="str">
        <x:v>河流水面</x:v>
      </x:c>
      <x:c r="J2838" s="22" t="str">
        <x:v>农业生态</x:v>
      </x:c>
      <x:c r="K2838" s="32" t="str">
        <x:v>202</x:v>
      </x:c>
      <x:c r="L2838" s="22" t="str">
        <x:v>建制镇范围</x:v>
      </x:c>
      <x:c r="M2838" s="33" t="n">
        <x:v>1810.6000000000001</x:v>
      </x:c>
      <x:c r="N2838" s="33" t="n">
        <x:v>0.18106000000000003</x:v>
      </x:c>
      <x:c r="O2838" s="22" t="str">
        <x:v>公顷</x:v>
      </x:c>
      <x:c r="P2838" s="22" t="str">
        <x:v>未提供（单期横截面）</x:v>
      </x:c>
      <x:c r="Q2838" s="23" t="n">
        <x:v>5817</x:v>
      </x:c>
    </x:row>
    <x:row r="2839">
      <x:c r="A2839" s="30" t="n">
        <x:v>350600</x:v>
      </x:c>
      <x:c r="B2839" s="22" t="str">
        <x:v>漳州市</x:v>
      </x:c>
      <x:c r="C2839" s="31" t="n">
        <x:v>350628</x:v>
      </x:c>
      <x:c r="D2839" s="22" t="str">
        <x:v>平和县</x:v>
      </x:c>
      <x:c r="E2839" s="22" t="str">
        <x:v>未利用地</x:v>
      </x:c>
      <x:c r="F2839" s="22" t="str">
        <x:v>草地</x:v>
      </x:c>
      <x:c r="G2839" s="32" t="str">
        <x:v>404</x:v>
      </x:c>
      <x:c r="H2839" s="32" t="str">
        <x:v>404</x:v>
      </x:c>
      <x:c r="I2839" s="22" t="str">
        <x:v>其他草地</x:v>
      </x:c>
      <x:c r="J2839" s="22" t="str">
        <x:v>农业生态</x:v>
      </x:c>
      <x:c r="K2839" s="32" t="str">
        <x:v>203</x:v>
      </x:c>
      <x:c r="L2839" s="22" t="str">
        <x:v>村庄范围</x:v>
      </x:c>
      <x:c r="M2839" s="33" t="n">
        <x:v>4973.28</x:v>
      </x:c>
      <x:c r="N2839" s="33" t="n">
        <x:v>0.497328</x:v>
      </x:c>
      <x:c r="O2839" s="22" t="str">
        <x:v>公顷</x:v>
      </x:c>
      <x:c r="P2839" s="22" t="str">
        <x:v>未提供（单期横截面）</x:v>
      </x:c>
      <x:c r="Q2839" s="23" t="n">
        <x:v>5818</x:v>
      </x:c>
    </x:row>
    <x:row r="2840">
      <x:c r="A2840" s="30" t="n">
        <x:v>350600</x:v>
      </x:c>
      <x:c r="B2840" s="22" t="str">
        <x:v>漳州市</x:v>
      </x:c>
      <x:c r="C2840" s="31" t="n">
        <x:v>350628</x:v>
      </x:c>
      <x:c r="D2840" s="22" t="str">
        <x:v>平和县</x:v>
      </x:c>
      <x:c r="E2840" s="22" t="str">
        <x:v>未利用地</x:v>
      </x:c>
      <x:c r="F2840" s="22" t="str">
        <x:v>水域及水利设施</x:v>
      </x:c>
      <x:c r="G2840" s="32" t="str">
        <x:v>1101</x:v>
      </x:c>
      <x:c r="H2840" s="32" t="str">
        <x:v>1101</x:v>
      </x:c>
      <x:c r="I2840" s="22" t="str">
        <x:v>河流水面</x:v>
      </x:c>
      <x:c r="J2840" s="22" t="str">
        <x:v>农业生态</x:v>
      </x:c>
      <x:c r="K2840" s="32" t="str">
        <x:v>203</x:v>
      </x:c>
      <x:c r="L2840" s="22" t="str">
        <x:v>村庄范围</x:v>
      </x:c>
      <x:c r="M2840" s="33" t="n">
        <x:v>1227.85</x:v>
      </x:c>
      <x:c r="N2840" s="33" t="n">
        <x:v>0.12278499999999999</x:v>
      </x:c>
      <x:c r="O2840" s="22" t="str">
        <x:v>公顷</x:v>
      </x:c>
      <x:c r="P2840" s="22" t="str">
        <x:v>未提供（单期横截面）</x:v>
      </x:c>
      <x:c r="Q2840" s="23" t="n">
        <x:v>5819</x:v>
      </x:c>
    </x:row>
    <x:row r="2841">
      <x:c r="A2841" s="30" t="n">
        <x:v>350600</x:v>
      </x:c>
      <x:c r="B2841" s="22" t="str">
        <x:v>漳州市</x:v>
      </x:c>
      <x:c r="C2841" s="31" t="n">
        <x:v>350629</x:v>
      </x:c>
      <x:c r="D2841" s="22" t="str">
        <x:v>华安县</x:v>
      </x:c>
      <x:c r="E2841" s="22" t="str">
        <x:v>建设用地</x:v>
      </x:c>
      <x:c r="F2841" s="22" t="str">
        <x:v>交通运输用地</x:v>
      </x:c>
      <x:c r="G2841" s="32" t="str">
        <x:v>1001</x:v>
      </x:c>
      <x:c r="H2841" s="32" t="str">
        <x:v>1001</x:v>
      </x:c>
      <x:c r="I2841" s="22" t="str">
        <x:v>铁路用地</x:v>
      </x:c>
      <x:c r="J2841" s="22" t="str">
        <x:v>交通门户</x:v>
      </x:c>
      <x:c r="K2841" s="32" t="str"/>
      <x:c r="L2841" s="22" t="str">
        <x:v>不适用/未标注</x:v>
      </x:c>
      <x:c r="M2841" s="33" t="n">
        <x:v>1467699.7000000002</x:v>
      </x:c>
      <x:c r="N2841" s="33" t="n">
        <x:v>146.76997000000003</x:v>
      </x:c>
      <x:c r="O2841" s="22" t="str">
        <x:v>公顷</x:v>
      </x:c>
      <x:c r="P2841" s="22" t="str">
        <x:v>未提供（单期横截面）</x:v>
      </x:c>
      <x:c r="Q2841" s="23" t="n">
        <x:v>5820</x:v>
      </x:c>
    </x:row>
    <x:row r="2842">
      <x:c r="A2842" s="30" t="n">
        <x:v>350600</x:v>
      </x:c>
      <x:c r="B2842" s="22" t="str">
        <x:v>漳州市</x:v>
      </x:c>
      <x:c r="C2842" s="31" t="n">
        <x:v>350629</x:v>
      </x:c>
      <x:c r="D2842" s="22" t="str">
        <x:v>华安县</x:v>
      </x:c>
      <x:c r="E2842" s="22" t="str">
        <x:v>建设用地</x:v>
      </x:c>
      <x:c r="F2842" s="22" t="str">
        <x:v>交通运输用地</x:v>
      </x:c>
      <x:c r="G2842" s="32" t="str">
        <x:v>1003</x:v>
      </x:c>
      <x:c r="H2842" s="32" t="str">
        <x:v>1003</x:v>
      </x:c>
      <x:c r="I2842" s="22" t="str">
        <x:v>公路用地</x:v>
      </x:c>
      <x:c r="J2842" s="22" t="str">
        <x:v>交通门户</x:v>
      </x:c>
      <x:c r="K2842" s="32" t="str"/>
      <x:c r="L2842" s="22" t="str">
        <x:v>不适用/未标注</x:v>
      </x:c>
      <x:c r="M2842" s="33" t="n">
        <x:v>11478548.830000002</x:v>
      </x:c>
      <x:c r="N2842" s="33" t="n">
        <x:v>1147.8548830000002</x:v>
      </x:c>
      <x:c r="O2842" s="22" t="str">
        <x:v>公顷</x:v>
      </x:c>
      <x:c r="P2842" s="22" t="str">
        <x:v>未提供（单期横截面）</x:v>
      </x:c>
      <x:c r="Q2842" s="23" t="n">
        <x:v>5821</x:v>
      </x:c>
    </x:row>
    <x:row r="2843">
      <x:c r="A2843" s="30" t="n">
        <x:v>350600</x:v>
      </x:c>
      <x:c r="B2843" s="22" t="str">
        <x:v>漳州市</x:v>
      </x:c>
      <x:c r="C2843" s="31" t="n">
        <x:v>350629</x:v>
      </x:c>
      <x:c r="D2843" s="22" t="str">
        <x:v>华安县</x:v>
      </x:c>
      <x:c r="E2843" s="22" t="str">
        <x:v>建设用地</x:v>
      </x:c>
      <x:c r="F2843" s="22" t="str">
        <x:v>交通运输用地</x:v>
      </x:c>
      <x:c r="G2843" s="32" t="str">
        <x:v>1008</x:v>
      </x:c>
      <x:c r="H2843" s="32" t="str">
        <x:v>1008</x:v>
      </x:c>
      <x:c r="I2843" s="22" t="str">
        <x:v>港口码头用地</x:v>
      </x:c>
      <x:c r="J2843" s="22" t="str">
        <x:v>交通门户</x:v>
      </x:c>
      <x:c r="K2843" s="32" t="str"/>
      <x:c r="L2843" s="22" t="str">
        <x:v>不适用/未标注</x:v>
      </x:c>
      <x:c r="M2843" s="33" t="n">
        <x:v>3640.11</x:v>
      </x:c>
      <x:c r="N2843" s="33" t="n">
        <x:v>0.36401100000000003</x:v>
      </x:c>
      <x:c r="O2843" s="22" t="str">
        <x:v>公顷</x:v>
      </x:c>
      <x:c r="P2843" s="22" t="str">
        <x:v>未提供（单期横截面）</x:v>
      </x:c>
      <x:c r="Q2843" s="23" t="n">
        <x:v>5822</x:v>
      </x:c>
    </x:row>
    <x:row r="2844">
      <x:c r="A2844" s="30" t="n">
        <x:v>350600</x:v>
      </x:c>
      <x:c r="B2844" s="22" t="str">
        <x:v>漳州市</x:v>
      </x:c>
      <x:c r="C2844" s="31" t="n">
        <x:v>350629</x:v>
      </x:c>
      <x:c r="D2844" s="22" t="str">
        <x:v>华安县</x:v>
      </x:c>
      <x:c r="E2844" s="22" t="str">
        <x:v>建设用地</x:v>
      </x:c>
      <x:c r="F2844" s="22" t="str">
        <x:v>水域及水利设施</x:v>
      </x:c>
      <x:c r="G2844" s="32" t="str">
        <x:v>1109</x:v>
      </x:c>
      <x:c r="H2844" s="32" t="str">
        <x:v>1109</x:v>
      </x:c>
      <x:c r="I2844" s="22" t="str">
        <x:v>水工建筑用地</x:v>
      </x:c>
      <x:c r="J2844" s="22" t="str">
        <x:v>其他建设</x:v>
      </x:c>
      <x:c r="K2844" s="32" t="str"/>
      <x:c r="L2844" s="22" t="str">
        <x:v>不适用/未标注</x:v>
      </x:c>
      <x:c r="M2844" s="33" t="n">
        <x:v>717136.37</x:v>
      </x:c>
      <x:c r="N2844" s="33" t="n">
        <x:v>71.713637</x:v>
      </x:c>
      <x:c r="O2844" s="22" t="str">
        <x:v>公顷</x:v>
      </x:c>
      <x:c r="P2844" s="22" t="str">
        <x:v>未提供（单期横截面）</x:v>
      </x:c>
      <x:c r="Q2844" s="23" t="n">
        <x:v>5823</x:v>
      </x:c>
    </x:row>
    <x:row r="2845">
      <x:c r="A2845" s="30" t="n">
        <x:v>350600</x:v>
      </x:c>
      <x:c r="B2845" s="22" t="str">
        <x:v>漳州市</x:v>
      </x:c>
      <x:c r="C2845" s="31" t="n">
        <x:v>350629</x:v>
      </x:c>
      <x:c r="D2845" s="22" t="str">
        <x:v>华安县</x:v>
      </x:c>
      <x:c r="E2845" s="22" t="str">
        <x:v>建设用地</x:v>
      </x:c>
      <x:c r="F2845" s="22" t="str">
        <x:v>工矿仓储用地</x:v>
      </x:c>
      <x:c r="G2845" s="32" t="str">
        <x:v>508</x:v>
      </x:c>
      <x:c r="H2845" s="32" t="str">
        <x:v>508</x:v>
      </x:c>
      <x:c r="I2845" s="22" t="str">
        <x:v>物流仓储用地</x:v>
      </x:c>
      <x:c r="J2845" s="22" t="str">
        <x:v>产业功能</x:v>
      </x:c>
      <x:c r="K2845" s="32" t="str">
        <x:v>202</x:v>
      </x:c>
      <x:c r="L2845" s="22" t="str">
        <x:v>建制镇范围</x:v>
      </x:c>
      <x:c r="M2845" s="33" t="n">
        <x:v>16581.190000000002</x:v>
      </x:c>
      <x:c r="N2845" s="33" t="n">
        <x:v>1.6581190000000003</x:v>
      </x:c>
      <x:c r="O2845" s="22" t="str">
        <x:v>公顷</x:v>
      </x:c>
      <x:c r="P2845" s="22" t="str">
        <x:v>未提供（单期横截面）</x:v>
      </x:c>
      <x:c r="Q2845" s="23" t="n">
        <x:v>5824</x:v>
      </x:c>
    </x:row>
    <x:row r="2846">
      <x:c r="A2846" s="30" t="n">
        <x:v>350600</x:v>
      </x:c>
      <x:c r="B2846" s="22" t="str">
        <x:v>漳州市</x:v>
      </x:c>
      <x:c r="C2846" s="31" t="n">
        <x:v>350629</x:v>
      </x:c>
      <x:c r="D2846" s="22" t="str">
        <x:v>华安县</x:v>
      </x:c>
      <x:c r="E2846" s="22" t="str">
        <x:v>建设用地</x:v>
      </x:c>
      <x:c r="F2846" s="22" t="str">
        <x:v>商业服务业用地</x:v>
      </x:c>
      <x:c r="G2846" s="32" t="str">
        <x:v>05H1</x:v>
      </x:c>
      <x:c r="H2846" s="32" t="str">
        <x:v>05H1</x:v>
      </x:c>
      <x:c r="I2846" s="22" t="str">
        <x:v>商业服务业设施用地</x:v>
      </x:c>
      <x:c r="J2846" s="22" t="str">
        <x:v>商业服务</x:v>
      </x:c>
      <x:c r="K2846" s="32" t="str">
        <x:v>202</x:v>
      </x:c>
      <x:c r="L2846" s="22" t="str">
        <x:v>建制镇范围</x:v>
      </x:c>
      <x:c r="M2846" s="33" t="n">
        <x:v>144073.36000000002</x:v>
      </x:c>
      <x:c r="N2846" s="33" t="n">
        <x:v>14.407336</x:v>
      </x:c>
      <x:c r="O2846" s="22" t="str">
        <x:v>公顷</x:v>
      </x:c>
      <x:c r="P2846" s="22" t="str">
        <x:v>未提供（单期横截面）</x:v>
      </x:c>
      <x:c r="Q2846" s="23" t="n">
        <x:v>5825</x:v>
      </x:c>
    </x:row>
    <x:row r="2847">
      <x:c r="A2847" s="30" t="n">
        <x:v>350600</x:v>
      </x:c>
      <x:c r="B2847" s="22" t="str">
        <x:v>漳州市</x:v>
      </x:c>
      <x:c r="C2847" s="31" t="n">
        <x:v>350629</x:v>
      </x:c>
      <x:c r="D2847" s="22" t="str">
        <x:v>华安县</x:v>
      </x:c>
      <x:c r="E2847" s="22" t="str">
        <x:v>建设用地</x:v>
      </x:c>
      <x:c r="F2847" s="22" t="str">
        <x:v>工矿仓储用地</x:v>
      </x:c>
      <x:c r="G2847" s="32" t="str">
        <x:v>601</x:v>
      </x:c>
      <x:c r="H2847" s="32" t="str">
        <x:v>601</x:v>
      </x:c>
      <x:c r="I2847" s="22" t="str">
        <x:v>工业用地</x:v>
      </x:c>
      <x:c r="J2847" s="22" t="str">
        <x:v>产业功能</x:v>
      </x:c>
      <x:c r="K2847" s="32" t="str">
        <x:v>202</x:v>
      </x:c>
      <x:c r="L2847" s="22" t="str">
        <x:v>建制镇范围</x:v>
      </x:c>
      <x:c r="M2847" s="33" t="n">
        <x:v>3703302.51</x:v>
      </x:c>
      <x:c r="N2847" s="33" t="n">
        <x:v>370.330251</x:v>
      </x:c>
      <x:c r="O2847" s="22" t="str">
        <x:v>公顷</x:v>
      </x:c>
      <x:c r="P2847" s="22" t="str">
        <x:v>未提供（单期横截面）</x:v>
      </x:c>
      <x:c r="Q2847" s="23" t="n">
        <x:v>5826</x:v>
      </x:c>
    </x:row>
    <x:row r="2848">
      <x:c r="A2848" s="30" t="n">
        <x:v>350600</x:v>
      </x:c>
      <x:c r="B2848" s="22" t="str">
        <x:v>漳州市</x:v>
      </x:c>
      <x:c r="C2848" s="31" t="n">
        <x:v>350629</x:v>
      </x:c>
      <x:c r="D2848" s="22" t="str">
        <x:v>华安县</x:v>
      </x:c>
      <x:c r="E2848" s="22" t="str">
        <x:v>建设用地</x:v>
      </x:c>
      <x:c r="F2848" s="22" t="str">
        <x:v>居住用地</x:v>
      </x:c>
      <x:c r="G2848" s="32" t="str">
        <x:v>701</x:v>
      </x:c>
      <x:c r="H2848" s="32" t="str">
        <x:v>701</x:v>
      </x:c>
      <x:c r="I2848" s="22" t="str">
        <x:v>城镇住宅用地</x:v>
      </x:c>
      <x:c r="J2848" s="22" t="str">
        <x:v>居住功能</x:v>
      </x:c>
      <x:c r="K2848" s="32" t="str">
        <x:v>202</x:v>
      </x:c>
      <x:c r="L2848" s="22" t="str">
        <x:v>建制镇范围</x:v>
      </x:c>
      <x:c r="M2848" s="33" t="n">
        <x:v>3863413.1300000013</x:v>
      </x:c>
      <x:c r="N2848" s="33" t="n">
        <x:v>386.3413130000001</x:v>
      </x:c>
      <x:c r="O2848" s="22" t="str">
        <x:v>公顷</x:v>
      </x:c>
      <x:c r="P2848" s="22" t="str">
        <x:v>未提供（单期横截面）</x:v>
      </x:c>
      <x:c r="Q2848" s="23" t="n">
        <x:v>5827</x:v>
      </x:c>
    </x:row>
    <x:row r="2849">
      <x:c r="A2849" s="30" t="n">
        <x:v>350600</x:v>
      </x:c>
      <x:c r="B2849" s="22" t="str">
        <x:v>漳州市</x:v>
      </x:c>
      <x:c r="C2849" s="31" t="n">
        <x:v>350629</x:v>
      </x:c>
      <x:c r="D2849" s="22" t="str">
        <x:v>华安县</x:v>
      </x:c>
      <x:c r="E2849" s="22" t="str">
        <x:v>建设用地</x:v>
      </x:c>
      <x:c r="F2849" s="22" t="str">
        <x:v>居住用地</x:v>
      </x:c>
      <x:c r="G2849" s="32" t="str">
        <x:v>702</x:v>
      </x:c>
      <x:c r="H2849" s="32" t="str">
        <x:v>702</x:v>
      </x:c>
      <x:c r="I2849" s="22" t="str">
        <x:v>农村宅基地</x:v>
      </x:c>
      <x:c r="J2849" s="22" t="str">
        <x:v>居住功能</x:v>
      </x:c>
      <x:c r="K2849" s="32" t="str">
        <x:v>202</x:v>
      </x:c>
      <x:c r="L2849" s="22" t="str">
        <x:v>建制镇范围</x:v>
      </x:c>
      <x:c r="M2849" s="33" t="n">
        <x:v>186979.58</x:v>
      </x:c>
      <x:c r="N2849" s="33" t="n">
        <x:v>18.697958</x:v>
      </x:c>
      <x:c r="O2849" s="22" t="str">
        <x:v>公顷</x:v>
      </x:c>
      <x:c r="P2849" s="22" t="str">
        <x:v>未提供（单期横截面）</x:v>
      </x:c>
      <x:c r="Q2849" s="23" t="n">
        <x:v>5828</x:v>
      </x:c>
    </x:row>
    <x:row r="2850">
      <x:c r="A2850" s="30" t="n">
        <x:v>350600</x:v>
      </x:c>
      <x:c r="B2850" s="22" t="str">
        <x:v>漳州市</x:v>
      </x:c>
      <x:c r="C2850" s="31" t="n">
        <x:v>350629</x:v>
      </x:c>
      <x:c r="D2850" s="22" t="str">
        <x:v>华安县</x:v>
      </x:c>
      <x:c r="E2850" s="22" t="str">
        <x:v>建设用地</x:v>
      </x:c>
      <x:c r="F2850" s="22" t="str">
        <x:v>公用设施用地</x:v>
      </x:c>
      <x:c r="G2850" s="32" t="str">
        <x:v>809</x:v>
      </x:c>
      <x:c r="H2850" s="32" t="str">
        <x:v>809</x:v>
      </x:c>
      <x:c r="I2850" s="22" t="str">
        <x:v>公用设施用地</x:v>
      </x:c>
      <x:c r="J2850" s="22" t="str">
        <x:v>其他建设</x:v>
      </x:c>
      <x:c r="K2850" s="32" t="str">
        <x:v>202</x:v>
      </x:c>
      <x:c r="L2850" s="22" t="str">
        <x:v>建制镇范围</x:v>
      </x:c>
      <x:c r="M2850" s="33" t="n">
        <x:v>69918.62</x:v>
      </x:c>
      <x:c r="N2850" s="33" t="n">
        <x:v>6.991861999999999</x:v>
      </x:c>
      <x:c r="O2850" s="22" t="str">
        <x:v>公顷</x:v>
      </x:c>
      <x:c r="P2850" s="22" t="str">
        <x:v>未提供（单期横截面）</x:v>
      </x:c>
      <x:c r="Q2850" s="23" t="n">
        <x:v>5829</x:v>
      </x:c>
    </x:row>
    <x:row r="2851">
      <x:c r="A2851" s="30" t="n">
        <x:v>350600</x:v>
      </x:c>
      <x:c r="B2851" s="22" t="str">
        <x:v>漳州市</x:v>
      </x:c>
      <x:c r="C2851" s="31" t="n">
        <x:v>350629</x:v>
      </x:c>
      <x:c r="D2851" s="22" t="str">
        <x:v>华安县</x:v>
      </x:c>
      <x:c r="E2851" s="22" t="str">
        <x:v>建设用地</x:v>
      </x:c>
      <x:c r="F2851" s="22" t="str">
        <x:v>绿地与广场用地</x:v>
      </x:c>
      <x:c r="G2851" s="32" t="str">
        <x:v>810</x:v>
      </x:c>
      <x:c r="H2851" s="32" t="str">
        <x:v>810</x:v>
      </x:c>
      <x:c r="I2851" s="22" t="str">
        <x:v>公园与绿地</x:v>
      </x:c>
      <x:c r="J2851" s="22" t="str">
        <x:v>公共空间</x:v>
      </x:c>
      <x:c r="K2851" s="32" t="str">
        <x:v>202</x:v>
      </x:c>
      <x:c r="L2851" s="22" t="str">
        <x:v>建制镇范围</x:v>
      </x:c>
      <x:c r="M2851" s="33" t="n">
        <x:v>53165.76</x:v>
      </x:c>
      <x:c r="N2851" s="33" t="n">
        <x:v>5.316576</x:v>
      </x:c>
      <x:c r="O2851" s="22" t="str">
        <x:v>公顷</x:v>
      </x:c>
      <x:c r="P2851" s="22" t="str">
        <x:v>未提供（单期横截面）</x:v>
      </x:c>
      <x:c r="Q2851" s="23" t="n">
        <x:v>5830</x:v>
      </x:c>
    </x:row>
    <x:row r="2852">
      <x:c r="A2852" s="30" t="n">
        <x:v>350600</x:v>
      </x:c>
      <x:c r="B2852" s="22" t="str">
        <x:v>漳州市</x:v>
      </x:c>
      <x:c r="C2852" s="31" t="n">
        <x:v>350629</x:v>
      </x:c>
      <x:c r="D2852" s="22" t="str">
        <x:v>华安县</x:v>
      </x:c>
      <x:c r="E2852" s="22" t="str">
        <x:v>建设用地</x:v>
      </x:c>
      <x:c r="F2852" s="22" t="str">
        <x:v>绿地与广场用地</x:v>
      </x:c>
      <x:c r="G2852" s="32" t="str">
        <x:v>0810A</x:v>
      </x:c>
      <x:c r="H2852" s="32" t="str">
        <x:v>0810</x:v>
      </x:c>
      <x:c r="I2852" s="22" t="str">
        <x:v>广场用地</x:v>
      </x:c>
      <x:c r="J2852" s="22" t="str">
        <x:v>公共空间</x:v>
      </x:c>
      <x:c r="K2852" s="32" t="str">
        <x:v>202</x:v>
      </x:c>
      <x:c r="L2852" s="22" t="str">
        <x:v>建制镇范围</x:v>
      </x:c>
      <x:c r="M2852" s="33" t="n">
        <x:v>759.33</x:v>
      </x:c>
      <x:c r="N2852" s="33" t="n">
        <x:v>0.075933</x:v>
      </x:c>
      <x:c r="O2852" s="22" t="str">
        <x:v>公顷</x:v>
      </x:c>
      <x:c r="P2852" s="22" t="str">
        <x:v>未提供（单期横截面）</x:v>
      </x:c>
      <x:c r="Q2852" s="23" t="n">
        <x:v>5831</x:v>
      </x:c>
    </x:row>
    <x:row r="2853">
      <x:c r="A2853" s="30" t="n">
        <x:v>350600</x:v>
      </x:c>
      <x:c r="B2853" s="22" t="str">
        <x:v>漳州市</x:v>
      </x:c>
      <x:c r="C2853" s="31" t="n">
        <x:v>350629</x:v>
      </x:c>
      <x:c r="D2853" s="22" t="str">
        <x:v>华安县</x:v>
      </x:c>
      <x:c r="E2853" s="22" t="str">
        <x:v>建设用地</x:v>
      </x:c>
      <x:c r="F2853" s="22" t="str">
        <x:v>公共管理与公共服务用地</x:v>
      </x:c>
      <x:c r="G2853" s="32" t="str">
        <x:v>08H1</x:v>
      </x:c>
      <x:c r="H2853" s="32" t="str">
        <x:v>08H1</x:v>
      </x:c>
      <x:c r="I2853" s="22" t="str">
        <x:v>机关团体新闻出版用地</x:v>
      </x:c>
      <x:c r="J2853" s="22" t="str">
        <x:v>公共服务</x:v>
      </x:c>
      <x:c r="K2853" s="32" t="str">
        <x:v>202</x:v>
      </x:c>
      <x:c r="L2853" s="22" t="str">
        <x:v>建制镇范围</x:v>
      </x:c>
      <x:c r="M2853" s="33" t="n">
        <x:v>248872.63999999993</x:v>
      </x:c>
      <x:c r="N2853" s="33" t="n">
        <x:v>24.88726399999999</x:v>
      </x:c>
      <x:c r="O2853" s="22" t="str">
        <x:v>公顷</x:v>
      </x:c>
      <x:c r="P2853" s="22" t="str">
        <x:v>未提供（单期横截面）</x:v>
      </x:c>
      <x:c r="Q2853" s="23" t="n">
        <x:v>5832</x:v>
      </x:c>
    </x:row>
    <x:row r="2854">
      <x:c r="A2854" s="30" t="n">
        <x:v>350600</x:v>
      </x:c>
      <x:c r="B2854" s="22" t="str">
        <x:v>漳州市</x:v>
      </x:c>
      <x:c r="C2854" s="31" t="n">
        <x:v>350629</x:v>
      </x:c>
      <x:c r="D2854" s="22" t="str">
        <x:v>华安县</x:v>
      </x:c>
      <x:c r="E2854" s="22" t="str">
        <x:v>建设用地</x:v>
      </x:c>
      <x:c r="F2854" s="22" t="str">
        <x:v>公共管理与公共服务用地</x:v>
      </x:c>
      <x:c r="G2854" s="32" t="str">
        <x:v>08H2</x:v>
      </x:c>
      <x:c r="H2854" s="32" t="str">
        <x:v>08H2</x:v>
      </x:c>
      <x:c r="I2854" s="22" t="str">
        <x:v>科教文卫用地</x:v>
      </x:c>
      <x:c r="J2854" s="22" t="str">
        <x:v>公共服务</x:v>
      </x:c>
      <x:c r="K2854" s="32" t="str">
        <x:v>202</x:v>
      </x:c>
      <x:c r="L2854" s="22" t="str">
        <x:v>建制镇范围</x:v>
      </x:c>
      <x:c r="M2854" s="33" t="n">
        <x:v>636944.9200000002</x:v>
      </x:c>
      <x:c r="N2854" s="33" t="n">
        <x:v>63.69449200000002</x:v>
      </x:c>
      <x:c r="O2854" s="22" t="str">
        <x:v>公顷</x:v>
      </x:c>
      <x:c r="P2854" s="22" t="str">
        <x:v>未提供（单期横截面）</x:v>
      </x:c>
      <x:c r="Q2854" s="23" t="n">
        <x:v>5833</x:v>
      </x:c>
    </x:row>
    <x:row r="2855">
      <x:c r="A2855" s="30" t="n">
        <x:v>350600</x:v>
      </x:c>
      <x:c r="B2855" s="22" t="str">
        <x:v>漳州市</x:v>
      </x:c>
      <x:c r="C2855" s="31" t="n">
        <x:v>350629</x:v>
      </x:c>
      <x:c r="D2855" s="22" t="str">
        <x:v>华安县</x:v>
      </x:c>
      <x:c r="E2855" s="22" t="str">
        <x:v>建设用地</x:v>
      </x:c>
      <x:c r="F2855" s="22" t="str">
        <x:v>特殊用地</x:v>
      </x:c>
      <x:c r="G2855" s="32" t="str">
        <x:v>9</x:v>
      </x:c>
      <x:c r="H2855" s="32" t="str">
        <x:v>9</x:v>
      </x:c>
      <x:c r="I2855" s="22" t="str">
        <x:v>特殊用地</x:v>
      </x:c>
      <x:c r="J2855" s="22" t="str">
        <x:v>其他建设</x:v>
      </x:c>
      <x:c r="K2855" s="32" t="str">
        <x:v>202</x:v>
      </x:c>
      <x:c r="L2855" s="22" t="str">
        <x:v>建制镇范围</x:v>
      </x:c>
      <x:c r="M2855" s="33" t="n">
        <x:v>17160.920000000002</x:v>
      </x:c>
      <x:c r="N2855" s="33" t="n">
        <x:v>1.7160920000000002</x:v>
      </x:c>
      <x:c r="O2855" s="22" t="str">
        <x:v>公顷</x:v>
      </x:c>
      <x:c r="P2855" s="22" t="str">
        <x:v>未提供（单期横截面）</x:v>
      </x:c>
      <x:c r="Q2855" s="23" t="n">
        <x:v>5834</x:v>
      </x:c>
    </x:row>
    <x:row r="2856">
      <x:c r="A2856" s="30" t="n">
        <x:v>350600</x:v>
      </x:c>
      <x:c r="B2856" s="22" t="str">
        <x:v>漳州市</x:v>
      </x:c>
      <x:c r="C2856" s="31" t="n">
        <x:v>350629</x:v>
      </x:c>
      <x:c r="D2856" s="22" t="str">
        <x:v>华安县</x:v>
      </x:c>
      <x:c r="E2856" s="22" t="str">
        <x:v>建设用地</x:v>
      </x:c>
      <x:c r="F2856" s="22" t="str">
        <x:v>交通运输用地</x:v>
      </x:c>
      <x:c r="G2856" s="32" t="str">
        <x:v>1004</x:v>
      </x:c>
      <x:c r="H2856" s="32" t="str">
        <x:v>1004</x:v>
      </x:c>
      <x:c r="I2856" s="22" t="str">
        <x:v>城镇村道路用地</x:v>
      </x:c>
      <x:c r="J2856" s="22" t="str">
        <x:v>交通门户</x:v>
      </x:c>
      <x:c r="K2856" s="32" t="str">
        <x:v>202</x:v>
      </x:c>
      <x:c r="L2856" s="22" t="str">
        <x:v>建制镇范围</x:v>
      </x:c>
      <x:c r="M2856" s="33" t="n">
        <x:v>307211.07</x:v>
      </x:c>
      <x:c r="N2856" s="33" t="n">
        <x:v>30.721107</x:v>
      </x:c>
      <x:c r="O2856" s="22" t="str">
        <x:v>公顷</x:v>
      </x:c>
      <x:c r="P2856" s="22" t="str">
        <x:v>未提供（单期横截面）</x:v>
      </x:c>
      <x:c r="Q2856" s="23" t="n">
        <x:v>5835</x:v>
      </x:c>
    </x:row>
    <x:row r="2857">
      <x:c r="A2857" s="30" t="n">
        <x:v>350600</x:v>
      </x:c>
      <x:c r="B2857" s="22" t="str">
        <x:v>漳州市</x:v>
      </x:c>
      <x:c r="C2857" s="31" t="n">
        <x:v>350629</x:v>
      </x:c>
      <x:c r="D2857" s="22" t="str">
        <x:v>华安县</x:v>
      </x:c>
      <x:c r="E2857" s="22" t="str">
        <x:v>建设用地</x:v>
      </x:c>
      <x:c r="F2857" s="22" t="str">
        <x:v>交通运输用地</x:v>
      </x:c>
      <x:c r="G2857" s="32" t="str">
        <x:v>1005</x:v>
      </x:c>
      <x:c r="H2857" s="32" t="str">
        <x:v>1005</x:v>
      </x:c>
      <x:c r="I2857" s="22" t="str">
        <x:v>交通服务场站用地</x:v>
      </x:c>
      <x:c r="J2857" s="22" t="str">
        <x:v>交通门户</x:v>
      </x:c>
      <x:c r="K2857" s="32" t="str">
        <x:v>202</x:v>
      </x:c>
      <x:c r="L2857" s="22" t="str">
        <x:v>建制镇范围</x:v>
      </x:c>
      <x:c r="M2857" s="33" t="n">
        <x:v>50965.85</x:v>
      </x:c>
      <x:c r="N2857" s="33" t="n">
        <x:v>5.096585</x:v>
      </x:c>
      <x:c r="O2857" s="22" t="str">
        <x:v>公顷</x:v>
      </x:c>
      <x:c r="P2857" s="22" t="str">
        <x:v>未提供（单期横截面）</x:v>
      </x:c>
      <x:c r="Q2857" s="23" t="n">
        <x:v>5836</x:v>
      </x:c>
    </x:row>
    <x:row r="2858">
      <x:c r="A2858" s="30" t="n">
        <x:v>350600</x:v>
      </x:c>
      <x:c r="B2858" s="22" t="str">
        <x:v>漳州市</x:v>
      </x:c>
      <x:c r="C2858" s="31" t="n">
        <x:v>350629</x:v>
      </x:c>
      <x:c r="D2858" s="22" t="str">
        <x:v>华安县</x:v>
      </x:c>
      <x:c r="E2858" s="22" t="str">
        <x:v>建设用地</x:v>
      </x:c>
      <x:c r="F2858" s="22" t="str">
        <x:v>工矿仓储用地</x:v>
      </x:c>
      <x:c r="G2858" s="32" t="str">
        <x:v>508</x:v>
      </x:c>
      <x:c r="H2858" s="32" t="str">
        <x:v>508</x:v>
      </x:c>
      <x:c r="I2858" s="22" t="str">
        <x:v>物流仓储用地</x:v>
      </x:c>
      <x:c r="J2858" s="22" t="str">
        <x:v>产业功能</x:v>
      </x:c>
      <x:c r="K2858" s="32" t="str">
        <x:v>203</x:v>
      </x:c>
      <x:c r="L2858" s="22" t="str">
        <x:v>村庄范围</x:v>
      </x:c>
      <x:c r="M2858" s="33" t="n">
        <x:v>118851.73</x:v>
      </x:c>
      <x:c r="N2858" s="33" t="n">
        <x:v>11.885173</x:v>
      </x:c>
      <x:c r="O2858" s="22" t="str">
        <x:v>公顷</x:v>
      </x:c>
      <x:c r="P2858" s="22" t="str">
        <x:v>未提供（单期横截面）</x:v>
      </x:c>
      <x:c r="Q2858" s="23" t="n">
        <x:v>5837</x:v>
      </x:c>
    </x:row>
    <x:row r="2859">
      <x:c r="A2859" s="30" t="n">
        <x:v>350600</x:v>
      </x:c>
      <x:c r="B2859" s="22" t="str">
        <x:v>漳州市</x:v>
      </x:c>
      <x:c r="C2859" s="31" t="n">
        <x:v>350629</x:v>
      </x:c>
      <x:c r="D2859" s="22" t="str">
        <x:v>华安县</x:v>
      </x:c>
      <x:c r="E2859" s="22" t="str">
        <x:v>建设用地</x:v>
      </x:c>
      <x:c r="F2859" s="22" t="str">
        <x:v>商业服务业用地</x:v>
      </x:c>
      <x:c r="G2859" s="32" t="str">
        <x:v>05H1</x:v>
      </x:c>
      <x:c r="H2859" s="32" t="str">
        <x:v>05H1</x:v>
      </x:c>
      <x:c r="I2859" s="22" t="str">
        <x:v>商业服务业设施用地</x:v>
      </x:c>
      <x:c r="J2859" s="22" t="str">
        <x:v>商业服务</x:v>
      </x:c>
      <x:c r="K2859" s="32" t="str">
        <x:v>203</x:v>
      </x:c>
      <x:c r="L2859" s="22" t="str">
        <x:v>村庄范围</x:v>
      </x:c>
      <x:c r="M2859" s="33" t="n">
        <x:v>284909.21</x:v>
      </x:c>
      <x:c r="N2859" s="33" t="n">
        <x:v>28.490921000000004</x:v>
      </x:c>
      <x:c r="O2859" s="22" t="str">
        <x:v>公顷</x:v>
      </x:c>
      <x:c r="P2859" s="22" t="str">
        <x:v>未提供（单期横截面）</x:v>
      </x:c>
      <x:c r="Q2859" s="23" t="n">
        <x:v>5838</x:v>
      </x:c>
    </x:row>
    <x:row r="2860">
      <x:c r="A2860" s="30" t="n">
        <x:v>350600</x:v>
      </x:c>
      <x:c r="B2860" s="22" t="str">
        <x:v>漳州市</x:v>
      </x:c>
      <x:c r="C2860" s="31" t="n">
        <x:v>350629</x:v>
      </x:c>
      <x:c r="D2860" s="22" t="str">
        <x:v>华安县</x:v>
      </x:c>
      <x:c r="E2860" s="22" t="str">
        <x:v>建设用地</x:v>
      </x:c>
      <x:c r="F2860" s="22" t="str">
        <x:v>工矿仓储用地</x:v>
      </x:c>
      <x:c r="G2860" s="32" t="str">
        <x:v>601</x:v>
      </x:c>
      <x:c r="H2860" s="32" t="str">
        <x:v>601</x:v>
      </x:c>
      <x:c r="I2860" s="22" t="str">
        <x:v>工业用地</x:v>
      </x:c>
      <x:c r="J2860" s="22" t="str">
        <x:v>产业功能</x:v>
      </x:c>
      <x:c r="K2860" s="32" t="str">
        <x:v>203</x:v>
      </x:c>
      <x:c r="L2860" s="22" t="str">
        <x:v>村庄范围</x:v>
      </x:c>
      <x:c r="M2860" s="33" t="n">
        <x:v>1655591.3600000006</x:v>
      </x:c>
      <x:c r="N2860" s="33" t="n">
        <x:v>165.55913600000005</x:v>
      </x:c>
      <x:c r="O2860" s="22" t="str">
        <x:v>公顷</x:v>
      </x:c>
      <x:c r="P2860" s="22" t="str">
        <x:v>未提供（单期横截面）</x:v>
      </x:c>
      <x:c r="Q2860" s="23" t="n">
        <x:v>5839</x:v>
      </x:c>
    </x:row>
    <x:row r="2861">
      <x:c r="A2861" s="30" t="n">
        <x:v>350600</x:v>
      </x:c>
      <x:c r="B2861" s="22" t="str">
        <x:v>漳州市</x:v>
      </x:c>
      <x:c r="C2861" s="31" t="n">
        <x:v>350629</x:v>
      </x:c>
      <x:c r="D2861" s="22" t="str">
        <x:v>华安县</x:v>
      </x:c>
      <x:c r="E2861" s="22" t="str">
        <x:v>建设用地</x:v>
      </x:c>
      <x:c r="F2861" s="22" t="str">
        <x:v>居住用地</x:v>
      </x:c>
      <x:c r="G2861" s="32" t="str">
        <x:v>702</x:v>
      </x:c>
      <x:c r="H2861" s="32" t="str">
        <x:v>702</x:v>
      </x:c>
      <x:c r="I2861" s="22" t="str">
        <x:v>农村宅基地</x:v>
      </x:c>
      <x:c r="J2861" s="22" t="str">
        <x:v>居住功能</x:v>
      </x:c>
      <x:c r="K2861" s="32" t="str">
        <x:v>203</x:v>
      </x:c>
      <x:c r="L2861" s="22" t="str">
        <x:v>村庄范围</x:v>
      </x:c>
      <x:c r="M2861" s="33" t="n">
        <x:v>18039381.629999988</x:v>
      </x:c>
      <x:c r="N2861" s="33" t="n">
        <x:v>1803.9381629999987</x:v>
      </x:c>
      <x:c r="O2861" s="22" t="str">
        <x:v>公顷</x:v>
      </x:c>
      <x:c r="P2861" s="22" t="str">
        <x:v>未提供（单期横截面）</x:v>
      </x:c>
      <x:c r="Q2861" s="23" t="n">
        <x:v>5840</x:v>
      </x:c>
    </x:row>
    <x:row r="2862">
      <x:c r="A2862" s="30" t="n">
        <x:v>350600</x:v>
      </x:c>
      <x:c r="B2862" s="22" t="str">
        <x:v>漳州市</x:v>
      </x:c>
      <x:c r="C2862" s="31" t="n">
        <x:v>350629</x:v>
      </x:c>
      <x:c r="D2862" s="22" t="str">
        <x:v>华安县</x:v>
      </x:c>
      <x:c r="E2862" s="22" t="str">
        <x:v>建设用地</x:v>
      </x:c>
      <x:c r="F2862" s="22" t="str">
        <x:v>公用设施用地</x:v>
      </x:c>
      <x:c r="G2862" s="32" t="str">
        <x:v>809</x:v>
      </x:c>
      <x:c r="H2862" s="32" t="str">
        <x:v>809</x:v>
      </x:c>
      <x:c r="I2862" s="22" t="str">
        <x:v>公用设施用地</x:v>
      </x:c>
      <x:c r="J2862" s="22" t="str">
        <x:v>其他建设</x:v>
      </x:c>
      <x:c r="K2862" s="32" t="str">
        <x:v>203</x:v>
      </x:c>
      <x:c r="L2862" s="22" t="str">
        <x:v>村庄范围</x:v>
      </x:c>
      <x:c r="M2862" s="33" t="n">
        <x:v>187742.97000000006</x:v>
      </x:c>
      <x:c r="N2862" s="33" t="n">
        <x:v>18.774297000000004</x:v>
      </x:c>
      <x:c r="O2862" s="22" t="str">
        <x:v>公顷</x:v>
      </x:c>
      <x:c r="P2862" s="22" t="str">
        <x:v>未提供（单期横截面）</x:v>
      </x:c>
      <x:c r="Q2862" s="23" t="n">
        <x:v>5841</x:v>
      </x:c>
    </x:row>
    <x:row r="2863">
      <x:c r="A2863" s="30" t="n">
        <x:v>350600</x:v>
      </x:c>
      <x:c r="B2863" s="22" t="str">
        <x:v>漳州市</x:v>
      </x:c>
      <x:c r="C2863" s="31" t="n">
        <x:v>350629</x:v>
      </x:c>
      <x:c r="D2863" s="22" t="str">
        <x:v>华安县</x:v>
      </x:c>
      <x:c r="E2863" s="22" t="str">
        <x:v>建设用地</x:v>
      </x:c>
      <x:c r="F2863" s="22" t="str">
        <x:v>绿地与广场用地</x:v>
      </x:c>
      <x:c r="G2863" s="32" t="str">
        <x:v>810</x:v>
      </x:c>
      <x:c r="H2863" s="32" t="str">
        <x:v>810</x:v>
      </x:c>
      <x:c r="I2863" s="22" t="str">
        <x:v>公园与绿地</x:v>
      </x:c>
      <x:c r="J2863" s="22" t="str">
        <x:v>公共空间</x:v>
      </x:c>
      <x:c r="K2863" s="32" t="str">
        <x:v>203</x:v>
      </x:c>
      <x:c r="L2863" s="22" t="str">
        <x:v>村庄范围</x:v>
      </x:c>
      <x:c r="M2863" s="33" t="n">
        <x:v>92914.90000000001</x:v>
      </x:c>
      <x:c r="N2863" s="33" t="n">
        <x:v>9.291490000000001</x:v>
      </x:c>
      <x:c r="O2863" s="22" t="str">
        <x:v>公顷</x:v>
      </x:c>
      <x:c r="P2863" s="22" t="str">
        <x:v>未提供（单期横截面）</x:v>
      </x:c>
      <x:c r="Q2863" s="23" t="n">
        <x:v>5842</x:v>
      </x:c>
    </x:row>
    <x:row r="2864">
      <x:c r="A2864" s="30" t="n">
        <x:v>350600</x:v>
      </x:c>
      <x:c r="B2864" s="22" t="str">
        <x:v>漳州市</x:v>
      </x:c>
      <x:c r="C2864" s="31" t="n">
        <x:v>350629</x:v>
      </x:c>
      <x:c r="D2864" s="22" t="str">
        <x:v>华安县</x:v>
      </x:c>
      <x:c r="E2864" s="22" t="str">
        <x:v>建设用地</x:v>
      </x:c>
      <x:c r="F2864" s="22" t="str">
        <x:v>绿地与广场用地</x:v>
      </x:c>
      <x:c r="G2864" s="32" t="str">
        <x:v>0810A</x:v>
      </x:c>
      <x:c r="H2864" s="32" t="str">
        <x:v>0810</x:v>
      </x:c>
      <x:c r="I2864" s="22" t="str">
        <x:v>广场用地</x:v>
      </x:c>
      <x:c r="J2864" s="22" t="str">
        <x:v>公共空间</x:v>
      </x:c>
      <x:c r="K2864" s="32" t="str">
        <x:v>203</x:v>
      </x:c>
      <x:c r="L2864" s="22" t="str">
        <x:v>村庄范围</x:v>
      </x:c>
      <x:c r="M2864" s="33" t="n">
        <x:v>21631.01</x:v>
      </x:c>
      <x:c r="N2864" s="33" t="n">
        <x:v>2.1631009999999997</x:v>
      </x:c>
      <x:c r="O2864" s="22" t="str">
        <x:v>公顷</x:v>
      </x:c>
      <x:c r="P2864" s="22" t="str">
        <x:v>未提供（单期横截面）</x:v>
      </x:c>
      <x:c r="Q2864" s="23" t="n">
        <x:v>5843</x:v>
      </x:c>
    </x:row>
    <x:row r="2865">
      <x:c r="A2865" s="30" t="n">
        <x:v>350600</x:v>
      </x:c>
      <x:c r="B2865" s="22" t="str">
        <x:v>漳州市</x:v>
      </x:c>
      <x:c r="C2865" s="31" t="n">
        <x:v>350629</x:v>
      </x:c>
      <x:c r="D2865" s="22" t="str">
        <x:v>华安县</x:v>
      </x:c>
      <x:c r="E2865" s="22" t="str">
        <x:v>建设用地</x:v>
      </x:c>
      <x:c r="F2865" s="22" t="str">
        <x:v>公共管理与公共服务用地</x:v>
      </x:c>
      <x:c r="G2865" s="32" t="str">
        <x:v>08H1</x:v>
      </x:c>
      <x:c r="H2865" s="32" t="str">
        <x:v>08H1</x:v>
      </x:c>
      <x:c r="I2865" s="22" t="str">
        <x:v>机关团体新闻出版用地</x:v>
      </x:c>
      <x:c r="J2865" s="22" t="str">
        <x:v>公共服务</x:v>
      </x:c>
      <x:c r="K2865" s="32" t="str">
        <x:v>203</x:v>
      </x:c>
      <x:c r="L2865" s="22" t="str">
        <x:v>村庄范围</x:v>
      </x:c>
      <x:c r="M2865" s="33" t="n">
        <x:v>199199.40999999995</x:v>
      </x:c>
      <x:c r="N2865" s="33" t="n">
        <x:v>19.919940999999994</x:v>
      </x:c>
      <x:c r="O2865" s="22" t="str">
        <x:v>公顷</x:v>
      </x:c>
      <x:c r="P2865" s="22" t="str">
        <x:v>未提供（单期横截面）</x:v>
      </x:c>
      <x:c r="Q2865" s="23" t="n">
        <x:v>5844</x:v>
      </x:c>
    </x:row>
    <x:row r="2866">
      <x:c r="A2866" s="30" t="n">
        <x:v>350600</x:v>
      </x:c>
      <x:c r="B2866" s="22" t="str">
        <x:v>漳州市</x:v>
      </x:c>
      <x:c r="C2866" s="31" t="n">
        <x:v>350629</x:v>
      </x:c>
      <x:c r="D2866" s="22" t="str">
        <x:v>华安县</x:v>
      </x:c>
      <x:c r="E2866" s="22" t="str">
        <x:v>建设用地</x:v>
      </x:c>
      <x:c r="F2866" s="22" t="str">
        <x:v>公共管理与公共服务用地</x:v>
      </x:c>
      <x:c r="G2866" s="32" t="str">
        <x:v>08H2</x:v>
      </x:c>
      <x:c r="H2866" s="32" t="str">
        <x:v>08H2</x:v>
      </x:c>
      <x:c r="I2866" s="22" t="str">
        <x:v>科教文卫用地</x:v>
      </x:c>
      <x:c r="J2866" s="22" t="str">
        <x:v>公共服务</x:v>
      </x:c>
      <x:c r="K2866" s="32" t="str">
        <x:v>203</x:v>
      </x:c>
      <x:c r="L2866" s="22" t="str">
        <x:v>村庄范围</x:v>
      </x:c>
      <x:c r="M2866" s="33" t="n">
        <x:v>455566.2600000001</x:v>
      </x:c>
      <x:c r="N2866" s="33" t="n">
        <x:v>45.556626000000016</x:v>
      </x:c>
      <x:c r="O2866" s="22" t="str">
        <x:v>公顷</x:v>
      </x:c>
      <x:c r="P2866" s="22" t="str">
        <x:v>未提供（单期横截面）</x:v>
      </x:c>
      <x:c r="Q2866" s="23" t="n">
        <x:v>5845</x:v>
      </x:c>
    </x:row>
    <x:row r="2867">
      <x:c r="A2867" s="30" t="n">
        <x:v>350600</x:v>
      </x:c>
      <x:c r="B2867" s="22" t="str">
        <x:v>漳州市</x:v>
      </x:c>
      <x:c r="C2867" s="31" t="n">
        <x:v>350629</x:v>
      </x:c>
      <x:c r="D2867" s="22" t="str">
        <x:v>华安县</x:v>
      </x:c>
      <x:c r="E2867" s="22" t="str">
        <x:v>建设用地</x:v>
      </x:c>
      <x:c r="F2867" s="22" t="str">
        <x:v>特殊用地</x:v>
      </x:c>
      <x:c r="G2867" s="32" t="str">
        <x:v>9</x:v>
      </x:c>
      <x:c r="H2867" s="32" t="str">
        <x:v>9</x:v>
      </x:c>
      <x:c r="I2867" s="22" t="str">
        <x:v>特殊用地</x:v>
      </x:c>
      <x:c r="J2867" s="22" t="str">
        <x:v>其他建设</x:v>
      </x:c>
      <x:c r="K2867" s="32" t="str">
        <x:v>203</x:v>
      </x:c>
      <x:c r="L2867" s="22" t="str">
        <x:v>村庄范围</x:v>
      </x:c>
      <x:c r="M2867" s="33" t="n">
        <x:v>54755.53999999998</x:v>
      </x:c>
      <x:c r="N2867" s="33" t="n">
        <x:v>5.475553999999998</x:v>
      </x:c>
      <x:c r="O2867" s="22" t="str">
        <x:v>公顷</x:v>
      </x:c>
      <x:c r="P2867" s="22" t="str">
        <x:v>未提供（单期横截面）</x:v>
      </x:c>
      <x:c r="Q2867" s="23" t="n">
        <x:v>5846</x:v>
      </x:c>
    </x:row>
    <x:row r="2868">
      <x:c r="A2868" s="30" t="n">
        <x:v>350600</x:v>
      </x:c>
      <x:c r="B2868" s="22" t="str">
        <x:v>漳州市</x:v>
      </x:c>
      <x:c r="C2868" s="31" t="n">
        <x:v>350629</x:v>
      </x:c>
      <x:c r="D2868" s="22" t="str">
        <x:v>华安县</x:v>
      </x:c>
      <x:c r="E2868" s="22" t="str">
        <x:v>建设用地</x:v>
      </x:c>
      <x:c r="F2868" s="22" t="str">
        <x:v>交通运输用地</x:v>
      </x:c>
      <x:c r="G2868" s="32" t="str">
        <x:v>1004</x:v>
      </x:c>
      <x:c r="H2868" s="32" t="str">
        <x:v>1004</x:v>
      </x:c>
      <x:c r="I2868" s="22" t="str">
        <x:v>城镇村道路用地</x:v>
      </x:c>
      <x:c r="J2868" s="22" t="str">
        <x:v>交通门户</x:v>
      </x:c>
      <x:c r="K2868" s="32" t="str">
        <x:v>203</x:v>
      </x:c>
      <x:c r="L2868" s="22" t="str">
        <x:v>村庄范围</x:v>
      </x:c>
      <x:c r="M2868" s="33" t="n">
        <x:v>476745.92999999993</x:v>
      </x:c>
      <x:c r="N2868" s="33" t="n">
        <x:v>47.674592999999994</x:v>
      </x:c>
      <x:c r="O2868" s="22" t="str">
        <x:v>公顷</x:v>
      </x:c>
      <x:c r="P2868" s="22" t="str">
        <x:v>未提供（单期横截面）</x:v>
      </x:c>
      <x:c r="Q2868" s="23" t="n">
        <x:v>5847</x:v>
      </x:c>
    </x:row>
    <x:row r="2869">
      <x:c r="A2869" s="30" t="n">
        <x:v>350600</x:v>
      </x:c>
      <x:c r="B2869" s="22" t="str">
        <x:v>漳州市</x:v>
      </x:c>
      <x:c r="C2869" s="31" t="n">
        <x:v>350629</x:v>
      </x:c>
      <x:c r="D2869" s="22" t="str">
        <x:v>华安县</x:v>
      </x:c>
      <x:c r="E2869" s="22" t="str">
        <x:v>建设用地</x:v>
      </x:c>
      <x:c r="F2869" s="22" t="str">
        <x:v>交通运输用地</x:v>
      </x:c>
      <x:c r="G2869" s="32" t="str">
        <x:v>1005</x:v>
      </x:c>
      <x:c r="H2869" s="32" t="str">
        <x:v>1005</x:v>
      </x:c>
      <x:c r="I2869" s="22" t="str">
        <x:v>交通服务场站用地</x:v>
      </x:c>
      <x:c r="J2869" s="22" t="str">
        <x:v>交通门户</x:v>
      </x:c>
      <x:c r="K2869" s="32" t="str">
        <x:v>203</x:v>
      </x:c>
      <x:c r="L2869" s="22" t="str">
        <x:v>村庄范围</x:v>
      </x:c>
      <x:c r="M2869" s="33" t="n">
        <x:v>67935.44999999998</x:v>
      </x:c>
      <x:c r="N2869" s="33" t="n">
        <x:v>6.793544999999998</x:v>
      </x:c>
      <x:c r="O2869" s="22" t="str">
        <x:v>公顷</x:v>
      </x:c>
      <x:c r="P2869" s="22" t="str">
        <x:v>未提供（单期横截面）</x:v>
      </x:c>
      <x:c r="Q2869" s="23" t="n">
        <x:v>5848</x:v>
      </x:c>
    </x:row>
    <x:row r="2870">
      <x:c r="A2870" s="30" t="n">
        <x:v>350600</x:v>
      </x:c>
      <x:c r="B2870" s="22" t="str">
        <x:v>漳州市</x:v>
      </x:c>
      <x:c r="C2870" s="31" t="n">
        <x:v>350629</x:v>
      </x:c>
      <x:c r="D2870" s="22" t="str">
        <x:v>华安县</x:v>
      </x:c>
      <x:c r="E2870" s="22" t="str">
        <x:v>建设用地</x:v>
      </x:c>
      <x:c r="F2870" s="22" t="str">
        <x:v>其他建设用地</x:v>
      </x:c>
      <x:c r="G2870" s="32" t="str">
        <x:v>1201</x:v>
      </x:c>
      <x:c r="H2870" s="32" t="str">
        <x:v>1201</x:v>
      </x:c>
      <x:c r="I2870" s="22" t="str">
        <x:v>空闲地</x:v>
      </x:c>
      <x:c r="J2870" s="22" t="str">
        <x:v>其他建设</x:v>
      </x:c>
      <x:c r="K2870" s="32" t="str">
        <x:v>203</x:v>
      </x:c>
      <x:c r="L2870" s="22" t="str">
        <x:v>村庄范围</x:v>
      </x:c>
      <x:c r="M2870" s="33" t="n">
        <x:v>3152.95</x:v>
      </x:c>
      <x:c r="N2870" s="33" t="n">
        <x:v>0.315295</x:v>
      </x:c>
      <x:c r="O2870" s="22" t="str">
        <x:v>公顷</x:v>
      </x:c>
      <x:c r="P2870" s="22" t="str">
        <x:v>未提供（单期横截面）</x:v>
      </x:c>
      <x:c r="Q2870" s="23" t="n">
        <x:v>5849</x:v>
      </x:c>
    </x:row>
    <x:row r="2871">
      <x:c r="A2871" s="30" t="n">
        <x:v>350600</x:v>
      </x:c>
      <x:c r="B2871" s="22" t="str">
        <x:v>漳州市</x:v>
      </x:c>
      <x:c r="C2871" s="31" t="n">
        <x:v>350629</x:v>
      </x:c>
      <x:c r="D2871" s="22" t="str">
        <x:v>华安县</x:v>
      </x:c>
      <x:c r="E2871" s="22" t="str">
        <x:v>建设用地</x:v>
      </x:c>
      <x:c r="F2871" s="22" t="str">
        <x:v>工矿仓储用地</x:v>
      </x:c>
      <x:c r="G2871" s="32" t="str">
        <x:v>601</x:v>
      </x:c>
      <x:c r="H2871" s="32" t="str">
        <x:v>601</x:v>
      </x:c>
      <x:c r="I2871" s="22" t="str">
        <x:v>工业用地</x:v>
      </x:c>
      <x:c r="J2871" s="22" t="str">
        <x:v>产业功能</x:v>
      </x:c>
      <x:c r="K2871" s="32" t="str">
        <x:v>203A</x:v>
      </x:c>
      <x:c r="L2871" s="22" t="str">
        <x:v>村庄独立工业用地</x:v>
      </x:c>
      <x:c r="M2871" s="33" t="n">
        <x:v>2180142.4199999995</x:v>
      </x:c>
      <x:c r="N2871" s="33" t="n">
        <x:v>218.01424199999994</x:v>
      </x:c>
      <x:c r="O2871" s="22" t="str">
        <x:v>公顷</x:v>
      </x:c>
      <x:c r="P2871" s="22" t="str">
        <x:v>未提供（单期横截面）</x:v>
      </x:c>
      <x:c r="Q2871" s="23" t="n">
        <x:v>5850</x:v>
      </x:c>
    </x:row>
    <x:row r="2872">
      <x:c r="A2872" s="30" t="n">
        <x:v>350600</x:v>
      </x:c>
      <x:c r="B2872" s="22" t="str">
        <x:v>漳州市</x:v>
      </x:c>
      <x:c r="C2872" s="31" t="n">
        <x:v>350629</x:v>
      </x:c>
      <x:c r="D2872" s="22" t="str">
        <x:v>华安县</x:v>
      </x:c>
      <x:c r="E2872" s="22" t="str">
        <x:v>建设用地</x:v>
      </x:c>
      <x:c r="F2872" s="22" t="str">
        <x:v>工矿仓储用地</x:v>
      </x:c>
      <x:c r="G2872" s="32" t="str">
        <x:v>602</x:v>
      </x:c>
      <x:c r="H2872" s="32" t="str">
        <x:v>602</x:v>
      </x:c>
      <x:c r="I2872" s="22" t="str">
        <x:v>采矿用地</x:v>
      </x:c>
      <x:c r="J2872" s="22" t="str">
        <x:v>产业功能</x:v>
      </x:c>
      <x:c r="K2872" s="32" t="str">
        <x:v>204</x:v>
      </x:c>
      <x:c r="L2872" s="22" t="str">
        <x:v>盐田及采矿用地</x:v>
      </x:c>
      <x:c r="M2872" s="33" t="n">
        <x:v>2458910.57</x:v>
      </x:c>
      <x:c r="N2872" s="33" t="n">
        <x:v>245.891057</x:v>
      </x:c>
      <x:c r="O2872" s="22" t="str">
        <x:v>公顷</x:v>
      </x:c>
      <x:c r="P2872" s="22" t="str">
        <x:v>未提供（单期横截面）</x:v>
      </x:c>
      <x:c r="Q2872" s="23" t="n">
        <x:v>5851</x:v>
      </x:c>
    </x:row>
    <x:row r="2873">
      <x:c r="A2873" s="30" t="n">
        <x:v>350600</x:v>
      </x:c>
      <x:c r="B2873" s="22" t="str">
        <x:v>漳州市</x:v>
      </x:c>
      <x:c r="C2873" s="31" t="n">
        <x:v>350629</x:v>
      </x:c>
      <x:c r="D2873" s="22" t="str">
        <x:v>华安县</x:v>
      </x:c>
      <x:c r="E2873" s="22" t="str">
        <x:v>建设用地</x:v>
      </x:c>
      <x:c r="F2873" s="22" t="str">
        <x:v>居住用地</x:v>
      </x:c>
      <x:c r="G2873" s="32" t="str">
        <x:v>702</x:v>
      </x:c>
      <x:c r="H2873" s="32" t="str">
        <x:v>702</x:v>
      </x:c>
      <x:c r="I2873" s="22" t="str">
        <x:v>农村宅基地</x:v>
      </x:c>
      <x:c r="J2873" s="22" t="str">
        <x:v>居住功能</x:v>
      </x:c>
      <x:c r="K2873" s="32" t="str">
        <x:v>204</x:v>
      </x:c>
      <x:c r="L2873" s="22" t="str">
        <x:v>盐田及采矿用地</x:v>
      </x:c>
      <x:c r="M2873" s="33" t="n">
        <x:v>198.2</x:v>
      </x:c>
      <x:c r="N2873" s="33" t="n">
        <x:v>0.019819999999999997</x:v>
      </x:c>
      <x:c r="O2873" s="22" t="str">
        <x:v>公顷</x:v>
      </x:c>
      <x:c r="P2873" s="22" t="str">
        <x:v>未提供（单期横截面）</x:v>
      </x:c>
      <x:c r="Q2873" s="23" t="n">
        <x:v>5852</x:v>
      </x:c>
    </x:row>
    <x:row r="2874">
      <x:c r="A2874" s="30" t="n">
        <x:v>350600</x:v>
      </x:c>
      <x:c r="B2874" s="22" t="str">
        <x:v>漳州市</x:v>
      </x:c>
      <x:c r="C2874" s="31" t="n">
        <x:v>350629</x:v>
      </x:c>
      <x:c r="D2874" s="22" t="str">
        <x:v>华安县</x:v>
      </x:c>
      <x:c r="E2874" s="22" t="str">
        <x:v>建设用地</x:v>
      </x:c>
      <x:c r="F2874" s="22" t="str">
        <x:v>特殊用地</x:v>
      </x:c>
      <x:c r="G2874" s="32" t="str">
        <x:v>9</x:v>
      </x:c>
      <x:c r="H2874" s="32" t="str">
        <x:v>9</x:v>
      </x:c>
      <x:c r="I2874" s="22" t="str">
        <x:v>特殊用地</x:v>
      </x:c>
      <x:c r="J2874" s="22" t="str">
        <x:v>其他建设</x:v>
      </x:c>
      <x:c r="K2874" s="32" t="str">
        <x:v>205</x:v>
      </x:c>
      <x:c r="L2874" s="22" t="str">
        <x:v>特殊用地</x:v>
      </x:c>
      <x:c r="M2874" s="33" t="n">
        <x:v>500984.95999999996</x:v>
      </x:c>
      <x:c r="N2874" s="33" t="n">
        <x:v>50.098496</x:v>
      </x:c>
      <x:c r="O2874" s="22" t="str">
        <x:v>公顷</x:v>
      </x:c>
      <x:c r="P2874" s="22" t="str">
        <x:v>未提供（单期横截面）</x:v>
      </x:c>
      <x:c r="Q2874" s="23" t="n">
        <x:v>5853</x:v>
      </x:c>
    </x:row>
    <x:row r="2875">
      <x:c r="A2875" s="30" t="n">
        <x:v>350600</x:v>
      </x:c>
      <x:c r="B2875" s="22" t="str">
        <x:v>漳州市</x:v>
      </x:c>
      <x:c r="C2875" s="31" t="n">
        <x:v>350629</x:v>
      </x:c>
      <x:c r="D2875" s="22" t="str">
        <x:v>华安县</x:v>
      </x:c>
      <x:c r="E2875" s="22" t="str">
        <x:v>农用地</x:v>
      </x:c>
      <x:c r="F2875" s="22" t="str">
        <x:v>耕地</x:v>
      </x:c>
      <x:c r="G2875" s="32" t="str">
        <x:v>101</x:v>
      </x:c>
      <x:c r="H2875" s="32" t="str">
        <x:v>101</x:v>
      </x:c>
      <x:c r="I2875" s="22" t="str">
        <x:v>水田</x:v>
      </x:c>
      <x:c r="J2875" s="22" t="str">
        <x:v>农业生态</x:v>
      </x:c>
      <x:c r="K2875" s="32" t="str"/>
      <x:c r="L2875" s="22" t="str">
        <x:v>不适用/未标注</x:v>
      </x:c>
      <x:c r="M2875" s="33" t="n">
        <x:v>46606995.580000184</x:v>
      </x:c>
      <x:c r="N2875" s="33" t="n">
        <x:v>4660.699558000018</x:v>
      </x:c>
      <x:c r="O2875" s="22" t="str">
        <x:v>公顷</x:v>
      </x:c>
      <x:c r="P2875" s="22" t="str">
        <x:v>未提供（单期横截面）</x:v>
      </x:c>
      <x:c r="Q2875" s="23" t="n">
        <x:v>5854</x:v>
      </x:c>
    </x:row>
    <x:row r="2876">
      <x:c r="A2876" s="30" t="n">
        <x:v>350600</x:v>
      </x:c>
      <x:c r="B2876" s="22" t="str">
        <x:v>漳州市</x:v>
      </x:c>
      <x:c r="C2876" s="31" t="n">
        <x:v>350629</x:v>
      </x:c>
      <x:c r="D2876" s="22" t="str">
        <x:v>华安县</x:v>
      </x:c>
      <x:c r="E2876" s="22" t="str">
        <x:v>农用地</x:v>
      </x:c>
      <x:c r="F2876" s="22" t="str">
        <x:v>耕地</x:v>
      </x:c>
      <x:c r="G2876" s="32" t="str">
        <x:v>102</x:v>
      </x:c>
      <x:c r="H2876" s="32" t="str">
        <x:v>102</x:v>
      </x:c>
      <x:c r="I2876" s="22" t="str">
        <x:v>水浇地</x:v>
      </x:c>
      <x:c r="J2876" s="22" t="str">
        <x:v>农业生态</x:v>
      </x:c>
      <x:c r="K2876" s="32" t="str"/>
      <x:c r="L2876" s="22" t="str">
        <x:v>不适用/未标注</x:v>
      </x:c>
      <x:c r="M2876" s="33" t="n">
        <x:v>13869.27</x:v>
      </x:c>
      <x:c r="N2876" s="33" t="n">
        <x:v>1.386927</x:v>
      </x:c>
      <x:c r="O2876" s="22" t="str">
        <x:v>公顷</x:v>
      </x:c>
      <x:c r="P2876" s="22" t="str">
        <x:v>未提供（单期横截面）</x:v>
      </x:c>
      <x:c r="Q2876" s="23" t="n">
        <x:v>5855</x:v>
      </x:c>
    </x:row>
    <x:row r="2877">
      <x:c r="A2877" s="30" t="n">
        <x:v>350600</x:v>
      </x:c>
      <x:c r="B2877" s="22" t="str">
        <x:v>漳州市</x:v>
      </x:c>
      <x:c r="C2877" s="31" t="n">
        <x:v>350629</x:v>
      </x:c>
      <x:c r="D2877" s="22" t="str">
        <x:v>华安县</x:v>
      </x:c>
      <x:c r="E2877" s="22" t="str">
        <x:v>农用地</x:v>
      </x:c>
      <x:c r="F2877" s="22" t="str">
        <x:v>耕地</x:v>
      </x:c>
      <x:c r="G2877" s="32" t="str">
        <x:v>103</x:v>
      </x:c>
      <x:c r="H2877" s="32" t="str">
        <x:v>103</x:v>
      </x:c>
      <x:c r="I2877" s="22" t="str">
        <x:v>旱地</x:v>
      </x:c>
      <x:c r="J2877" s="22" t="str">
        <x:v>农业生态</x:v>
      </x:c>
      <x:c r="K2877" s="32" t="str"/>
      <x:c r="L2877" s="22" t="str">
        <x:v>不适用/未标注</x:v>
      </x:c>
      <x:c r="M2877" s="33" t="n">
        <x:v>4489656.959999995</x:v>
      </x:c>
      <x:c r="N2877" s="33" t="n">
        <x:v>448.9656959999995</x:v>
      </x:c>
      <x:c r="O2877" s="22" t="str">
        <x:v>公顷</x:v>
      </x:c>
      <x:c r="P2877" s="22" t="str">
        <x:v>未提供（单期横截面）</x:v>
      </x:c>
      <x:c r="Q2877" s="23" t="n">
        <x:v>5856</x:v>
      </x:c>
    </x:row>
    <x:row r="2878">
      <x:c r="A2878" s="30" t="n">
        <x:v>350600</x:v>
      </x:c>
      <x:c r="B2878" s="22" t="str">
        <x:v>漳州市</x:v>
      </x:c>
      <x:c r="C2878" s="31" t="n">
        <x:v>350629</x:v>
      </x:c>
      <x:c r="D2878" s="22" t="str">
        <x:v>华安县</x:v>
      </x:c>
      <x:c r="E2878" s="22" t="str">
        <x:v>农用地</x:v>
      </x:c>
      <x:c r="F2878" s="22" t="str">
        <x:v>园地</x:v>
      </x:c>
      <x:c r="G2878" s="32" t="str">
        <x:v>201</x:v>
      </x:c>
      <x:c r="H2878" s="32" t="str">
        <x:v>201</x:v>
      </x:c>
      <x:c r="I2878" s="22" t="str">
        <x:v>果园</x:v>
      </x:c>
      <x:c r="J2878" s="22" t="str">
        <x:v>农业生态</x:v>
      </x:c>
      <x:c r="K2878" s="32" t="str"/>
      <x:c r="L2878" s="22" t="str">
        <x:v>不适用/未标注</x:v>
      </x:c>
      <x:c r="M2878" s="33" t="n">
        <x:v>71454109.44999984</x:v>
      </x:c>
      <x:c r="N2878" s="33" t="n">
        <x:v>7145.410944999984</x:v>
      </x:c>
      <x:c r="O2878" s="22" t="str">
        <x:v>公顷</x:v>
      </x:c>
      <x:c r="P2878" s="22" t="str">
        <x:v>未提供（单期横截面）</x:v>
      </x:c>
      <x:c r="Q2878" s="23" t="n">
        <x:v>5857</x:v>
      </x:c>
    </x:row>
    <x:row r="2879">
      <x:c r="A2879" s="30" t="n">
        <x:v>350600</x:v>
      </x:c>
      <x:c r="B2879" s="22" t="str">
        <x:v>漳州市</x:v>
      </x:c>
      <x:c r="C2879" s="31" t="n">
        <x:v>350629</x:v>
      </x:c>
      <x:c r="D2879" s="22" t="str">
        <x:v>华安县</x:v>
      </x:c>
      <x:c r="E2879" s="22" t="str">
        <x:v>农用地</x:v>
      </x:c>
      <x:c r="F2879" s="22" t="str">
        <x:v>园地</x:v>
      </x:c>
      <x:c r="G2879" s="32" t="str">
        <x:v>0201K</x:v>
      </x:c>
      <x:c r="H2879" s="32" t="str">
        <x:v>201</x:v>
      </x:c>
      <x:c r="I2879" s="22" t="str">
        <x:v>可调整果园</x:v>
      </x:c>
      <x:c r="J2879" s="22" t="str">
        <x:v>农业生态</x:v>
      </x:c>
      <x:c r="K2879" s="32" t="str"/>
      <x:c r="L2879" s="22" t="str">
        <x:v>不适用/未标注</x:v>
      </x:c>
      <x:c r="M2879" s="33" t="n">
        <x:v>891343.0800000007</x:v>
      </x:c>
      <x:c r="N2879" s="33" t="n">
        <x:v>89.13430800000006</x:v>
      </x:c>
      <x:c r="O2879" s="22" t="str">
        <x:v>公顷</x:v>
      </x:c>
      <x:c r="P2879" s="22" t="str">
        <x:v>未提供（单期横截面）</x:v>
      </x:c>
      <x:c r="Q2879" s="23" t="n">
        <x:v>5858</x:v>
      </x:c>
    </x:row>
    <x:row r="2880">
      <x:c r="A2880" s="30" t="n">
        <x:v>350600</x:v>
      </x:c>
      <x:c r="B2880" s="22" t="str">
        <x:v>漳州市</x:v>
      </x:c>
      <x:c r="C2880" s="31" t="n">
        <x:v>350629</x:v>
      </x:c>
      <x:c r="D2880" s="22" t="str">
        <x:v>华安县</x:v>
      </x:c>
      <x:c r="E2880" s="22" t="str">
        <x:v>农用地</x:v>
      </x:c>
      <x:c r="F2880" s="22" t="str">
        <x:v>园地</x:v>
      </x:c>
      <x:c r="G2880" s="32" t="str">
        <x:v>202</x:v>
      </x:c>
      <x:c r="H2880" s="32" t="str">
        <x:v>202</x:v>
      </x:c>
      <x:c r="I2880" s="22" t="str">
        <x:v>茶园</x:v>
      </x:c>
      <x:c r="J2880" s="22" t="str">
        <x:v>农业生态</x:v>
      </x:c>
      <x:c r="K2880" s="32" t="str"/>
      <x:c r="L2880" s="22" t="str">
        <x:v>不适用/未标注</x:v>
      </x:c>
      <x:c r="M2880" s="33" t="n">
        <x:v>89965270.95999995</x:v>
      </x:c>
      <x:c r="N2880" s="33" t="n">
        <x:v>8996.527095999994</x:v>
      </x:c>
      <x:c r="O2880" s="22" t="str">
        <x:v>公顷</x:v>
      </x:c>
      <x:c r="P2880" s="22" t="str">
        <x:v>未提供（单期横截面）</x:v>
      </x:c>
      <x:c r="Q2880" s="23" t="n">
        <x:v>5859</x:v>
      </x:c>
    </x:row>
    <x:row r="2881">
      <x:c r="A2881" s="30" t="n">
        <x:v>350600</x:v>
      </x:c>
      <x:c r="B2881" s="22" t="str">
        <x:v>漳州市</x:v>
      </x:c>
      <x:c r="C2881" s="31" t="n">
        <x:v>350629</x:v>
      </x:c>
      <x:c r="D2881" s="22" t="str">
        <x:v>华安县</x:v>
      </x:c>
      <x:c r="E2881" s="22" t="str">
        <x:v>农用地</x:v>
      </x:c>
      <x:c r="F2881" s="22" t="str">
        <x:v>园地</x:v>
      </x:c>
      <x:c r="G2881" s="32" t="str">
        <x:v>0202K</x:v>
      </x:c>
      <x:c r="H2881" s="32" t="str">
        <x:v>0202</x:v>
      </x:c>
      <x:c r="I2881" s="22" t="str">
        <x:v>可调整茶园</x:v>
      </x:c>
      <x:c r="J2881" s="22" t="str">
        <x:v>农业生态</x:v>
      </x:c>
      <x:c r="K2881" s="32" t="str"/>
      <x:c r="L2881" s="22" t="str">
        <x:v>不适用/未标注</x:v>
      </x:c>
      <x:c r="M2881" s="33" t="n">
        <x:v>1844468.0399999998</x:v>
      </x:c>
      <x:c r="N2881" s="33" t="n">
        <x:v>184.446804</x:v>
      </x:c>
      <x:c r="O2881" s="22" t="str">
        <x:v>公顷</x:v>
      </x:c>
      <x:c r="P2881" s="22" t="str">
        <x:v>未提供（单期横截面）</x:v>
      </x:c>
      <x:c r="Q2881" s="23" t="n">
        <x:v>5860</x:v>
      </x:c>
    </x:row>
    <x:row r="2882">
      <x:c r="A2882" s="30" t="n">
        <x:v>350600</x:v>
      </x:c>
      <x:c r="B2882" s="22" t="str">
        <x:v>漳州市</x:v>
      </x:c>
      <x:c r="C2882" s="31" t="n">
        <x:v>350629</x:v>
      </x:c>
      <x:c r="D2882" s="22" t="str">
        <x:v>华安县</x:v>
      </x:c>
      <x:c r="E2882" s="22" t="str">
        <x:v>农用地</x:v>
      </x:c>
      <x:c r="F2882" s="22" t="str">
        <x:v>园地</x:v>
      </x:c>
      <x:c r="G2882" s="32" t="str">
        <x:v>204</x:v>
      </x:c>
      <x:c r="H2882" s="32" t="str">
        <x:v>204</x:v>
      </x:c>
      <x:c r="I2882" s="22" t="str">
        <x:v>其他园地</x:v>
      </x:c>
      <x:c r="J2882" s="22" t="str">
        <x:v>农业生态</x:v>
      </x:c>
      <x:c r="K2882" s="32" t="str"/>
      <x:c r="L2882" s="22" t="str">
        <x:v>不适用/未标注</x:v>
      </x:c>
      <x:c r="M2882" s="33" t="n">
        <x:v>1434875.8499999992</x:v>
      </x:c>
      <x:c r="N2882" s="33" t="n">
        <x:v>143.4875849999999</x:v>
      </x:c>
      <x:c r="O2882" s="22" t="str">
        <x:v>公顷</x:v>
      </x:c>
      <x:c r="P2882" s="22" t="str">
        <x:v>未提供（单期横截面）</x:v>
      </x:c>
      <x:c r="Q2882" s="23" t="n">
        <x:v>5861</x:v>
      </x:c>
    </x:row>
    <x:row r="2883">
      <x:c r="A2883" s="30" t="n">
        <x:v>350600</x:v>
      </x:c>
      <x:c r="B2883" s="22" t="str">
        <x:v>漳州市</x:v>
      </x:c>
      <x:c r="C2883" s="31" t="n">
        <x:v>350629</x:v>
      </x:c>
      <x:c r="D2883" s="22" t="str">
        <x:v>华安县</x:v>
      </x:c>
      <x:c r="E2883" s="22" t="str">
        <x:v>农用地</x:v>
      </x:c>
      <x:c r="F2883" s="22" t="str">
        <x:v>园地</x:v>
      </x:c>
      <x:c r="G2883" s="32" t="str">
        <x:v>0204K</x:v>
      </x:c>
      <x:c r="H2883" s="32" t="str">
        <x:v>0204</x:v>
      </x:c>
      <x:c r="I2883" s="22" t="str">
        <x:v>可调整其他园地</x:v>
      </x:c>
      <x:c r="J2883" s="22" t="str">
        <x:v>农业生态</x:v>
      </x:c>
      <x:c r="K2883" s="32" t="str"/>
      <x:c r="L2883" s="22" t="str">
        <x:v>不适用/未标注</x:v>
      </x:c>
      <x:c r="M2883" s="33" t="n">
        <x:v>50566.28</x:v>
      </x:c>
      <x:c r="N2883" s="33" t="n">
        <x:v>5.056628</x:v>
      </x:c>
      <x:c r="O2883" s="22" t="str">
        <x:v>公顷</x:v>
      </x:c>
      <x:c r="P2883" s="22" t="str">
        <x:v>未提供（单期横截面）</x:v>
      </x:c>
      <x:c r="Q2883" s="23" t="n">
        <x:v>5862</x:v>
      </x:c>
    </x:row>
    <x:row r="2884">
      <x:c r="A2884" s="30" t="n">
        <x:v>350600</x:v>
      </x:c>
      <x:c r="B2884" s="22" t="str">
        <x:v>漳州市</x:v>
      </x:c>
      <x:c r="C2884" s="31" t="n">
        <x:v>350629</x:v>
      </x:c>
      <x:c r="D2884" s="22" t="str">
        <x:v>华安县</x:v>
      </x:c>
      <x:c r="E2884" s="22" t="str">
        <x:v>农用地</x:v>
      </x:c>
      <x:c r="F2884" s="22" t="str">
        <x:v>林地</x:v>
      </x:c>
      <x:c r="G2884" s="32" t="str">
        <x:v>301</x:v>
      </x:c>
      <x:c r="H2884" s="32" t="str">
        <x:v>301</x:v>
      </x:c>
      <x:c r="I2884" s="22" t="str">
        <x:v>乔木林地</x:v>
      </x:c>
      <x:c r="J2884" s="22" t="str">
        <x:v>农业生态</x:v>
      </x:c>
      <x:c r="K2884" s="32" t="str"/>
      <x:c r="L2884" s="22" t="str">
        <x:v>不适用/未标注</x:v>
      </x:c>
      <x:c r="M2884" s="33" t="n">
        <x:v>762591585.4600017</x:v>
      </x:c>
      <x:c r="N2884" s="33" t="n">
        <x:v>76259.15854600017</x:v>
      </x:c>
      <x:c r="O2884" s="22" t="str">
        <x:v>公顷</x:v>
      </x:c>
      <x:c r="P2884" s="22" t="str">
        <x:v>未提供（单期横截面）</x:v>
      </x:c>
      <x:c r="Q2884" s="23" t="n">
        <x:v>5863</x:v>
      </x:c>
    </x:row>
    <x:row r="2885">
      <x:c r="A2885" s="30" t="n">
        <x:v>350600</x:v>
      </x:c>
      <x:c r="B2885" s="22" t="str">
        <x:v>漳州市</x:v>
      </x:c>
      <x:c r="C2885" s="31" t="n">
        <x:v>350629</x:v>
      </x:c>
      <x:c r="D2885" s="22" t="str">
        <x:v>华安县</x:v>
      </x:c>
      <x:c r="E2885" s="22" t="str">
        <x:v>农用地</x:v>
      </x:c>
      <x:c r="F2885" s="22" t="str">
        <x:v>林地</x:v>
      </x:c>
      <x:c r="G2885" s="32" t="str">
        <x:v>0301K</x:v>
      </x:c>
      <x:c r="H2885" s="32" t="str">
        <x:v>0301</x:v>
      </x:c>
      <x:c r="I2885" s="22" t="str">
        <x:v>可调整乔木林地</x:v>
      </x:c>
      <x:c r="J2885" s="22" t="str">
        <x:v>农业生态</x:v>
      </x:c>
      <x:c r="K2885" s="32" t="str"/>
      <x:c r="L2885" s="22" t="str">
        <x:v>不适用/未标注</x:v>
      </x:c>
      <x:c r="M2885" s="33" t="n">
        <x:v>4955817.270000001</x:v>
      </x:c>
      <x:c r="N2885" s="33" t="n">
        <x:v>495.5817270000001</x:v>
      </x:c>
      <x:c r="O2885" s="22" t="str">
        <x:v>公顷</x:v>
      </x:c>
      <x:c r="P2885" s="22" t="str">
        <x:v>未提供（单期横截面）</x:v>
      </x:c>
      <x:c r="Q2885" s="23" t="n">
        <x:v>5864</x:v>
      </x:c>
    </x:row>
    <x:row r="2886">
      <x:c r="A2886" s="30" t="n">
        <x:v>350600</x:v>
      </x:c>
      <x:c r="B2886" s="22" t="str">
        <x:v>漳州市</x:v>
      </x:c>
      <x:c r="C2886" s="31" t="n">
        <x:v>350629</x:v>
      </x:c>
      <x:c r="D2886" s="22" t="str">
        <x:v>华安县</x:v>
      </x:c>
      <x:c r="E2886" s="22" t="str">
        <x:v>农用地</x:v>
      </x:c>
      <x:c r="F2886" s="22" t="str">
        <x:v>林地</x:v>
      </x:c>
      <x:c r="G2886" s="32" t="str">
        <x:v>302</x:v>
      </x:c>
      <x:c r="H2886" s="32" t="str">
        <x:v>302</x:v>
      </x:c>
      <x:c r="I2886" s="22" t="str">
        <x:v>竹林地</x:v>
      </x:c>
      <x:c r="J2886" s="22" t="str">
        <x:v>农业生态</x:v>
      </x:c>
      <x:c r="K2886" s="32" t="str"/>
      <x:c r="L2886" s="22" t="str">
        <x:v>不适用/未标注</x:v>
      </x:c>
      <x:c r="M2886" s="33" t="n">
        <x:v>72201895.76</x:v>
      </x:c>
      <x:c r="N2886" s="33" t="n">
        <x:v>7220.189576000001</x:v>
      </x:c>
      <x:c r="O2886" s="22" t="str">
        <x:v>公顷</x:v>
      </x:c>
      <x:c r="P2886" s="22" t="str">
        <x:v>未提供（单期横截面）</x:v>
      </x:c>
      <x:c r="Q2886" s="23" t="n">
        <x:v>5865</x:v>
      </x:c>
    </x:row>
    <x:row r="2887">
      <x:c r="A2887" s="30" t="n">
        <x:v>350600</x:v>
      </x:c>
      <x:c r="B2887" s="22" t="str">
        <x:v>漳州市</x:v>
      </x:c>
      <x:c r="C2887" s="31" t="n">
        <x:v>350629</x:v>
      </x:c>
      <x:c r="D2887" s="22" t="str">
        <x:v>华安县</x:v>
      </x:c>
      <x:c r="E2887" s="22" t="str">
        <x:v>农用地</x:v>
      </x:c>
      <x:c r="F2887" s="22" t="str">
        <x:v>林地</x:v>
      </x:c>
      <x:c r="G2887" s="32" t="str">
        <x:v>0302K</x:v>
      </x:c>
      <x:c r="H2887" s="32" t="str">
        <x:v>0302</x:v>
      </x:c>
      <x:c r="I2887" s="22" t="str">
        <x:v>可调整竹林地</x:v>
      </x:c>
      <x:c r="J2887" s="22" t="str">
        <x:v>农业生态</x:v>
      </x:c>
      <x:c r="K2887" s="32" t="str"/>
      <x:c r="L2887" s="22" t="str">
        <x:v>不适用/未标注</x:v>
      </x:c>
      <x:c r="M2887" s="33" t="n">
        <x:v>1887397.3199999998</x:v>
      </x:c>
      <x:c r="N2887" s="33" t="n">
        <x:v>188.73973199999998</x:v>
      </x:c>
      <x:c r="O2887" s="22" t="str">
        <x:v>公顷</x:v>
      </x:c>
      <x:c r="P2887" s="22" t="str">
        <x:v>未提供（单期横截面）</x:v>
      </x:c>
      <x:c r="Q2887" s="23" t="n">
        <x:v>5866</x:v>
      </x:c>
    </x:row>
    <x:row r="2888">
      <x:c r="A2888" s="30" t="n">
        <x:v>350600</x:v>
      </x:c>
      <x:c r="B2888" s="22" t="str">
        <x:v>漳州市</x:v>
      </x:c>
      <x:c r="C2888" s="31" t="n">
        <x:v>350629</x:v>
      </x:c>
      <x:c r="D2888" s="22" t="str">
        <x:v>华安县</x:v>
      </x:c>
      <x:c r="E2888" s="22" t="str">
        <x:v>农用地</x:v>
      </x:c>
      <x:c r="F2888" s="22" t="str">
        <x:v>林地</x:v>
      </x:c>
      <x:c r="G2888" s="32" t="str">
        <x:v>305</x:v>
      </x:c>
      <x:c r="H2888" s="32" t="str">
        <x:v>305</x:v>
      </x:c>
      <x:c r="I2888" s="22" t="str">
        <x:v>灌木林地</x:v>
      </x:c>
      <x:c r="J2888" s="22" t="str">
        <x:v>农业生态</x:v>
      </x:c>
      <x:c r="K2888" s="32" t="str"/>
      <x:c r="L2888" s="22" t="str">
        <x:v>不适用/未标注</x:v>
      </x:c>
      <x:c r="M2888" s="33" t="n">
        <x:v>3181163.899999996</x:v>
      </x:c>
      <x:c r="N2888" s="33" t="n">
        <x:v>318.1163899999996</x:v>
      </x:c>
      <x:c r="O2888" s="22" t="str">
        <x:v>公顷</x:v>
      </x:c>
      <x:c r="P2888" s="22" t="str">
        <x:v>未提供（单期横截面）</x:v>
      </x:c>
      <x:c r="Q2888" s="23" t="n">
        <x:v>5867</x:v>
      </x:c>
    </x:row>
    <x:row r="2889">
      <x:c r="A2889" s="30" t="n">
        <x:v>350600</x:v>
      </x:c>
      <x:c r="B2889" s="22" t="str">
        <x:v>漳州市</x:v>
      </x:c>
      <x:c r="C2889" s="31" t="n">
        <x:v>350629</x:v>
      </x:c>
      <x:c r="D2889" s="22" t="str">
        <x:v>华安县</x:v>
      </x:c>
      <x:c r="E2889" s="22" t="str">
        <x:v>农用地</x:v>
      </x:c>
      <x:c r="F2889" s="22" t="str">
        <x:v>林地</x:v>
      </x:c>
      <x:c r="G2889" s="32" t="str">
        <x:v>307</x:v>
      </x:c>
      <x:c r="H2889" s="32" t="str">
        <x:v>307</x:v>
      </x:c>
      <x:c r="I2889" s="22" t="str">
        <x:v>其他林地</x:v>
      </x:c>
      <x:c r="J2889" s="22" t="str">
        <x:v>农业生态</x:v>
      </x:c>
      <x:c r="K2889" s="32" t="str"/>
      <x:c r="L2889" s="22" t="str">
        <x:v>不适用/未标注</x:v>
      </x:c>
      <x:c r="M2889" s="33" t="n">
        <x:v>112529984.25000046</x:v>
      </x:c>
      <x:c r="N2889" s="33" t="n">
        <x:v>11252.998425000047</x:v>
      </x:c>
      <x:c r="O2889" s="22" t="str">
        <x:v>公顷</x:v>
      </x:c>
      <x:c r="P2889" s="22" t="str">
        <x:v>未提供（单期横截面）</x:v>
      </x:c>
      <x:c r="Q2889" s="23" t="n">
        <x:v>5868</x:v>
      </x:c>
    </x:row>
    <x:row r="2890">
      <x:c r="A2890" s="30" t="n">
        <x:v>350600</x:v>
      </x:c>
      <x:c r="B2890" s="22" t="str">
        <x:v>漳州市</x:v>
      </x:c>
      <x:c r="C2890" s="31" t="n">
        <x:v>350629</x:v>
      </x:c>
      <x:c r="D2890" s="22" t="str">
        <x:v>华安县</x:v>
      </x:c>
      <x:c r="E2890" s="22" t="str">
        <x:v>农用地</x:v>
      </x:c>
      <x:c r="F2890" s="22" t="str">
        <x:v>林地</x:v>
      </x:c>
      <x:c r="G2890" s="32" t="str">
        <x:v>0307K</x:v>
      </x:c>
      <x:c r="H2890" s="32" t="str">
        <x:v>0307</x:v>
      </x:c>
      <x:c r="I2890" s="22" t="str">
        <x:v>可调整其他林地</x:v>
      </x:c>
      <x:c r="J2890" s="22" t="str">
        <x:v>农业生态</x:v>
      </x:c>
      <x:c r="K2890" s="32" t="str"/>
      <x:c r="L2890" s="22" t="str">
        <x:v>不适用/未标注</x:v>
      </x:c>
      <x:c r="M2890" s="33" t="n">
        <x:v>170585.51999999996</x:v>
      </x:c>
      <x:c r="N2890" s="33" t="n">
        <x:v>17.058551999999995</x:v>
      </x:c>
      <x:c r="O2890" s="22" t="str">
        <x:v>公顷</x:v>
      </x:c>
      <x:c r="P2890" s="22" t="str">
        <x:v>未提供（单期横截面）</x:v>
      </x:c>
      <x:c r="Q2890" s="23" t="n">
        <x:v>5869</x:v>
      </x:c>
    </x:row>
    <x:row r="2891">
      <x:c r="A2891" s="30" t="n">
        <x:v>350600</x:v>
      </x:c>
      <x:c r="B2891" s="22" t="str">
        <x:v>漳州市</x:v>
      </x:c>
      <x:c r="C2891" s="31" t="n">
        <x:v>350629</x:v>
      </x:c>
      <x:c r="D2891" s="22" t="str">
        <x:v>华安县</x:v>
      </x:c>
      <x:c r="E2891" s="22" t="str">
        <x:v>农用地</x:v>
      </x:c>
      <x:c r="F2891" s="22" t="str">
        <x:v>其他农用地</x:v>
      </x:c>
      <x:c r="G2891" s="32" t="str">
        <x:v>1006</x:v>
      </x:c>
      <x:c r="H2891" s="32" t="str">
        <x:v>1006</x:v>
      </x:c>
      <x:c r="I2891" s="22" t="str">
        <x:v>农村道路</x:v>
      </x:c>
      <x:c r="J2891" s="22" t="str">
        <x:v>农业生态</x:v>
      </x:c>
      <x:c r="K2891" s="32" t="str"/>
      <x:c r="L2891" s="22" t="str">
        <x:v>不适用/未标注</x:v>
      </x:c>
      <x:c r="M2891" s="33" t="n">
        <x:v>10782396.269999985</x:v>
      </x:c>
      <x:c r="N2891" s="33" t="n">
        <x:v>1078.2396269999986</x:v>
      </x:c>
      <x:c r="O2891" s="22" t="str">
        <x:v>公顷</x:v>
      </x:c>
      <x:c r="P2891" s="22" t="str">
        <x:v>未提供（单期横截面）</x:v>
      </x:c>
      <x:c r="Q2891" s="23" t="n">
        <x:v>5870</x:v>
      </x:c>
    </x:row>
    <x:row r="2892">
      <x:c r="A2892" s="30" t="n">
        <x:v>350600</x:v>
      </x:c>
      <x:c r="B2892" s="22" t="str">
        <x:v>漳州市</x:v>
      </x:c>
      <x:c r="C2892" s="31" t="n">
        <x:v>350629</x:v>
      </x:c>
      <x:c r="D2892" s="22" t="str">
        <x:v>华安县</x:v>
      </x:c>
      <x:c r="E2892" s="22" t="str">
        <x:v>农用地</x:v>
      </x:c>
      <x:c r="F2892" s="22" t="str">
        <x:v>水域及水利设施</x:v>
      </x:c>
      <x:c r="G2892" s="32" t="str">
        <x:v>1103</x:v>
      </x:c>
      <x:c r="H2892" s="32" t="str">
        <x:v>1103</x:v>
      </x:c>
      <x:c r="I2892" s="22" t="str">
        <x:v>水库水面</x:v>
      </x:c>
      <x:c r="J2892" s="22" t="str">
        <x:v>农业生态</x:v>
      </x:c>
      <x:c r="K2892" s="32" t="str"/>
      <x:c r="L2892" s="22" t="str">
        <x:v>不适用/未标注</x:v>
      </x:c>
      <x:c r="M2892" s="33" t="n">
        <x:v>815025.69</x:v>
      </x:c>
      <x:c r="N2892" s="33" t="n">
        <x:v>81.502569</x:v>
      </x:c>
      <x:c r="O2892" s="22" t="str">
        <x:v>公顷</x:v>
      </x:c>
      <x:c r="P2892" s="22" t="str">
        <x:v>未提供（单期横截面）</x:v>
      </x:c>
      <x:c r="Q2892" s="23" t="n">
        <x:v>5871</x:v>
      </x:c>
    </x:row>
    <x:row r="2893">
      <x:c r="A2893" s="30" t="n">
        <x:v>350600</x:v>
      </x:c>
      <x:c r="B2893" s="22" t="str">
        <x:v>漳州市</x:v>
      </x:c>
      <x:c r="C2893" s="31" t="n">
        <x:v>350629</x:v>
      </x:c>
      <x:c r="D2893" s="22" t="str">
        <x:v>华安县</x:v>
      </x:c>
      <x:c r="E2893" s="22" t="str">
        <x:v>农用地</x:v>
      </x:c>
      <x:c r="F2893" s="22" t="str">
        <x:v>水域及水利设施</x:v>
      </x:c>
      <x:c r="G2893" s="32" t="str">
        <x:v>1104</x:v>
      </x:c>
      <x:c r="H2893" s="32" t="str">
        <x:v>1104</x:v>
      </x:c>
      <x:c r="I2893" s="22" t="str">
        <x:v>坑塘水面</x:v>
      </x:c>
      <x:c r="J2893" s="22" t="str">
        <x:v>农业生态</x:v>
      </x:c>
      <x:c r="K2893" s="32" t="str"/>
      <x:c r="L2893" s="22" t="str">
        <x:v>不适用/未标注</x:v>
      </x:c>
      <x:c r="M2893" s="33" t="n">
        <x:v>3248770.210000002</x:v>
      </x:c>
      <x:c r="N2893" s="33" t="n">
        <x:v>324.8770210000002</x:v>
      </x:c>
      <x:c r="O2893" s="22" t="str">
        <x:v>公顷</x:v>
      </x:c>
      <x:c r="P2893" s="22" t="str">
        <x:v>未提供（单期横截面）</x:v>
      </x:c>
      <x:c r="Q2893" s="23" t="n">
        <x:v>5872</x:v>
      </x:c>
    </x:row>
    <x:row r="2894">
      <x:c r="A2894" s="30" t="n">
        <x:v>350600</x:v>
      </x:c>
      <x:c r="B2894" s="22" t="str">
        <x:v>漳州市</x:v>
      </x:c>
      <x:c r="C2894" s="31" t="n">
        <x:v>350629</x:v>
      </x:c>
      <x:c r="D2894" s="22" t="str">
        <x:v>华安县</x:v>
      </x:c>
      <x:c r="E2894" s="22" t="str">
        <x:v>农用地</x:v>
      </x:c>
      <x:c r="F2894" s="22" t="str">
        <x:v>水域及水利设施</x:v>
      </x:c>
      <x:c r="G2894" s="32" t="str">
        <x:v>1104A</x:v>
      </x:c>
      <x:c r="H2894" s="32" t="str">
        <x:v>1104</x:v>
      </x:c>
      <x:c r="I2894" s="22" t="str">
        <x:v>养殖坑塘</x:v>
      </x:c>
      <x:c r="J2894" s="22" t="str">
        <x:v>农业生态</x:v>
      </x:c>
      <x:c r="K2894" s="32" t="str"/>
      <x:c r="L2894" s="22" t="str">
        <x:v>不适用/未标注</x:v>
      </x:c>
      <x:c r="M2894" s="33" t="n">
        <x:v>765564.65</x:v>
      </x:c>
      <x:c r="N2894" s="33" t="n">
        <x:v>76.556465</x:v>
      </x:c>
      <x:c r="O2894" s="22" t="str">
        <x:v>公顷</x:v>
      </x:c>
      <x:c r="P2894" s="22" t="str">
        <x:v>未提供（单期横截面）</x:v>
      </x:c>
      <x:c r="Q2894" s="23" t="n">
        <x:v>5873</x:v>
      </x:c>
    </x:row>
    <x:row r="2895">
      <x:c r="A2895" s="30" t="n">
        <x:v>350600</x:v>
      </x:c>
      <x:c r="B2895" s="22" t="str">
        <x:v>漳州市</x:v>
      </x:c>
      <x:c r="C2895" s="31" t="n">
        <x:v>350629</x:v>
      </x:c>
      <x:c r="D2895" s="22" t="str">
        <x:v>华安县</x:v>
      </x:c>
      <x:c r="E2895" s="22" t="str">
        <x:v>农用地</x:v>
      </x:c>
      <x:c r="F2895" s="22" t="str">
        <x:v>水域及水利设施</x:v>
      </x:c>
      <x:c r="G2895" s="32" t="str">
        <x:v>1107</x:v>
      </x:c>
      <x:c r="H2895" s="32" t="str">
        <x:v>1107</x:v>
      </x:c>
      <x:c r="I2895" s="22" t="str">
        <x:v>沟渠</x:v>
      </x:c>
      <x:c r="J2895" s="22" t="str">
        <x:v>农业生态</x:v>
      </x:c>
      <x:c r="K2895" s="32" t="str"/>
      <x:c r="L2895" s="22" t="str">
        <x:v>不适用/未标注</x:v>
      </x:c>
      <x:c r="M2895" s="33" t="n">
        <x:v>4167802.799999995</x:v>
      </x:c>
      <x:c r="N2895" s="33" t="n">
        <x:v>416.7802799999995</x:v>
      </x:c>
      <x:c r="O2895" s="22" t="str">
        <x:v>公顷</x:v>
      </x:c>
      <x:c r="P2895" s="22" t="str">
        <x:v>未提供（单期横截面）</x:v>
      </x:c>
      <x:c r="Q2895" s="23" t="n">
        <x:v>5874</x:v>
      </x:c>
    </x:row>
    <x:row r="2896">
      <x:c r="A2896" s="30" t="n">
        <x:v>350600</x:v>
      </x:c>
      <x:c r="B2896" s="22" t="str">
        <x:v>漳州市</x:v>
      </x:c>
      <x:c r="C2896" s="31" t="n">
        <x:v>350629</x:v>
      </x:c>
      <x:c r="D2896" s="22" t="str">
        <x:v>华安县</x:v>
      </x:c>
      <x:c r="E2896" s="22" t="str">
        <x:v>农用地</x:v>
      </x:c>
      <x:c r="F2896" s="22" t="str">
        <x:v>其他农用地</x:v>
      </x:c>
      <x:c r="G2896" s="32" t="str">
        <x:v>1202</x:v>
      </x:c>
      <x:c r="H2896" s="32" t="str">
        <x:v>1202</x:v>
      </x:c>
      <x:c r="I2896" s="22" t="str">
        <x:v>设施农用地</x:v>
      </x:c>
      <x:c r="J2896" s="22" t="str">
        <x:v>农业生态</x:v>
      </x:c>
      <x:c r="K2896" s="32" t="str"/>
      <x:c r="L2896" s="22" t="str">
        <x:v>不适用/未标注</x:v>
      </x:c>
      <x:c r="M2896" s="33" t="n">
        <x:v>3179416.93</x:v>
      </x:c>
      <x:c r="N2896" s="33" t="n">
        <x:v>317.94169300000004</x:v>
      </x:c>
      <x:c r="O2896" s="22" t="str">
        <x:v>公顷</x:v>
      </x:c>
      <x:c r="P2896" s="22" t="str">
        <x:v>未提供（单期横截面）</x:v>
      </x:c>
      <x:c r="Q2896" s="23" t="n">
        <x:v>5875</x:v>
      </x:c>
    </x:row>
    <x:row r="2897">
      <x:c r="A2897" s="30" t="n">
        <x:v>350600</x:v>
      </x:c>
      <x:c r="B2897" s="22" t="str">
        <x:v>漳州市</x:v>
      </x:c>
      <x:c r="C2897" s="31" t="n">
        <x:v>350629</x:v>
      </x:c>
      <x:c r="D2897" s="22" t="str">
        <x:v>华安县</x:v>
      </x:c>
      <x:c r="E2897" s="22" t="str">
        <x:v>农用地</x:v>
      </x:c>
      <x:c r="F2897" s="22" t="str">
        <x:v>耕地</x:v>
      </x:c>
      <x:c r="G2897" s="32" t="str">
        <x:v>101</x:v>
      </x:c>
      <x:c r="H2897" s="32" t="str">
        <x:v>101</x:v>
      </x:c>
      <x:c r="I2897" s="22" t="str">
        <x:v>水田</x:v>
      </x:c>
      <x:c r="J2897" s="22" t="str">
        <x:v>农业生态</x:v>
      </x:c>
      <x:c r="K2897" s="32" t="str">
        <x:v>202</x:v>
      </x:c>
      <x:c r="L2897" s="22" t="str">
        <x:v>建制镇范围</x:v>
      </x:c>
      <x:c r="M2897" s="33" t="n">
        <x:v>49123.88000000001</x:v>
      </x:c>
      <x:c r="N2897" s="33" t="n">
        <x:v>4.912388000000001</x:v>
      </x:c>
      <x:c r="O2897" s="22" t="str">
        <x:v>公顷</x:v>
      </x:c>
      <x:c r="P2897" s="22" t="str">
        <x:v>未提供（单期横截面）</x:v>
      </x:c>
      <x:c r="Q2897" s="23" t="n">
        <x:v>5876</x:v>
      </x:c>
    </x:row>
    <x:row r="2898">
      <x:c r="A2898" s="30" t="n">
        <x:v>350600</x:v>
      </x:c>
      <x:c r="B2898" s="22" t="str">
        <x:v>漳州市</x:v>
      </x:c>
      <x:c r="C2898" s="31" t="n">
        <x:v>350629</x:v>
      </x:c>
      <x:c r="D2898" s="22" t="str">
        <x:v>华安县</x:v>
      </x:c>
      <x:c r="E2898" s="22" t="str">
        <x:v>农用地</x:v>
      </x:c>
      <x:c r="F2898" s="22" t="str">
        <x:v>耕地</x:v>
      </x:c>
      <x:c r="G2898" s="32" t="str">
        <x:v>102</x:v>
      </x:c>
      <x:c r="H2898" s="32" t="str">
        <x:v>102</x:v>
      </x:c>
      <x:c r="I2898" s="22" t="str">
        <x:v>水浇地</x:v>
      </x:c>
      <x:c r="J2898" s="22" t="str">
        <x:v>农业生态</x:v>
      </x:c>
      <x:c r="K2898" s="32" t="str">
        <x:v>202</x:v>
      </x:c>
      <x:c r="L2898" s="22" t="str">
        <x:v>建制镇范围</x:v>
      </x:c>
      <x:c r="M2898" s="33" t="n">
        <x:v>9702.130000000001</x:v>
      </x:c>
      <x:c r="N2898" s="33" t="n">
        <x:v>0.9702130000000001</x:v>
      </x:c>
      <x:c r="O2898" s="22" t="str">
        <x:v>公顷</x:v>
      </x:c>
      <x:c r="P2898" s="22" t="str">
        <x:v>未提供（单期横截面）</x:v>
      </x:c>
      <x:c r="Q2898" s="23" t="n">
        <x:v>5877</x:v>
      </x:c>
    </x:row>
    <x:row r="2899">
      <x:c r="A2899" s="30" t="n">
        <x:v>350600</x:v>
      </x:c>
      <x:c r="B2899" s="22" t="str">
        <x:v>漳州市</x:v>
      </x:c>
      <x:c r="C2899" s="31" t="n">
        <x:v>350629</x:v>
      </x:c>
      <x:c r="D2899" s="22" t="str">
        <x:v>华安县</x:v>
      </x:c>
      <x:c r="E2899" s="22" t="str">
        <x:v>农用地</x:v>
      </x:c>
      <x:c r="F2899" s="22" t="str">
        <x:v>耕地</x:v>
      </x:c>
      <x:c r="G2899" s="32" t="str">
        <x:v>103</x:v>
      </x:c>
      <x:c r="H2899" s="32" t="str">
        <x:v>103</x:v>
      </x:c>
      <x:c r="I2899" s="22" t="str">
        <x:v>旱地</x:v>
      </x:c>
      <x:c r="J2899" s="22" t="str">
        <x:v>农业生态</x:v>
      </x:c>
      <x:c r="K2899" s="32" t="str">
        <x:v>202</x:v>
      </x:c>
      <x:c r="L2899" s="22" t="str">
        <x:v>建制镇范围</x:v>
      </x:c>
      <x:c r="M2899" s="33" t="n">
        <x:v>44880.79000000001</x:v>
      </x:c>
      <x:c r="N2899" s="33" t="n">
        <x:v>4.488079000000001</x:v>
      </x:c>
      <x:c r="O2899" s="22" t="str">
        <x:v>公顷</x:v>
      </x:c>
      <x:c r="P2899" s="22" t="str">
        <x:v>未提供（单期横截面）</x:v>
      </x:c>
      <x:c r="Q2899" s="23" t="n">
        <x:v>5878</x:v>
      </x:c>
    </x:row>
    <x:row r="2900">
      <x:c r="A2900" s="30" t="n">
        <x:v>350600</x:v>
      </x:c>
      <x:c r="B2900" s="22" t="str">
        <x:v>漳州市</x:v>
      </x:c>
      <x:c r="C2900" s="31" t="n">
        <x:v>350629</x:v>
      </x:c>
      <x:c r="D2900" s="22" t="str">
        <x:v>华安县</x:v>
      </x:c>
      <x:c r="E2900" s="22" t="str">
        <x:v>农用地</x:v>
      </x:c>
      <x:c r="F2900" s="22" t="str">
        <x:v>园地</x:v>
      </x:c>
      <x:c r="G2900" s="32" t="str">
        <x:v>201</x:v>
      </x:c>
      <x:c r="H2900" s="32" t="str">
        <x:v>201</x:v>
      </x:c>
      <x:c r="I2900" s="22" t="str">
        <x:v>果园</x:v>
      </x:c>
      <x:c r="J2900" s="22" t="str">
        <x:v>农业生态</x:v>
      </x:c>
      <x:c r="K2900" s="32" t="str">
        <x:v>202</x:v>
      </x:c>
      <x:c r="L2900" s="22" t="str">
        <x:v>建制镇范围</x:v>
      </x:c>
      <x:c r="M2900" s="33" t="n">
        <x:v>42793</x:v>
      </x:c>
      <x:c r="N2900" s="33" t="n">
        <x:v>4.2793</x:v>
      </x:c>
      <x:c r="O2900" s="22" t="str">
        <x:v>公顷</x:v>
      </x:c>
      <x:c r="P2900" s="22" t="str">
        <x:v>未提供（单期横截面）</x:v>
      </x:c>
      <x:c r="Q2900" s="23" t="n">
        <x:v>5879</x:v>
      </x:c>
    </x:row>
    <x:row r="2901">
      <x:c r="A2901" s="30" t="n">
        <x:v>350600</x:v>
      </x:c>
      <x:c r="B2901" s="22" t="str">
        <x:v>漳州市</x:v>
      </x:c>
      <x:c r="C2901" s="31" t="n">
        <x:v>350629</x:v>
      </x:c>
      <x:c r="D2901" s="22" t="str">
        <x:v>华安县</x:v>
      </x:c>
      <x:c r="E2901" s="22" t="str">
        <x:v>农用地</x:v>
      </x:c>
      <x:c r="F2901" s="22" t="str">
        <x:v>园地</x:v>
      </x:c>
      <x:c r="G2901" s="32" t="str">
        <x:v>202</x:v>
      </x:c>
      <x:c r="H2901" s="32" t="str">
        <x:v>202</x:v>
      </x:c>
      <x:c r="I2901" s="22" t="str">
        <x:v>茶园</x:v>
      </x:c>
      <x:c r="J2901" s="22" t="str">
        <x:v>农业生态</x:v>
      </x:c>
      <x:c r="K2901" s="32" t="str">
        <x:v>202</x:v>
      </x:c>
      <x:c r="L2901" s="22" t="str">
        <x:v>建制镇范围</x:v>
      </x:c>
      <x:c r="M2901" s="33" t="n">
        <x:v>10987.86</x:v>
      </x:c>
      <x:c r="N2901" s="33" t="n">
        <x:v>1.098786</x:v>
      </x:c>
      <x:c r="O2901" s="22" t="str">
        <x:v>公顷</x:v>
      </x:c>
      <x:c r="P2901" s="22" t="str">
        <x:v>未提供（单期横截面）</x:v>
      </x:c>
      <x:c r="Q2901" s="23" t="n">
        <x:v>5880</x:v>
      </x:c>
    </x:row>
    <x:row r="2902">
      <x:c r="A2902" s="30" t="n">
        <x:v>350600</x:v>
      </x:c>
      <x:c r="B2902" s="22" t="str">
        <x:v>漳州市</x:v>
      </x:c>
      <x:c r="C2902" s="31" t="n">
        <x:v>350629</x:v>
      </x:c>
      <x:c r="D2902" s="22" t="str">
        <x:v>华安县</x:v>
      </x:c>
      <x:c r="E2902" s="22" t="str">
        <x:v>农用地</x:v>
      </x:c>
      <x:c r="F2902" s="22" t="str">
        <x:v>园地</x:v>
      </x:c>
      <x:c r="G2902" s="32" t="str">
        <x:v>204</x:v>
      </x:c>
      <x:c r="H2902" s="32" t="str">
        <x:v>204</x:v>
      </x:c>
      <x:c r="I2902" s="22" t="str">
        <x:v>其他园地</x:v>
      </x:c>
      <x:c r="J2902" s="22" t="str">
        <x:v>农业生态</x:v>
      </x:c>
      <x:c r="K2902" s="32" t="str">
        <x:v>202</x:v>
      </x:c>
      <x:c r="L2902" s="22" t="str">
        <x:v>建制镇范围</x:v>
      </x:c>
      <x:c r="M2902" s="33" t="n">
        <x:v>428.53</x:v>
      </x:c>
      <x:c r="N2902" s="33" t="n">
        <x:v>0.042852999999999995</x:v>
      </x:c>
      <x:c r="O2902" s="22" t="str">
        <x:v>公顷</x:v>
      </x:c>
      <x:c r="P2902" s="22" t="str">
        <x:v>未提供（单期横截面）</x:v>
      </x:c>
      <x:c r="Q2902" s="23" t="n">
        <x:v>5881</x:v>
      </x:c>
    </x:row>
    <x:row r="2903">
      <x:c r="A2903" s="30" t="n">
        <x:v>350600</x:v>
      </x:c>
      <x:c r="B2903" s="22" t="str">
        <x:v>漳州市</x:v>
      </x:c>
      <x:c r="C2903" s="31" t="n">
        <x:v>350629</x:v>
      </x:c>
      <x:c r="D2903" s="22" t="str">
        <x:v>华安县</x:v>
      </x:c>
      <x:c r="E2903" s="22" t="str">
        <x:v>农用地</x:v>
      </x:c>
      <x:c r="F2903" s="22" t="str">
        <x:v>林地</x:v>
      </x:c>
      <x:c r="G2903" s="32" t="str">
        <x:v>301</x:v>
      </x:c>
      <x:c r="H2903" s="32" t="str">
        <x:v>301</x:v>
      </x:c>
      <x:c r="I2903" s="22" t="str">
        <x:v>乔木林地</x:v>
      </x:c>
      <x:c r="J2903" s="22" t="str">
        <x:v>农业生态</x:v>
      </x:c>
      <x:c r="K2903" s="32" t="str">
        <x:v>202</x:v>
      </x:c>
      <x:c r="L2903" s="22" t="str">
        <x:v>建制镇范围</x:v>
      </x:c>
      <x:c r="M2903" s="33" t="n">
        <x:v>17283.96</x:v>
      </x:c>
      <x:c r="N2903" s="33" t="n">
        <x:v>1.7283959999999998</x:v>
      </x:c>
      <x:c r="O2903" s="22" t="str">
        <x:v>公顷</x:v>
      </x:c>
      <x:c r="P2903" s="22" t="str">
        <x:v>未提供（单期横截面）</x:v>
      </x:c>
      <x:c r="Q2903" s="23" t="n">
        <x:v>5882</x:v>
      </x:c>
    </x:row>
    <x:row r="2904">
      <x:c r="A2904" s="30" t="n">
        <x:v>350600</x:v>
      </x:c>
      <x:c r="B2904" s="22" t="str">
        <x:v>漳州市</x:v>
      </x:c>
      <x:c r="C2904" s="31" t="n">
        <x:v>350629</x:v>
      </x:c>
      <x:c r="D2904" s="22" t="str">
        <x:v>华安县</x:v>
      </x:c>
      <x:c r="E2904" s="22" t="str">
        <x:v>农用地</x:v>
      </x:c>
      <x:c r="F2904" s="22" t="str">
        <x:v>林地</x:v>
      </x:c>
      <x:c r="G2904" s="32" t="str">
        <x:v>302</x:v>
      </x:c>
      <x:c r="H2904" s="32" t="str">
        <x:v>302</x:v>
      </x:c>
      <x:c r="I2904" s="22" t="str">
        <x:v>竹林地</x:v>
      </x:c>
      <x:c r="J2904" s="22" t="str">
        <x:v>农业生态</x:v>
      </x:c>
      <x:c r="K2904" s="32" t="str">
        <x:v>202</x:v>
      </x:c>
      <x:c r="L2904" s="22" t="str">
        <x:v>建制镇范围</x:v>
      </x:c>
      <x:c r="M2904" s="33" t="n">
        <x:v>624.6</x:v>
      </x:c>
      <x:c r="N2904" s="33" t="n">
        <x:v>0.06246</x:v>
      </x:c>
      <x:c r="O2904" s="22" t="str">
        <x:v>公顷</x:v>
      </x:c>
      <x:c r="P2904" s="22" t="str">
        <x:v>未提供（单期横截面）</x:v>
      </x:c>
      <x:c r="Q2904" s="23" t="n">
        <x:v>5883</x:v>
      </x:c>
    </x:row>
    <x:row r="2905">
      <x:c r="A2905" s="30" t="n">
        <x:v>350600</x:v>
      </x:c>
      <x:c r="B2905" s="22" t="str">
        <x:v>漳州市</x:v>
      </x:c>
      <x:c r="C2905" s="31" t="n">
        <x:v>350629</x:v>
      </x:c>
      <x:c r="D2905" s="22" t="str">
        <x:v>华安县</x:v>
      </x:c>
      <x:c r="E2905" s="22" t="str">
        <x:v>农用地</x:v>
      </x:c>
      <x:c r="F2905" s="22" t="str">
        <x:v>林地</x:v>
      </x:c>
      <x:c r="G2905" s="32" t="str">
        <x:v>307</x:v>
      </x:c>
      <x:c r="H2905" s="32" t="str">
        <x:v>307</x:v>
      </x:c>
      <x:c r="I2905" s="22" t="str">
        <x:v>其他林地</x:v>
      </x:c>
      <x:c r="J2905" s="22" t="str">
        <x:v>农业生态</x:v>
      </x:c>
      <x:c r="K2905" s="32" t="str">
        <x:v>202</x:v>
      </x:c>
      <x:c r="L2905" s="22" t="str">
        <x:v>建制镇范围</x:v>
      </x:c>
      <x:c r="M2905" s="33" t="n">
        <x:v>44842.950000000004</x:v>
      </x:c>
      <x:c r="N2905" s="33" t="n">
        <x:v>4.484295</x:v>
      </x:c>
      <x:c r="O2905" s="22" t="str">
        <x:v>公顷</x:v>
      </x:c>
      <x:c r="P2905" s="22" t="str">
        <x:v>未提供（单期横截面）</x:v>
      </x:c>
      <x:c r="Q2905" s="23" t="n">
        <x:v>5884</x:v>
      </x:c>
    </x:row>
    <x:row r="2906">
      <x:c r="A2906" s="30" t="n">
        <x:v>350600</x:v>
      </x:c>
      <x:c r="B2906" s="22" t="str">
        <x:v>漳州市</x:v>
      </x:c>
      <x:c r="C2906" s="31" t="n">
        <x:v>350629</x:v>
      </x:c>
      <x:c r="D2906" s="22" t="str">
        <x:v>华安县</x:v>
      </x:c>
      <x:c r="E2906" s="22" t="str">
        <x:v>农用地</x:v>
      </x:c>
      <x:c r="F2906" s="22" t="str">
        <x:v>其他农用地</x:v>
      </x:c>
      <x:c r="G2906" s="32" t="str">
        <x:v>1006</x:v>
      </x:c>
      <x:c r="H2906" s="32" t="str">
        <x:v>1006</x:v>
      </x:c>
      <x:c r="I2906" s="22" t="str">
        <x:v>农村道路</x:v>
      </x:c>
      <x:c r="J2906" s="22" t="str">
        <x:v>农业生态</x:v>
      </x:c>
      <x:c r="K2906" s="32" t="str">
        <x:v>202</x:v>
      </x:c>
      <x:c r="L2906" s="22" t="str">
        <x:v>建制镇范围</x:v>
      </x:c>
      <x:c r="M2906" s="33" t="n">
        <x:v>1271.81</x:v>
      </x:c>
      <x:c r="N2906" s="33" t="n">
        <x:v>0.127181</x:v>
      </x:c>
      <x:c r="O2906" s="22" t="str">
        <x:v>公顷</x:v>
      </x:c>
      <x:c r="P2906" s="22" t="str">
        <x:v>未提供（单期横截面）</x:v>
      </x:c>
      <x:c r="Q2906" s="23" t="n">
        <x:v>5885</x:v>
      </x:c>
    </x:row>
    <x:row r="2907">
      <x:c r="A2907" s="30" t="n">
        <x:v>350600</x:v>
      </x:c>
      <x:c r="B2907" s="22" t="str">
        <x:v>漳州市</x:v>
      </x:c>
      <x:c r="C2907" s="31" t="n">
        <x:v>350629</x:v>
      </x:c>
      <x:c r="D2907" s="22" t="str">
        <x:v>华安县</x:v>
      </x:c>
      <x:c r="E2907" s="22" t="str">
        <x:v>农用地</x:v>
      </x:c>
      <x:c r="F2907" s="22" t="str">
        <x:v>水域及水利设施</x:v>
      </x:c>
      <x:c r="G2907" s="32" t="str">
        <x:v>1104</x:v>
      </x:c>
      <x:c r="H2907" s="32" t="str">
        <x:v>1104</x:v>
      </x:c>
      <x:c r="I2907" s="22" t="str">
        <x:v>坑塘水面</x:v>
      </x:c>
      <x:c r="J2907" s="22" t="str">
        <x:v>农业生态</x:v>
      </x:c>
      <x:c r="K2907" s="32" t="str">
        <x:v>202</x:v>
      </x:c>
      <x:c r="L2907" s="22" t="str">
        <x:v>建制镇范围</x:v>
      </x:c>
      <x:c r="M2907" s="33" t="n">
        <x:v>3733.1499999999996</x:v>
      </x:c>
      <x:c r="N2907" s="33" t="n">
        <x:v>0.37331499999999995</x:v>
      </x:c>
      <x:c r="O2907" s="22" t="str">
        <x:v>公顷</x:v>
      </x:c>
      <x:c r="P2907" s="22" t="str">
        <x:v>未提供（单期横截面）</x:v>
      </x:c>
      <x:c r="Q2907" s="23" t="n">
        <x:v>5886</x:v>
      </x:c>
    </x:row>
    <x:row r="2908">
      <x:c r="A2908" s="30" t="n">
        <x:v>350600</x:v>
      </x:c>
      <x:c r="B2908" s="22" t="str">
        <x:v>漳州市</x:v>
      </x:c>
      <x:c r="C2908" s="31" t="n">
        <x:v>350629</x:v>
      </x:c>
      <x:c r="D2908" s="22" t="str">
        <x:v>华安县</x:v>
      </x:c>
      <x:c r="E2908" s="22" t="str">
        <x:v>农用地</x:v>
      </x:c>
      <x:c r="F2908" s="22" t="str">
        <x:v>水域及水利设施</x:v>
      </x:c>
      <x:c r="G2908" s="32" t="str">
        <x:v>1107</x:v>
      </x:c>
      <x:c r="H2908" s="32" t="str">
        <x:v>1107</x:v>
      </x:c>
      <x:c r="I2908" s="22" t="str">
        <x:v>沟渠</x:v>
      </x:c>
      <x:c r="J2908" s="22" t="str">
        <x:v>农业生态</x:v>
      </x:c>
      <x:c r="K2908" s="32" t="str">
        <x:v>202</x:v>
      </x:c>
      <x:c r="L2908" s="22" t="str">
        <x:v>建制镇范围</x:v>
      </x:c>
      <x:c r="M2908" s="33" t="n">
        <x:v>7507.540000000002</x:v>
      </x:c>
      <x:c r="N2908" s="33" t="n">
        <x:v>0.7507540000000001</x:v>
      </x:c>
      <x:c r="O2908" s="22" t="str">
        <x:v>公顷</x:v>
      </x:c>
      <x:c r="P2908" s="22" t="str">
        <x:v>未提供（单期横截面）</x:v>
      </x:c>
      <x:c r="Q2908" s="23" t="n">
        <x:v>5887</x:v>
      </x:c>
    </x:row>
    <x:row r="2909">
      <x:c r="A2909" s="30" t="n">
        <x:v>350600</x:v>
      </x:c>
      <x:c r="B2909" s="22" t="str">
        <x:v>漳州市</x:v>
      </x:c>
      <x:c r="C2909" s="31" t="n">
        <x:v>350629</x:v>
      </x:c>
      <x:c r="D2909" s="22" t="str">
        <x:v>华安县</x:v>
      </x:c>
      <x:c r="E2909" s="22" t="str">
        <x:v>农用地</x:v>
      </x:c>
      <x:c r="F2909" s="22" t="str">
        <x:v>其他农用地</x:v>
      </x:c>
      <x:c r="G2909" s="32" t="str">
        <x:v>1202</x:v>
      </x:c>
      <x:c r="H2909" s="32" t="str">
        <x:v>1202</x:v>
      </x:c>
      <x:c r="I2909" s="22" t="str">
        <x:v>设施农用地</x:v>
      </x:c>
      <x:c r="J2909" s="22" t="str">
        <x:v>农业生态</x:v>
      </x:c>
      <x:c r="K2909" s="32" t="str">
        <x:v>202</x:v>
      </x:c>
      <x:c r="L2909" s="22" t="str">
        <x:v>建制镇范围</x:v>
      </x:c>
      <x:c r="M2909" s="33" t="n">
        <x:v>352.77</x:v>
      </x:c>
      <x:c r="N2909" s="33" t="n">
        <x:v>0.035276999999999996</x:v>
      </x:c>
      <x:c r="O2909" s="22" t="str">
        <x:v>公顷</x:v>
      </x:c>
      <x:c r="P2909" s="22" t="str">
        <x:v>未提供（单期横截面）</x:v>
      </x:c>
      <x:c r="Q2909" s="23" t="n">
        <x:v>5888</x:v>
      </x:c>
    </x:row>
    <x:row r="2910">
      <x:c r="A2910" s="30" t="n">
        <x:v>350600</x:v>
      </x:c>
      <x:c r="B2910" s="22" t="str">
        <x:v>漳州市</x:v>
      </x:c>
      <x:c r="C2910" s="31" t="n">
        <x:v>350629</x:v>
      </x:c>
      <x:c r="D2910" s="22" t="str">
        <x:v>华安县</x:v>
      </x:c>
      <x:c r="E2910" s="22" t="str">
        <x:v>农用地</x:v>
      </x:c>
      <x:c r="F2910" s="22" t="str">
        <x:v>耕地</x:v>
      </x:c>
      <x:c r="G2910" s="32" t="str">
        <x:v>101</x:v>
      </x:c>
      <x:c r="H2910" s="32" t="str">
        <x:v>101</x:v>
      </x:c>
      <x:c r="I2910" s="22" t="str">
        <x:v>水田</x:v>
      </x:c>
      <x:c r="J2910" s="22" t="str">
        <x:v>农业生态</x:v>
      </x:c>
      <x:c r="K2910" s="32" t="str">
        <x:v>203</x:v>
      </x:c>
      <x:c r="L2910" s="22" t="str">
        <x:v>村庄范围</x:v>
      </x:c>
      <x:c r="M2910" s="33" t="n">
        <x:v>76513.27</x:v>
      </x:c>
      <x:c r="N2910" s="33" t="n">
        <x:v>7.651327</x:v>
      </x:c>
      <x:c r="O2910" s="22" t="str">
        <x:v>公顷</x:v>
      </x:c>
      <x:c r="P2910" s="22" t="str">
        <x:v>未提供（单期横截面）</x:v>
      </x:c>
      <x:c r="Q2910" s="23" t="n">
        <x:v>5889</x:v>
      </x:c>
    </x:row>
    <x:row r="2911">
      <x:c r="A2911" s="30" t="n">
        <x:v>350600</x:v>
      </x:c>
      <x:c r="B2911" s="22" t="str">
        <x:v>漳州市</x:v>
      </x:c>
      <x:c r="C2911" s="31" t="n">
        <x:v>350629</x:v>
      </x:c>
      <x:c r="D2911" s="22" t="str">
        <x:v>华安县</x:v>
      </x:c>
      <x:c r="E2911" s="22" t="str">
        <x:v>农用地</x:v>
      </x:c>
      <x:c r="F2911" s="22" t="str">
        <x:v>耕地</x:v>
      </x:c>
      <x:c r="G2911" s="32" t="str">
        <x:v>103</x:v>
      </x:c>
      <x:c r="H2911" s="32" t="str">
        <x:v>103</x:v>
      </x:c>
      <x:c r="I2911" s="22" t="str">
        <x:v>旱地</x:v>
      </x:c>
      <x:c r="J2911" s="22" t="str">
        <x:v>农业生态</x:v>
      </x:c>
      <x:c r="K2911" s="32" t="str">
        <x:v>203</x:v>
      </x:c>
      <x:c r="L2911" s="22" t="str">
        <x:v>村庄范围</x:v>
      </x:c>
      <x:c r="M2911" s="33" t="n">
        <x:v>80006.43999999999</x:v>
      </x:c>
      <x:c r="N2911" s="33" t="n">
        <x:v>8.000644</x:v>
      </x:c>
      <x:c r="O2911" s="22" t="str">
        <x:v>公顷</x:v>
      </x:c>
      <x:c r="P2911" s="22" t="str">
        <x:v>未提供（单期横截面）</x:v>
      </x:c>
      <x:c r="Q2911" s="23" t="n">
        <x:v>5890</x:v>
      </x:c>
    </x:row>
    <x:row r="2912">
      <x:c r="A2912" s="30" t="n">
        <x:v>350600</x:v>
      </x:c>
      <x:c r="B2912" s="22" t="str">
        <x:v>漳州市</x:v>
      </x:c>
      <x:c r="C2912" s="31" t="n">
        <x:v>350629</x:v>
      </x:c>
      <x:c r="D2912" s="22" t="str">
        <x:v>华安县</x:v>
      </x:c>
      <x:c r="E2912" s="22" t="str">
        <x:v>农用地</x:v>
      </x:c>
      <x:c r="F2912" s="22" t="str">
        <x:v>园地</x:v>
      </x:c>
      <x:c r="G2912" s="32" t="str">
        <x:v>201</x:v>
      </x:c>
      <x:c r="H2912" s="32" t="str">
        <x:v>201</x:v>
      </x:c>
      <x:c r="I2912" s="22" t="str">
        <x:v>果园</x:v>
      </x:c>
      <x:c r="J2912" s="22" t="str">
        <x:v>农业生态</x:v>
      </x:c>
      <x:c r="K2912" s="32" t="str">
        <x:v>203</x:v>
      </x:c>
      <x:c r="L2912" s="22" t="str">
        <x:v>村庄范围</x:v>
      </x:c>
      <x:c r="M2912" s="33" t="n">
        <x:v>35813.44</x:v>
      </x:c>
      <x:c r="N2912" s="33" t="n">
        <x:v>3.581344</x:v>
      </x:c>
      <x:c r="O2912" s="22" t="str">
        <x:v>公顷</x:v>
      </x:c>
      <x:c r="P2912" s="22" t="str">
        <x:v>未提供（单期横截面）</x:v>
      </x:c>
      <x:c r="Q2912" s="23" t="n">
        <x:v>5891</x:v>
      </x:c>
    </x:row>
    <x:row r="2913">
      <x:c r="A2913" s="30" t="n">
        <x:v>350600</x:v>
      </x:c>
      <x:c r="B2913" s="22" t="str">
        <x:v>漳州市</x:v>
      </x:c>
      <x:c r="C2913" s="31" t="n">
        <x:v>350629</x:v>
      </x:c>
      <x:c r="D2913" s="22" t="str">
        <x:v>华安县</x:v>
      </x:c>
      <x:c r="E2913" s="22" t="str">
        <x:v>农用地</x:v>
      </x:c>
      <x:c r="F2913" s="22" t="str">
        <x:v>园地</x:v>
      </x:c>
      <x:c r="G2913" s="32" t="str">
        <x:v>202</x:v>
      </x:c>
      <x:c r="H2913" s="32" t="str">
        <x:v>202</x:v>
      </x:c>
      <x:c r="I2913" s="22" t="str">
        <x:v>茶园</x:v>
      </x:c>
      <x:c r="J2913" s="22" t="str">
        <x:v>农业生态</x:v>
      </x:c>
      <x:c r="K2913" s="32" t="str">
        <x:v>203</x:v>
      </x:c>
      <x:c r="L2913" s="22" t="str">
        <x:v>村庄范围</x:v>
      </x:c>
      <x:c r="M2913" s="33" t="n">
        <x:v>28847.890000000003</x:v>
      </x:c>
      <x:c r="N2913" s="33" t="n">
        <x:v>2.8847890000000005</x:v>
      </x:c>
      <x:c r="O2913" s="22" t="str">
        <x:v>公顷</x:v>
      </x:c>
      <x:c r="P2913" s="22" t="str">
        <x:v>未提供（单期横截面）</x:v>
      </x:c>
      <x:c r="Q2913" s="23" t="n">
        <x:v>5892</x:v>
      </x:c>
    </x:row>
    <x:row r="2914">
      <x:c r="A2914" s="30" t="n">
        <x:v>350600</x:v>
      </x:c>
      <x:c r="B2914" s="22" t="str">
        <x:v>漳州市</x:v>
      </x:c>
      <x:c r="C2914" s="31" t="n">
        <x:v>350629</x:v>
      </x:c>
      <x:c r="D2914" s="22" t="str">
        <x:v>华安县</x:v>
      </x:c>
      <x:c r="E2914" s="22" t="str">
        <x:v>农用地</x:v>
      </x:c>
      <x:c r="F2914" s="22" t="str">
        <x:v>林地</x:v>
      </x:c>
      <x:c r="G2914" s="32" t="str">
        <x:v>301</x:v>
      </x:c>
      <x:c r="H2914" s="32" t="str">
        <x:v>301</x:v>
      </x:c>
      <x:c r="I2914" s="22" t="str">
        <x:v>乔木林地</x:v>
      </x:c>
      <x:c r="J2914" s="22" t="str">
        <x:v>农业生态</x:v>
      </x:c>
      <x:c r="K2914" s="32" t="str">
        <x:v>203</x:v>
      </x:c>
      <x:c r="L2914" s="22" t="str">
        <x:v>村庄范围</x:v>
      </x:c>
      <x:c r="M2914" s="33" t="n">
        <x:v>11191.679999999998</x:v>
      </x:c>
      <x:c r="N2914" s="33" t="n">
        <x:v>1.119168</x:v>
      </x:c>
      <x:c r="O2914" s="22" t="str">
        <x:v>公顷</x:v>
      </x:c>
      <x:c r="P2914" s="22" t="str">
        <x:v>未提供（单期横截面）</x:v>
      </x:c>
      <x:c r="Q2914" s="23" t="n">
        <x:v>5893</x:v>
      </x:c>
    </x:row>
    <x:row r="2915">
      <x:c r="A2915" s="30" t="n">
        <x:v>350600</x:v>
      </x:c>
      <x:c r="B2915" s="22" t="str">
        <x:v>漳州市</x:v>
      </x:c>
      <x:c r="C2915" s="31" t="n">
        <x:v>350629</x:v>
      </x:c>
      <x:c r="D2915" s="22" t="str">
        <x:v>华安县</x:v>
      </x:c>
      <x:c r="E2915" s="22" t="str">
        <x:v>农用地</x:v>
      </x:c>
      <x:c r="F2915" s="22" t="str">
        <x:v>林地</x:v>
      </x:c>
      <x:c r="G2915" s="32" t="str">
        <x:v>302</x:v>
      </x:c>
      <x:c r="H2915" s="32" t="str">
        <x:v>302</x:v>
      </x:c>
      <x:c r="I2915" s="22" t="str">
        <x:v>竹林地</x:v>
      </x:c>
      <x:c r="J2915" s="22" t="str">
        <x:v>农业生态</x:v>
      </x:c>
      <x:c r="K2915" s="32" t="str">
        <x:v>203</x:v>
      </x:c>
      <x:c r="L2915" s="22" t="str">
        <x:v>村庄范围</x:v>
      </x:c>
      <x:c r="M2915" s="33" t="n">
        <x:v>2803.55</x:v>
      </x:c>
      <x:c r="N2915" s="33" t="n">
        <x:v>0.280355</x:v>
      </x:c>
      <x:c r="O2915" s="22" t="str">
        <x:v>公顷</x:v>
      </x:c>
      <x:c r="P2915" s="22" t="str">
        <x:v>未提供（单期横截面）</x:v>
      </x:c>
      <x:c r="Q2915" s="23" t="n">
        <x:v>5894</x:v>
      </x:c>
    </x:row>
    <x:row r="2916">
      <x:c r="A2916" s="30" t="n">
        <x:v>350600</x:v>
      </x:c>
      <x:c r="B2916" s="22" t="str">
        <x:v>漳州市</x:v>
      </x:c>
      <x:c r="C2916" s="31" t="n">
        <x:v>350629</x:v>
      </x:c>
      <x:c r="D2916" s="22" t="str">
        <x:v>华安县</x:v>
      </x:c>
      <x:c r="E2916" s="22" t="str">
        <x:v>农用地</x:v>
      </x:c>
      <x:c r="F2916" s="22" t="str">
        <x:v>林地</x:v>
      </x:c>
      <x:c r="G2916" s="32" t="str">
        <x:v>307</x:v>
      </x:c>
      <x:c r="H2916" s="32" t="str">
        <x:v>307</x:v>
      </x:c>
      <x:c r="I2916" s="22" t="str">
        <x:v>其他林地</x:v>
      </x:c>
      <x:c r="J2916" s="22" t="str">
        <x:v>农业生态</x:v>
      </x:c>
      <x:c r="K2916" s="32" t="str">
        <x:v>203</x:v>
      </x:c>
      <x:c r="L2916" s="22" t="str">
        <x:v>村庄范围</x:v>
      </x:c>
      <x:c r="M2916" s="33" t="n">
        <x:v>8032.85</x:v>
      </x:c>
      <x:c r="N2916" s="33" t="n">
        <x:v>0.803285</x:v>
      </x:c>
      <x:c r="O2916" s="22" t="str">
        <x:v>公顷</x:v>
      </x:c>
      <x:c r="P2916" s="22" t="str">
        <x:v>未提供（单期横截面）</x:v>
      </x:c>
      <x:c r="Q2916" s="23" t="n">
        <x:v>5895</x:v>
      </x:c>
    </x:row>
    <x:row r="2917">
      <x:c r="A2917" s="30" t="n">
        <x:v>350600</x:v>
      </x:c>
      <x:c r="B2917" s="22" t="str">
        <x:v>漳州市</x:v>
      </x:c>
      <x:c r="C2917" s="31" t="n">
        <x:v>350629</x:v>
      </x:c>
      <x:c r="D2917" s="22" t="str">
        <x:v>华安县</x:v>
      </x:c>
      <x:c r="E2917" s="22" t="str">
        <x:v>农用地</x:v>
      </x:c>
      <x:c r="F2917" s="22" t="str">
        <x:v>其他农用地</x:v>
      </x:c>
      <x:c r="G2917" s="32" t="str">
        <x:v>1006</x:v>
      </x:c>
      <x:c r="H2917" s="32" t="str">
        <x:v>1006</x:v>
      </x:c>
      <x:c r="I2917" s="22" t="str">
        <x:v>农村道路</x:v>
      </x:c>
      <x:c r="J2917" s="22" t="str">
        <x:v>农业生态</x:v>
      </x:c>
      <x:c r="K2917" s="32" t="str">
        <x:v>203</x:v>
      </x:c>
      <x:c r="L2917" s="22" t="str">
        <x:v>村庄范围</x:v>
      </x:c>
      <x:c r="M2917" s="33" t="n">
        <x:v>135.05</x:v>
      </x:c>
      <x:c r="N2917" s="33" t="n">
        <x:v>0.013505000000000001</x:v>
      </x:c>
      <x:c r="O2917" s="22" t="str">
        <x:v>公顷</x:v>
      </x:c>
      <x:c r="P2917" s="22" t="str">
        <x:v>未提供（单期横截面）</x:v>
      </x:c>
      <x:c r="Q2917" s="23" t="n">
        <x:v>5896</x:v>
      </x:c>
    </x:row>
    <x:row r="2918">
      <x:c r="A2918" s="30" t="n">
        <x:v>350600</x:v>
      </x:c>
      <x:c r="B2918" s="22" t="str">
        <x:v>漳州市</x:v>
      </x:c>
      <x:c r="C2918" s="31" t="n">
        <x:v>350629</x:v>
      </x:c>
      <x:c r="D2918" s="22" t="str">
        <x:v>华安县</x:v>
      </x:c>
      <x:c r="E2918" s="22" t="str">
        <x:v>农用地</x:v>
      </x:c>
      <x:c r="F2918" s="22" t="str">
        <x:v>水域及水利设施</x:v>
      </x:c>
      <x:c r="G2918" s="32" t="str">
        <x:v>1104</x:v>
      </x:c>
      <x:c r="H2918" s="32" t="str">
        <x:v>1104</x:v>
      </x:c>
      <x:c r="I2918" s="22" t="str">
        <x:v>坑塘水面</x:v>
      </x:c>
      <x:c r="J2918" s="22" t="str">
        <x:v>农业生态</x:v>
      </x:c>
      <x:c r="K2918" s="32" t="str">
        <x:v>203</x:v>
      </x:c>
      <x:c r="L2918" s="22" t="str">
        <x:v>村庄范围</x:v>
      </x:c>
      <x:c r="M2918" s="33" t="n">
        <x:v>12211.68</x:v>
      </x:c>
      <x:c r="N2918" s="33" t="n">
        <x:v>1.221168</x:v>
      </x:c>
      <x:c r="O2918" s="22" t="str">
        <x:v>公顷</x:v>
      </x:c>
      <x:c r="P2918" s="22" t="str">
        <x:v>未提供（单期横截面）</x:v>
      </x:c>
      <x:c r="Q2918" s="23" t="n">
        <x:v>5897</x:v>
      </x:c>
    </x:row>
    <x:row r="2919">
      <x:c r="A2919" s="30" t="n">
        <x:v>350600</x:v>
      </x:c>
      <x:c r="B2919" s="22" t="str">
        <x:v>漳州市</x:v>
      </x:c>
      <x:c r="C2919" s="31" t="n">
        <x:v>350629</x:v>
      </x:c>
      <x:c r="D2919" s="22" t="str">
        <x:v>华安县</x:v>
      </x:c>
      <x:c r="E2919" s="22" t="str">
        <x:v>农用地</x:v>
      </x:c>
      <x:c r="F2919" s="22" t="str">
        <x:v>水域及水利设施</x:v>
      </x:c>
      <x:c r="G2919" s="32" t="str">
        <x:v>1107</x:v>
      </x:c>
      <x:c r="H2919" s="32" t="str">
        <x:v>1107</x:v>
      </x:c>
      <x:c r="I2919" s="22" t="str">
        <x:v>沟渠</x:v>
      </x:c>
      <x:c r="J2919" s="22" t="str">
        <x:v>农业生态</x:v>
      </x:c>
      <x:c r="K2919" s="32" t="str">
        <x:v>203</x:v>
      </x:c>
      <x:c r="L2919" s="22" t="str">
        <x:v>村庄范围</x:v>
      </x:c>
      <x:c r="M2919" s="33" t="n">
        <x:v>4219.18</x:v>
      </x:c>
      <x:c r="N2919" s="33" t="n">
        <x:v>0.421918</x:v>
      </x:c>
      <x:c r="O2919" s="22" t="str">
        <x:v>公顷</x:v>
      </x:c>
      <x:c r="P2919" s="22" t="str">
        <x:v>未提供（单期横截面）</x:v>
      </x:c>
      <x:c r="Q2919" s="23" t="n">
        <x:v>5898</x:v>
      </x:c>
    </x:row>
    <x:row r="2920">
      <x:c r="A2920" s="30" t="n">
        <x:v>350600</x:v>
      </x:c>
      <x:c r="B2920" s="22" t="str">
        <x:v>漳州市</x:v>
      </x:c>
      <x:c r="C2920" s="31" t="n">
        <x:v>350629</x:v>
      </x:c>
      <x:c r="D2920" s="22" t="str">
        <x:v>华安县</x:v>
      </x:c>
      <x:c r="E2920" s="22" t="str">
        <x:v>农用地</x:v>
      </x:c>
      <x:c r="F2920" s="22" t="str">
        <x:v>其他农用地</x:v>
      </x:c>
      <x:c r="G2920" s="32" t="str">
        <x:v>1202</x:v>
      </x:c>
      <x:c r="H2920" s="32" t="str">
        <x:v>1202</x:v>
      </x:c>
      <x:c r="I2920" s="22" t="str">
        <x:v>设施农用地</x:v>
      </x:c>
      <x:c r="J2920" s="22" t="str">
        <x:v>农业生态</x:v>
      </x:c>
      <x:c r="K2920" s="32" t="str">
        <x:v>203</x:v>
      </x:c>
      <x:c r="L2920" s="22" t="str">
        <x:v>村庄范围</x:v>
      </x:c>
      <x:c r="M2920" s="33" t="n">
        <x:v>7186.92</x:v>
      </x:c>
      <x:c r="N2920" s="33" t="n">
        <x:v>0.718692</x:v>
      </x:c>
      <x:c r="O2920" s="22" t="str">
        <x:v>公顷</x:v>
      </x:c>
      <x:c r="P2920" s="22" t="str">
        <x:v>未提供（单期横截面）</x:v>
      </x:c>
      <x:c r="Q2920" s="23" t="n">
        <x:v>5899</x:v>
      </x:c>
    </x:row>
    <x:row r="2921">
      <x:c r="A2921" s="30" t="n">
        <x:v>350600</x:v>
      </x:c>
      <x:c r="B2921" s="22" t="str">
        <x:v>漳州市</x:v>
      </x:c>
      <x:c r="C2921" s="31" t="n">
        <x:v>350629</x:v>
      </x:c>
      <x:c r="D2921" s="22" t="str">
        <x:v>华安县</x:v>
      </x:c>
      <x:c r="E2921" s="22" t="str">
        <x:v>农用地</x:v>
      </x:c>
      <x:c r="F2921" s="22" t="str">
        <x:v>水域及水利设施</x:v>
      </x:c>
      <x:c r="G2921" s="32" t="str">
        <x:v>1104</x:v>
      </x:c>
      <x:c r="H2921" s="32" t="str">
        <x:v>1104</x:v>
      </x:c>
      <x:c r="I2921" s="22" t="str">
        <x:v>坑塘水面</x:v>
      </x:c>
      <x:c r="J2921" s="22" t="str">
        <x:v>农业生态</x:v>
      </x:c>
      <x:c r="K2921" s="32" t="str">
        <x:v>204</x:v>
      </x:c>
      <x:c r="L2921" s="22" t="str">
        <x:v>盐田及采矿用地</x:v>
      </x:c>
      <x:c r="M2921" s="33" t="n">
        <x:v>6027.88</x:v>
      </x:c>
      <x:c r="N2921" s="33" t="n">
        <x:v>0.602788</x:v>
      </x:c>
      <x:c r="O2921" s="22" t="str">
        <x:v>公顷</x:v>
      </x:c>
      <x:c r="P2921" s="22" t="str">
        <x:v>未提供（单期横截面）</x:v>
      </x:c>
      <x:c r="Q2921" s="23" t="n">
        <x:v>5900</x:v>
      </x:c>
    </x:row>
    <x:row r="2922">
      <x:c r="A2922" s="30" t="n">
        <x:v>350600</x:v>
      </x:c>
      <x:c r="B2922" s="22" t="str">
        <x:v>漳州市</x:v>
      </x:c>
      <x:c r="C2922" s="31" t="n">
        <x:v>350629</x:v>
      </x:c>
      <x:c r="D2922" s="22" t="str">
        <x:v>华安县</x:v>
      </x:c>
      <x:c r="E2922" s="22" t="str">
        <x:v>农用地</x:v>
      </x:c>
      <x:c r="F2922" s="22" t="str">
        <x:v>林地</x:v>
      </x:c>
      <x:c r="G2922" s="32" t="str">
        <x:v>307</x:v>
      </x:c>
      <x:c r="H2922" s="32" t="str">
        <x:v>307</x:v>
      </x:c>
      <x:c r="I2922" s="22" t="str">
        <x:v>其他林地</x:v>
      </x:c>
      <x:c r="J2922" s="22" t="str">
        <x:v>农业生态</x:v>
      </x:c>
      <x:c r="K2922" s="32" t="str">
        <x:v>205</x:v>
      </x:c>
      <x:c r="L2922" s="22" t="str">
        <x:v>特殊用地</x:v>
      </x:c>
      <x:c r="M2922" s="33" t="n">
        <x:v>241.5</x:v>
      </x:c>
      <x:c r="N2922" s="33" t="n">
        <x:v>0.02415</x:v>
      </x:c>
      <x:c r="O2922" s="22" t="str">
        <x:v>公顷</x:v>
      </x:c>
      <x:c r="P2922" s="22" t="str">
        <x:v>未提供（单期横截面）</x:v>
      </x:c>
      <x:c r="Q2922" s="23" t="n">
        <x:v>5901</x:v>
      </x:c>
    </x:row>
    <x:row r="2923">
      <x:c r="A2923" s="30" t="n">
        <x:v>350600</x:v>
      </x:c>
      <x:c r="B2923" s="22" t="str">
        <x:v>漳州市</x:v>
      </x:c>
      <x:c r="C2923" s="31" t="n">
        <x:v>350629</x:v>
      </x:c>
      <x:c r="D2923" s="22" t="str">
        <x:v>华安县</x:v>
      </x:c>
      <x:c r="E2923" s="22" t="str">
        <x:v>未利用地</x:v>
      </x:c>
      <x:c r="F2923" s="22" t="str">
        <x:v>草地</x:v>
      </x:c>
      <x:c r="G2923" s="32" t="str">
        <x:v>404</x:v>
      </x:c>
      <x:c r="H2923" s="32" t="str">
        <x:v>404</x:v>
      </x:c>
      <x:c r="I2923" s="22" t="str">
        <x:v>其他草地</x:v>
      </x:c>
      <x:c r="J2923" s="22" t="str">
        <x:v>农业生态</x:v>
      </x:c>
      <x:c r="K2923" s="32" t="str"/>
      <x:c r="L2923" s="22" t="str">
        <x:v>不适用/未标注</x:v>
      </x:c>
      <x:c r="M2923" s="33" t="n">
        <x:v>6792057.350000013</x:v>
      </x:c>
      <x:c r="N2923" s="33" t="n">
        <x:v>679.2057350000013</x:v>
      </x:c>
      <x:c r="O2923" s="22" t="str">
        <x:v>公顷</x:v>
      </x:c>
      <x:c r="P2923" s="22" t="str">
        <x:v>未提供（单期横截面）</x:v>
      </x:c>
      <x:c r="Q2923" s="23" t="n">
        <x:v>5902</x:v>
      </x:c>
    </x:row>
    <x:row r="2924">
      <x:c r="A2924" s="30" t="n">
        <x:v>350600</x:v>
      </x:c>
      <x:c r="B2924" s="22" t="str">
        <x:v>漳州市</x:v>
      </x:c>
      <x:c r="C2924" s="31" t="n">
        <x:v>350629</x:v>
      </x:c>
      <x:c r="D2924" s="22" t="str">
        <x:v>华安县</x:v>
      </x:c>
      <x:c r="E2924" s="22" t="str">
        <x:v>未利用地</x:v>
      </x:c>
      <x:c r="F2924" s="22" t="str">
        <x:v>水域及水利设施</x:v>
      </x:c>
      <x:c r="G2924" s="32" t="str">
        <x:v>1101</x:v>
      </x:c>
      <x:c r="H2924" s="32" t="str">
        <x:v>1101</x:v>
      </x:c>
      <x:c r="I2924" s="22" t="str">
        <x:v>河流水面</x:v>
      </x:c>
      <x:c r="J2924" s="22" t="str">
        <x:v>农业生态</x:v>
      </x:c>
      <x:c r="K2924" s="32" t="str"/>
      <x:c r="L2924" s="22" t="str">
        <x:v>不适用/未标注</x:v>
      </x:c>
      <x:c r="M2924" s="33" t="n">
        <x:v>21759171.840000004</x:v>
      </x:c>
      <x:c r="N2924" s="33" t="n">
        <x:v>2175.9171840000004</x:v>
      </x:c>
      <x:c r="O2924" s="22" t="str">
        <x:v>公顷</x:v>
      </x:c>
      <x:c r="P2924" s="22" t="str">
        <x:v>未提供（单期横截面）</x:v>
      </x:c>
      <x:c r="Q2924" s="23" t="n">
        <x:v>5903</x:v>
      </x:c>
    </x:row>
    <x:row r="2925">
      <x:c r="A2925" s="30" t="n">
        <x:v>350600</x:v>
      </x:c>
      <x:c r="B2925" s="22" t="str">
        <x:v>漳州市</x:v>
      </x:c>
      <x:c r="C2925" s="31" t="n">
        <x:v>350629</x:v>
      </x:c>
      <x:c r="D2925" s="22" t="str">
        <x:v>华安县</x:v>
      </x:c>
      <x:c r="E2925" s="22" t="str">
        <x:v>未利用地</x:v>
      </x:c>
      <x:c r="F2925" s="22" t="str">
        <x:v>水域及水利设施</x:v>
      </x:c>
      <x:c r="G2925" s="32" t="str">
        <x:v>1106</x:v>
      </x:c>
      <x:c r="H2925" s="32" t="str">
        <x:v>1106</x:v>
      </x:c>
      <x:c r="I2925" s="22" t="str">
        <x:v>内陆滩涂</x:v>
      </x:c>
      <x:c r="J2925" s="22" t="str">
        <x:v>农业生态</x:v>
      </x:c>
      <x:c r="K2925" s="32" t="str"/>
      <x:c r="L2925" s="22" t="str">
        <x:v>不适用/未标注</x:v>
      </x:c>
      <x:c r="M2925" s="33" t="n">
        <x:v>1368555.2300000002</x:v>
      </x:c>
      <x:c r="N2925" s="33" t="n">
        <x:v>136.85552300000003</x:v>
      </x:c>
      <x:c r="O2925" s="22" t="str">
        <x:v>公顷</x:v>
      </x:c>
      <x:c r="P2925" s="22" t="str">
        <x:v>未提供（单期横截面）</x:v>
      </x:c>
      <x:c r="Q2925" s="23" t="n">
        <x:v>5904</x:v>
      </x:c>
    </x:row>
    <x:row r="2926">
      <x:c r="A2926" s="30" t="n">
        <x:v>350600</x:v>
      </x:c>
      <x:c r="B2926" s="22" t="str">
        <x:v>漳州市</x:v>
      </x:c>
      <x:c r="C2926" s="31" t="n">
        <x:v>350629</x:v>
      </x:c>
      <x:c r="D2926" s="22" t="str">
        <x:v>华安县</x:v>
      </x:c>
      <x:c r="E2926" s="22" t="str">
        <x:v>未利用地</x:v>
      </x:c>
      <x:c r="F2926" s="22" t="str">
        <x:v>未利用地</x:v>
      </x:c>
      <x:c r="G2926" s="32" t="str">
        <x:v>1206</x:v>
      </x:c>
      <x:c r="H2926" s="32" t="str">
        <x:v>1206</x:v>
      </x:c>
      <x:c r="I2926" s="22" t="str">
        <x:v>裸土地</x:v>
      </x:c>
      <x:c r="J2926" s="22" t="str">
        <x:v>未利用地</x:v>
      </x:c>
      <x:c r="K2926" s="32" t="str"/>
      <x:c r="L2926" s="22" t="str">
        <x:v>不适用/未标注</x:v>
      </x:c>
      <x:c r="M2926" s="33" t="n">
        <x:v>30371.829999999998</x:v>
      </x:c>
      <x:c r="N2926" s="33" t="n">
        <x:v>3.0371829999999997</x:v>
      </x:c>
      <x:c r="O2926" s="22" t="str">
        <x:v>公顷</x:v>
      </x:c>
      <x:c r="P2926" s="22" t="str">
        <x:v>未提供（单期横截面）</x:v>
      </x:c>
      <x:c r="Q2926" s="23" t="n">
        <x:v>5905</x:v>
      </x:c>
    </x:row>
    <x:row r="2927">
      <x:c r="A2927" s="30" t="n">
        <x:v>350600</x:v>
      </x:c>
      <x:c r="B2927" s="22" t="str">
        <x:v>漳州市</x:v>
      </x:c>
      <x:c r="C2927" s="31" t="n">
        <x:v>350629</x:v>
      </x:c>
      <x:c r="D2927" s="22" t="str">
        <x:v>华安县</x:v>
      </x:c>
      <x:c r="E2927" s="22" t="str">
        <x:v>未利用地</x:v>
      </x:c>
      <x:c r="F2927" s="22" t="str">
        <x:v>未利用地</x:v>
      </x:c>
      <x:c r="G2927" s="32" t="str">
        <x:v>1207</x:v>
      </x:c>
      <x:c r="H2927" s="32" t="str">
        <x:v>1207</x:v>
      </x:c>
      <x:c r="I2927" s="22" t="str">
        <x:v>裸岩石砾地</x:v>
      </x:c>
      <x:c r="J2927" s="22" t="str">
        <x:v>未利用地</x:v>
      </x:c>
      <x:c r="K2927" s="32" t="str"/>
      <x:c r="L2927" s="22" t="str">
        <x:v>不适用/未标注</x:v>
      </x:c>
      <x:c r="M2927" s="33" t="n">
        <x:v>44842.700000000004</x:v>
      </x:c>
      <x:c r="N2927" s="33" t="n">
        <x:v>4.48427</x:v>
      </x:c>
      <x:c r="O2927" s="22" t="str">
        <x:v>公顷</x:v>
      </x:c>
      <x:c r="P2927" s="22" t="str">
        <x:v>未提供（单期横截面）</x:v>
      </x:c>
      <x:c r="Q2927" s="23" t="n">
        <x:v>5906</x:v>
      </x:c>
    </x:row>
    <x:row r="2928">
      <x:c r="A2928" s="30" t="n">
        <x:v>350600</x:v>
      </x:c>
      <x:c r="B2928" s="22" t="str">
        <x:v>漳州市</x:v>
      </x:c>
      <x:c r="C2928" s="31" t="n">
        <x:v>350629</x:v>
      </x:c>
      <x:c r="D2928" s="22" t="str">
        <x:v>华安县</x:v>
      </x:c>
      <x:c r="E2928" s="22" t="str">
        <x:v>未利用地</x:v>
      </x:c>
      <x:c r="F2928" s="22" t="str">
        <x:v>草地</x:v>
      </x:c>
      <x:c r="G2928" s="32" t="str">
        <x:v>404</x:v>
      </x:c>
      <x:c r="H2928" s="32" t="str">
        <x:v>404</x:v>
      </x:c>
      <x:c r="I2928" s="22" t="str">
        <x:v>其他草地</x:v>
      </x:c>
      <x:c r="J2928" s="22" t="str">
        <x:v>农业生态</x:v>
      </x:c>
      <x:c r="K2928" s="32" t="str">
        <x:v>202</x:v>
      </x:c>
      <x:c r="L2928" s="22" t="str">
        <x:v>建制镇范围</x:v>
      </x:c>
      <x:c r="M2928" s="33" t="n">
        <x:v>107664.77999999998</x:v>
      </x:c>
      <x:c r="N2928" s="33" t="n">
        <x:v>10.766477999999998</x:v>
      </x:c>
      <x:c r="O2928" s="22" t="str">
        <x:v>公顷</x:v>
      </x:c>
      <x:c r="P2928" s="22" t="str">
        <x:v>未提供（单期横截面）</x:v>
      </x:c>
      <x:c r="Q2928" s="23" t="n">
        <x:v>5907</x:v>
      </x:c>
    </x:row>
    <x:row r="2929">
      <x:c r="A2929" s="30" t="n">
        <x:v>350600</x:v>
      </x:c>
      <x:c r="B2929" s="22" t="str">
        <x:v>漳州市</x:v>
      </x:c>
      <x:c r="C2929" s="31" t="n">
        <x:v>350629</x:v>
      </x:c>
      <x:c r="D2929" s="22" t="str">
        <x:v>华安县</x:v>
      </x:c>
      <x:c r="E2929" s="22" t="str">
        <x:v>未利用地</x:v>
      </x:c>
      <x:c r="F2929" s="22" t="str">
        <x:v>水域及水利设施</x:v>
      </x:c>
      <x:c r="G2929" s="32" t="str">
        <x:v>1101</x:v>
      </x:c>
      <x:c r="H2929" s="32" t="str">
        <x:v>1101</x:v>
      </x:c>
      <x:c r="I2929" s="22" t="str">
        <x:v>河流水面</x:v>
      </x:c>
      <x:c r="J2929" s="22" t="str">
        <x:v>农业生态</x:v>
      </x:c>
      <x:c r="K2929" s="32" t="str">
        <x:v>202</x:v>
      </x:c>
      <x:c r="L2929" s="22" t="str">
        <x:v>建制镇范围</x:v>
      </x:c>
      <x:c r="M2929" s="33" t="n">
        <x:v>419.96</x:v>
      </x:c>
      <x:c r="N2929" s="33" t="n">
        <x:v>0.041996</x:v>
      </x:c>
      <x:c r="O2929" s="22" t="str">
        <x:v>公顷</x:v>
      </x:c>
      <x:c r="P2929" s="22" t="str">
        <x:v>未提供（单期横截面）</x:v>
      </x:c>
      <x:c r="Q2929" s="23" t="n">
        <x:v>5908</x:v>
      </x:c>
    </x:row>
    <x:row r="2930">
      <x:c r="A2930" s="30" t="n">
        <x:v>350600</x:v>
      </x:c>
      <x:c r="B2930" s="22" t="str">
        <x:v>漳州市</x:v>
      </x:c>
      <x:c r="C2930" s="31" t="n">
        <x:v>350629</x:v>
      </x:c>
      <x:c r="D2930" s="22" t="str">
        <x:v>华安县</x:v>
      </x:c>
      <x:c r="E2930" s="22" t="str">
        <x:v>未利用地</x:v>
      </x:c>
      <x:c r="F2930" s="22" t="str">
        <x:v>草地</x:v>
      </x:c>
      <x:c r="G2930" s="32" t="str">
        <x:v>404</x:v>
      </x:c>
      <x:c r="H2930" s="32" t="str">
        <x:v>404</x:v>
      </x:c>
      <x:c r="I2930" s="22" t="str">
        <x:v>其他草地</x:v>
      </x:c>
      <x:c r="J2930" s="22" t="str">
        <x:v>农业生态</x:v>
      </x:c>
      <x:c r="K2930" s="32" t="str">
        <x:v>203</x:v>
      </x:c>
      <x:c r="L2930" s="22" t="str">
        <x:v>村庄范围</x:v>
      </x:c>
      <x:c r="M2930" s="33" t="n">
        <x:v>1135.42</x:v>
      </x:c>
      <x:c r="N2930" s="33" t="n">
        <x:v>0.113542</x:v>
      </x:c>
      <x:c r="O2930" s="22" t="str">
        <x:v>公顷</x:v>
      </x:c>
      <x:c r="P2930" s="22" t="str">
        <x:v>未提供（单期横截面）</x:v>
      </x:c>
      <x:c r="Q2930" s="23" t="n">
        <x:v>5909</x:v>
      </x:c>
    </x:row>
    <x:row r="2931">
      <x:c r="A2931" s="30" t="n">
        <x:v>350600</x:v>
      </x:c>
      <x:c r="B2931" s="22" t="str">
        <x:v>漳州市</x:v>
      </x:c>
      <x:c r="C2931" s="31" t="n">
        <x:v>350629</x:v>
      </x:c>
      <x:c r="D2931" s="22" t="str">
        <x:v>华安县</x:v>
      </x:c>
      <x:c r="E2931" s="22" t="str">
        <x:v>未利用地</x:v>
      </x:c>
      <x:c r="F2931" s="22" t="str">
        <x:v>水域及水利设施</x:v>
      </x:c>
      <x:c r="G2931" s="32" t="str">
        <x:v>1101</x:v>
      </x:c>
      <x:c r="H2931" s="32" t="str">
        <x:v>1101</x:v>
      </x:c>
      <x:c r="I2931" s="22" t="str">
        <x:v>河流水面</x:v>
      </x:c>
      <x:c r="J2931" s="22" t="str">
        <x:v>农业生态</x:v>
      </x:c>
      <x:c r="K2931" s="32" t="str">
        <x:v>203</x:v>
      </x:c>
      <x:c r="L2931" s="22" t="str">
        <x:v>村庄范围</x:v>
      </x:c>
      <x:c r="M2931" s="33" t="n">
        <x:v>389.53</x:v>
      </x:c>
      <x:c r="N2931" s="33" t="n">
        <x:v>0.038952999999999995</x:v>
      </x:c>
      <x:c r="O2931" s="22" t="str">
        <x:v>公顷</x:v>
      </x:c>
      <x:c r="P2931" s="22" t="str">
        <x:v>未提供（单期横截面）</x:v>
      </x:c>
      <x:c r="Q2931" s="23" t="n">
        <x:v>5910</x:v>
      </x:c>
    </x:row>
    <x:row r="2932">
      <x:c r="A2932" s="30" t="n">
        <x:v>350600</x:v>
      </x:c>
      <x:c r="B2932" s="22" t="str">
        <x:v>漳州市</x:v>
      </x:c>
      <x:c r="C2932" s="31" t="n">
        <x:v>350629</x:v>
      </x:c>
      <x:c r="D2932" s="22" t="str">
        <x:v>华安县</x:v>
      </x:c>
      <x:c r="E2932" s="22" t="str">
        <x:v>未利用地</x:v>
      </x:c>
      <x:c r="F2932" s="22" t="str">
        <x:v>未利用地</x:v>
      </x:c>
      <x:c r="G2932" s="32" t="str">
        <x:v>1206</x:v>
      </x:c>
      <x:c r="H2932" s="32" t="str">
        <x:v>1206</x:v>
      </x:c>
      <x:c r="I2932" s="22" t="str">
        <x:v>裸土地</x:v>
      </x:c>
      <x:c r="J2932" s="22" t="str">
        <x:v>未利用地</x:v>
      </x:c>
      <x:c r="K2932" s="32" t="str">
        <x:v>203</x:v>
      </x:c>
      <x:c r="L2932" s="22" t="str">
        <x:v>村庄范围</x:v>
      </x:c>
      <x:c r="M2932" s="33" t="n">
        <x:v>3473.87</x:v>
      </x:c>
      <x:c r="N2932" s="33" t="n">
        <x:v>0.347387</x:v>
      </x:c>
      <x:c r="O2932" s="22" t="str">
        <x:v>公顷</x:v>
      </x:c>
      <x:c r="P2932" s="22" t="str">
        <x:v>未提供（单期横截面）</x:v>
      </x:c>
      <x:c r="Q2932" s="23" t="n">
        <x:v>5911</x:v>
      </x:c>
    </x:row>
    <x:row r="2933">
      <x:c r="A2933" s="30" t="n">
        <x:v>350600</x:v>
      </x:c>
      <x:c r="B2933" s="22" t="str">
        <x:v>漳州市</x:v>
      </x:c>
      <x:c r="C2933" s="31" t="n">
        <x:v>350681</x:v>
      </x:c>
      <x:c r="D2933" s="22" t="str">
        <x:v>龙海区</x:v>
      </x:c>
      <x:c r="E2933" s="22" t="str">
        <x:v>建设用地</x:v>
      </x:c>
      <x:c r="F2933" s="22" t="str">
        <x:v>交通运输用地</x:v>
      </x:c>
      <x:c r="G2933" s="32" t="str">
        <x:v>1001</x:v>
      </x:c>
      <x:c r="H2933" s="32" t="str">
        <x:v>1001</x:v>
      </x:c>
      <x:c r="I2933" s="22" t="str">
        <x:v>铁路用地</x:v>
      </x:c>
      <x:c r="J2933" s="22" t="str">
        <x:v>交通门户</x:v>
      </x:c>
      <x:c r="K2933" s="32" t="str"/>
      <x:c r="L2933" s="22" t="str">
        <x:v>不适用/未标注</x:v>
      </x:c>
      <x:c r="M2933" s="33" t="n">
        <x:v>3814894.46</x:v>
      </x:c>
      <x:c r="N2933" s="33" t="n">
        <x:v>381.489446</x:v>
      </x:c>
      <x:c r="O2933" s="22" t="str">
        <x:v>公顷</x:v>
      </x:c>
      <x:c r="P2933" s="22" t="str">
        <x:v>未提供（单期横截面）</x:v>
      </x:c>
      <x:c r="Q2933" s="23" t="n">
        <x:v>5912</x:v>
      </x:c>
    </x:row>
    <x:row r="2934">
      <x:c r="A2934" s="30" t="n">
        <x:v>350600</x:v>
      </x:c>
      <x:c r="B2934" s="22" t="str">
        <x:v>漳州市</x:v>
      </x:c>
      <x:c r="C2934" s="31" t="n">
        <x:v>350681</x:v>
      </x:c>
      <x:c r="D2934" s="22" t="str">
        <x:v>龙海区</x:v>
      </x:c>
      <x:c r="E2934" s="22" t="str">
        <x:v>建设用地</x:v>
      </x:c>
      <x:c r="F2934" s="22" t="str">
        <x:v>交通运输用地</x:v>
      </x:c>
      <x:c r="G2934" s="32" t="str">
        <x:v>1002</x:v>
      </x:c>
      <x:c r="H2934" s="32" t="str">
        <x:v>1002</x:v>
      </x:c>
      <x:c r="I2934" s="22" t="str">
        <x:v>轨道交通用地</x:v>
      </x:c>
      <x:c r="J2934" s="22" t="str">
        <x:v>交通门户</x:v>
      </x:c>
      <x:c r="K2934" s="32" t="str"/>
      <x:c r="L2934" s="22" t="str">
        <x:v>不适用/未标注</x:v>
      </x:c>
      <x:c r="M2934" s="33" t="n">
        <x:v>751.86</x:v>
      </x:c>
      <x:c r="N2934" s="33" t="n">
        <x:v>0.075186</x:v>
      </x:c>
      <x:c r="O2934" s="22" t="str">
        <x:v>公顷</x:v>
      </x:c>
      <x:c r="P2934" s="22" t="str">
        <x:v>未提供（单期横截面）</x:v>
      </x:c>
      <x:c r="Q2934" s="23" t="n">
        <x:v>5913</x:v>
      </x:c>
    </x:row>
    <x:row r="2935">
      <x:c r="A2935" s="30" t="n">
        <x:v>350600</x:v>
      </x:c>
      <x:c r="B2935" s="22" t="str">
        <x:v>漳州市</x:v>
      </x:c>
      <x:c r="C2935" s="31" t="n">
        <x:v>350681</x:v>
      </x:c>
      <x:c r="D2935" s="22" t="str">
        <x:v>龙海区</x:v>
      </x:c>
      <x:c r="E2935" s="22" t="str">
        <x:v>建设用地</x:v>
      </x:c>
      <x:c r="F2935" s="22" t="str">
        <x:v>交通运输用地</x:v>
      </x:c>
      <x:c r="G2935" s="32" t="str">
        <x:v>1003</x:v>
      </x:c>
      <x:c r="H2935" s="32" t="str">
        <x:v>1003</x:v>
      </x:c>
      <x:c r="I2935" s="22" t="str">
        <x:v>公路用地</x:v>
      </x:c>
      <x:c r="J2935" s="22" t="str">
        <x:v>交通门户</x:v>
      </x:c>
      <x:c r="K2935" s="32" t="str"/>
      <x:c r="L2935" s="22" t="str">
        <x:v>不适用/未标注</x:v>
      </x:c>
      <x:c r="M2935" s="33" t="n">
        <x:v>33737470.94999998</x:v>
      </x:c>
      <x:c r="N2935" s="33" t="n">
        <x:v>3373.747094999998</x:v>
      </x:c>
      <x:c r="O2935" s="22" t="str">
        <x:v>公顷</x:v>
      </x:c>
      <x:c r="P2935" s="22" t="str">
        <x:v>未提供（单期横截面）</x:v>
      </x:c>
      <x:c r="Q2935" s="23" t="n">
        <x:v>5914</x:v>
      </x:c>
    </x:row>
    <x:row r="2936">
      <x:c r="A2936" s="30" t="n">
        <x:v>350600</x:v>
      </x:c>
      <x:c r="B2936" s="22" t="str">
        <x:v>漳州市</x:v>
      </x:c>
      <x:c r="C2936" s="31" t="n">
        <x:v>350681</x:v>
      </x:c>
      <x:c r="D2936" s="22" t="str">
        <x:v>龙海区</x:v>
      </x:c>
      <x:c r="E2936" s="22" t="str">
        <x:v>建设用地</x:v>
      </x:c>
      <x:c r="F2936" s="22" t="str">
        <x:v>交通运输用地</x:v>
      </x:c>
      <x:c r="G2936" s="32" t="str">
        <x:v>1008</x:v>
      </x:c>
      <x:c r="H2936" s="32" t="str">
        <x:v>1008</x:v>
      </x:c>
      <x:c r="I2936" s="22" t="str">
        <x:v>港口码头用地</x:v>
      </x:c>
      <x:c r="J2936" s="22" t="str">
        <x:v>交通门户</x:v>
      </x:c>
      <x:c r="K2936" s="32" t="str"/>
      <x:c r="L2936" s="22" t="str">
        <x:v>不适用/未标注</x:v>
      </x:c>
      <x:c r="M2936" s="33" t="n">
        <x:v>966416.5199999996</x:v>
      </x:c>
      <x:c r="N2936" s="33" t="n">
        <x:v>96.64165199999995</x:v>
      </x:c>
      <x:c r="O2936" s="22" t="str">
        <x:v>公顷</x:v>
      </x:c>
      <x:c r="P2936" s="22" t="str">
        <x:v>未提供（单期横截面）</x:v>
      </x:c>
      <x:c r="Q2936" s="23" t="n">
        <x:v>5915</x:v>
      </x:c>
    </x:row>
    <x:row r="2937">
      <x:c r="A2937" s="30" t="n">
        <x:v>350600</x:v>
      </x:c>
      <x:c r="B2937" s="22" t="str">
        <x:v>漳州市</x:v>
      </x:c>
      <x:c r="C2937" s="31" t="n">
        <x:v>350681</x:v>
      </x:c>
      <x:c r="D2937" s="22" t="str">
        <x:v>龙海区</x:v>
      </x:c>
      <x:c r="E2937" s="22" t="str">
        <x:v>建设用地</x:v>
      </x:c>
      <x:c r="F2937" s="22" t="str">
        <x:v>水域及水利设施</x:v>
      </x:c>
      <x:c r="G2937" s="32" t="str">
        <x:v>1109</x:v>
      </x:c>
      <x:c r="H2937" s="32" t="str">
        <x:v>1109</x:v>
      </x:c>
      <x:c r="I2937" s="22" t="str">
        <x:v>水工建筑用地</x:v>
      </x:c>
      <x:c r="J2937" s="22" t="str">
        <x:v>其他建设</x:v>
      </x:c>
      <x:c r="K2937" s="32" t="str"/>
      <x:c r="L2937" s="22" t="str">
        <x:v>不适用/未标注</x:v>
      </x:c>
      <x:c r="M2937" s="33" t="n">
        <x:v>2852283.3999999994</x:v>
      </x:c>
      <x:c r="N2937" s="33" t="n">
        <x:v>285.22833999999995</x:v>
      </x:c>
      <x:c r="O2937" s="22" t="str">
        <x:v>公顷</x:v>
      </x:c>
      <x:c r="P2937" s="22" t="str">
        <x:v>未提供（单期横截面）</x:v>
      </x:c>
      <x:c r="Q2937" s="23" t="n">
        <x:v>5916</x:v>
      </x:c>
    </x:row>
    <x:row r="2938">
      <x:c r="A2938" s="30" t="n">
        <x:v>350600</x:v>
      </x:c>
      <x:c r="B2938" s="22" t="str">
        <x:v>漳州市</x:v>
      </x:c>
      <x:c r="C2938" s="31" t="n">
        <x:v>350681</x:v>
      </x:c>
      <x:c r="D2938" s="22" t="str">
        <x:v>龙海区</x:v>
      </x:c>
      <x:c r="E2938" s="22" t="str">
        <x:v>建设用地</x:v>
      </x:c>
      <x:c r="F2938" s="22" t="str">
        <x:v>工矿仓储用地</x:v>
      </x:c>
      <x:c r="G2938" s="32" t="str">
        <x:v>508</x:v>
      </x:c>
      <x:c r="H2938" s="32" t="str">
        <x:v>508</x:v>
      </x:c>
      <x:c r="I2938" s="22" t="str">
        <x:v>物流仓储用地</x:v>
      </x:c>
      <x:c r="J2938" s="22" t="str">
        <x:v>产业功能</x:v>
      </x:c>
      <x:c r="K2938" s="32" t="str">
        <x:v>201</x:v>
      </x:c>
      <x:c r="L2938" s="22" t="str">
        <x:v>城市范围</x:v>
      </x:c>
      <x:c r="M2938" s="33" t="n">
        <x:v>12036.580000000002</x:v>
      </x:c>
      <x:c r="N2938" s="33" t="n">
        <x:v>1.2036580000000001</x:v>
      </x:c>
      <x:c r="O2938" s="22" t="str">
        <x:v>公顷</x:v>
      </x:c>
      <x:c r="P2938" s="22" t="str">
        <x:v>未提供（单期横截面）</x:v>
      </x:c>
      <x:c r="Q2938" s="23" t="n">
        <x:v>5917</x:v>
      </x:c>
    </x:row>
    <x:row r="2939">
      <x:c r="A2939" s="30" t="n">
        <x:v>350600</x:v>
      </x:c>
      <x:c r="B2939" s="22" t="str">
        <x:v>漳州市</x:v>
      </x:c>
      <x:c r="C2939" s="31" t="n">
        <x:v>350681</x:v>
      </x:c>
      <x:c r="D2939" s="22" t="str">
        <x:v>龙海区</x:v>
      </x:c>
      <x:c r="E2939" s="22" t="str">
        <x:v>建设用地</x:v>
      </x:c>
      <x:c r="F2939" s="22" t="str">
        <x:v>商业服务业用地</x:v>
      </x:c>
      <x:c r="G2939" s="32" t="str">
        <x:v>05H1</x:v>
      </x:c>
      <x:c r="H2939" s="32" t="str">
        <x:v>05H1</x:v>
      </x:c>
      <x:c r="I2939" s="22" t="str">
        <x:v>商业服务业设施用地</x:v>
      </x:c>
      <x:c r="J2939" s="22" t="str">
        <x:v>商业服务</x:v>
      </x:c>
      <x:c r="K2939" s="32" t="str">
        <x:v>201</x:v>
      </x:c>
      <x:c r="L2939" s="22" t="str">
        <x:v>城市范围</x:v>
      </x:c>
      <x:c r="M2939" s="33" t="n">
        <x:v>299926.8099999999</x:v>
      </x:c>
      <x:c r="N2939" s="33" t="n">
        <x:v>29.992680999999987</x:v>
      </x:c>
      <x:c r="O2939" s="22" t="str">
        <x:v>公顷</x:v>
      </x:c>
      <x:c r="P2939" s="22" t="str">
        <x:v>未提供（单期横截面）</x:v>
      </x:c>
      <x:c r="Q2939" s="23" t="n">
        <x:v>5918</x:v>
      </x:c>
    </x:row>
    <x:row r="2940">
      <x:c r="A2940" s="30" t="n">
        <x:v>350600</x:v>
      </x:c>
      <x:c r="B2940" s="22" t="str">
        <x:v>漳州市</x:v>
      </x:c>
      <x:c r="C2940" s="31" t="n">
        <x:v>350681</x:v>
      </x:c>
      <x:c r="D2940" s="22" t="str">
        <x:v>龙海区</x:v>
      </x:c>
      <x:c r="E2940" s="22" t="str">
        <x:v>建设用地</x:v>
      </x:c>
      <x:c r="F2940" s="22" t="str">
        <x:v>工矿仓储用地</x:v>
      </x:c>
      <x:c r="G2940" s="32" t="str">
        <x:v>601</x:v>
      </x:c>
      <x:c r="H2940" s="32" t="str">
        <x:v>601</x:v>
      </x:c>
      <x:c r="I2940" s="22" t="str">
        <x:v>工业用地</x:v>
      </x:c>
      <x:c r="J2940" s="22" t="str">
        <x:v>产业功能</x:v>
      </x:c>
      <x:c r="K2940" s="32" t="str">
        <x:v>201</x:v>
      </x:c>
      <x:c r="L2940" s="22" t="str">
        <x:v>城市范围</x:v>
      </x:c>
      <x:c r="M2940" s="33" t="n">
        <x:v>184725.36999999997</x:v>
      </x:c>
      <x:c r="N2940" s="33" t="n">
        <x:v>18.472536999999996</x:v>
      </x:c>
      <x:c r="O2940" s="22" t="str">
        <x:v>公顷</x:v>
      </x:c>
      <x:c r="P2940" s="22" t="str">
        <x:v>未提供（单期横截面）</x:v>
      </x:c>
      <x:c r="Q2940" s="23" t="n">
        <x:v>5919</x:v>
      </x:c>
    </x:row>
    <x:row r="2941">
      <x:c r="A2941" s="30" t="n">
        <x:v>350600</x:v>
      </x:c>
      <x:c r="B2941" s="22" t="str">
        <x:v>漳州市</x:v>
      </x:c>
      <x:c r="C2941" s="31" t="n">
        <x:v>350681</x:v>
      </x:c>
      <x:c r="D2941" s="22" t="str">
        <x:v>龙海区</x:v>
      </x:c>
      <x:c r="E2941" s="22" t="str">
        <x:v>建设用地</x:v>
      </x:c>
      <x:c r="F2941" s="22" t="str">
        <x:v>居住用地</x:v>
      </x:c>
      <x:c r="G2941" s="32" t="str">
        <x:v>701</x:v>
      </x:c>
      <x:c r="H2941" s="32" t="str">
        <x:v>701</x:v>
      </x:c>
      <x:c r="I2941" s="22" t="str">
        <x:v>城镇住宅用地</x:v>
      </x:c>
      <x:c r="J2941" s="22" t="str">
        <x:v>居住功能</x:v>
      </x:c>
      <x:c r="K2941" s="32" t="str">
        <x:v>201</x:v>
      </x:c>
      <x:c r="L2941" s="22" t="str">
        <x:v>城市范围</x:v>
      </x:c>
      <x:c r="M2941" s="33" t="n">
        <x:v>3190326.99</x:v>
      </x:c>
      <x:c r="N2941" s="33" t="n">
        <x:v>319.03269900000004</x:v>
      </x:c>
      <x:c r="O2941" s="22" t="str">
        <x:v>公顷</x:v>
      </x:c>
      <x:c r="P2941" s="22" t="str">
        <x:v>未提供（单期横截面）</x:v>
      </x:c>
      <x:c r="Q2941" s="23" t="n">
        <x:v>5920</x:v>
      </x:c>
    </x:row>
    <x:row r="2942">
      <x:c r="A2942" s="30" t="n">
        <x:v>350600</x:v>
      </x:c>
      <x:c r="B2942" s="22" t="str">
        <x:v>漳州市</x:v>
      </x:c>
      <x:c r="C2942" s="31" t="n">
        <x:v>350681</x:v>
      </x:c>
      <x:c r="D2942" s="22" t="str">
        <x:v>龙海区</x:v>
      </x:c>
      <x:c r="E2942" s="22" t="str">
        <x:v>建设用地</x:v>
      </x:c>
      <x:c r="F2942" s="22" t="str">
        <x:v>居住用地</x:v>
      </x:c>
      <x:c r="G2942" s="32" t="str">
        <x:v>702</x:v>
      </x:c>
      <x:c r="H2942" s="32" t="str">
        <x:v>702</x:v>
      </x:c>
      <x:c r="I2942" s="22" t="str">
        <x:v>农村宅基地</x:v>
      </x:c>
      <x:c r="J2942" s="22" t="str">
        <x:v>居住功能</x:v>
      </x:c>
      <x:c r="K2942" s="32" t="str">
        <x:v>201</x:v>
      </x:c>
      <x:c r="L2942" s="22" t="str">
        <x:v>城市范围</x:v>
      </x:c>
      <x:c r="M2942" s="33" t="n">
        <x:v>31402.750000000004</x:v>
      </x:c>
      <x:c r="N2942" s="33" t="n">
        <x:v>3.1402750000000004</x:v>
      </x:c>
      <x:c r="O2942" s="22" t="str">
        <x:v>公顷</x:v>
      </x:c>
      <x:c r="P2942" s="22" t="str">
        <x:v>未提供（单期横截面）</x:v>
      </x:c>
      <x:c r="Q2942" s="23" t="n">
        <x:v>5921</x:v>
      </x:c>
    </x:row>
    <x:row r="2943">
      <x:c r="A2943" s="30" t="n">
        <x:v>350600</x:v>
      </x:c>
      <x:c r="B2943" s="22" t="str">
        <x:v>漳州市</x:v>
      </x:c>
      <x:c r="C2943" s="31" t="n">
        <x:v>350681</x:v>
      </x:c>
      <x:c r="D2943" s="22" t="str">
        <x:v>龙海区</x:v>
      </x:c>
      <x:c r="E2943" s="22" t="str">
        <x:v>建设用地</x:v>
      </x:c>
      <x:c r="F2943" s="22" t="str">
        <x:v>公用设施用地</x:v>
      </x:c>
      <x:c r="G2943" s="32" t="str">
        <x:v>809</x:v>
      </x:c>
      <x:c r="H2943" s="32" t="str">
        <x:v>809</x:v>
      </x:c>
      <x:c r="I2943" s="22" t="str">
        <x:v>公用设施用地</x:v>
      </x:c>
      <x:c r="J2943" s="22" t="str">
        <x:v>其他建设</x:v>
      </x:c>
      <x:c r="K2943" s="32" t="str">
        <x:v>201</x:v>
      </x:c>
      <x:c r="L2943" s="22" t="str">
        <x:v>城市范围</x:v>
      </x:c>
      <x:c r="M2943" s="33" t="n">
        <x:v>35017.63</x:v>
      </x:c>
      <x:c r="N2943" s="33" t="n">
        <x:v>3.501763</x:v>
      </x:c>
      <x:c r="O2943" s="22" t="str">
        <x:v>公顷</x:v>
      </x:c>
      <x:c r="P2943" s="22" t="str">
        <x:v>未提供（单期横截面）</x:v>
      </x:c>
      <x:c r="Q2943" s="23" t="n">
        <x:v>5922</x:v>
      </x:c>
    </x:row>
    <x:row r="2944">
      <x:c r="A2944" s="30" t="n">
        <x:v>350600</x:v>
      </x:c>
      <x:c r="B2944" s="22" t="str">
        <x:v>漳州市</x:v>
      </x:c>
      <x:c r="C2944" s="31" t="n">
        <x:v>350681</x:v>
      </x:c>
      <x:c r="D2944" s="22" t="str">
        <x:v>龙海区</x:v>
      </x:c>
      <x:c r="E2944" s="22" t="str">
        <x:v>建设用地</x:v>
      </x:c>
      <x:c r="F2944" s="22" t="str">
        <x:v>绿地与广场用地</x:v>
      </x:c>
      <x:c r="G2944" s="32" t="str">
        <x:v>810</x:v>
      </x:c>
      <x:c r="H2944" s="32" t="str">
        <x:v>810</x:v>
      </x:c>
      <x:c r="I2944" s="22" t="str">
        <x:v>公园与绿地</x:v>
      </x:c>
      <x:c r="J2944" s="22" t="str">
        <x:v>公共空间</x:v>
      </x:c>
      <x:c r="K2944" s="32" t="str">
        <x:v>201</x:v>
      </x:c>
      <x:c r="L2944" s="22" t="str">
        <x:v>城市范围</x:v>
      </x:c>
      <x:c r="M2944" s="33" t="n">
        <x:v>145752.16999999998</x:v>
      </x:c>
      <x:c r="N2944" s="33" t="n">
        <x:v>14.575216999999999</x:v>
      </x:c>
      <x:c r="O2944" s="22" t="str">
        <x:v>公顷</x:v>
      </x:c>
      <x:c r="P2944" s="22" t="str">
        <x:v>未提供（单期横截面）</x:v>
      </x:c>
      <x:c r="Q2944" s="23" t="n">
        <x:v>5923</x:v>
      </x:c>
    </x:row>
    <x:row r="2945">
      <x:c r="A2945" s="30" t="n">
        <x:v>350600</x:v>
      </x:c>
      <x:c r="B2945" s="22" t="str">
        <x:v>漳州市</x:v>
      </x:c>
      <x:c r="C2945" s="31" t="n">
        <x:v>350681</x:v>
      </x:c>
      <x:c r="D2945" s="22" t="str">
        <x:v>龙海区</x:v>
      </x:c>
      <x:c r="E2945" s="22" t="str">
        <x:v>建设用地</x:v>
      </x:c>
      <x:c r="F2945" s="22" t="str">
        <x:v>公共管理与公共服务用地</x:v>
      </x:c>
      <x:c r="G2945" s="32" t="str">
        <x:v>08H1</x:v>
      </x:c>
      <x:c r="H2945" s="32" t="str">
        <x:v>08H1</x:v>
      </x:c>
      <x:c r="I2945" s="22" t="str">
        <x:v>机关团体新闻出版用地</x:v>
      </x:c>
      <x:c r="J2945" s="22" t="str">
        <x:v>公共服务</x:v>
      </x:c>
      <x:c r="K2945" s="32" t="str">
        <x:v>201</x:v>
      </x:c>
      <x:c r="L2945" s="22" t="str">
        <x:v>城市范围</x:v>
      </x:c>
      <x:c r="M2945" s="33" t="n">
        <x:v>243459.01999999987</x:v>
      </x:c>
      <x:c r="N2945" s="33" t="n">
        <x:v>24.345901999999988</x:v>
      </x:c>
      <x:c r="O2945" s="22" t="str">
        <x:v>公顷</x:v>
      </x:c>
      <x:c r="P2945" s="22" t="str">
        <x:v>未提供（单期横截面）</x:v>
      </x:c>
      <x:c r="Q2945" s="23" t="n">
        <x:v>5924</x:v>
      </x:c>
    </x:row>
    <x:row r="2946">
      <x:c r="A2946" s="30" t="n">
        <x:v>350600</x:v>
      </x:c>
      <x:c r="B2946" s="22" t="str">
        <x:v>漳州市</x:v>
      </x:c>
      <x:c r="C2946" s="31" t="n">
        <x:v>350681</x:v>
      </x:c>
      <x:c r="D2946" s="22" t="str">
        <x:v>龙海区</x:v>
      </x:c>
      <x:c r="E2946" s="22" t="str">
        <x:v>建设用地</x:v>
      </x:c>
      <x:c r="F2946" s="22" t="str">
        <x:v>公共管理与公共服务用地</x:v>
      </x:c>
      <x:c r="G2946" s="32" t="str">
        <x:v>08H2</x:v>
      </x:c>
      <x:c r="H2946" s="32" t="str">
        <x:v>08H2</x:v>
      </x:c>
      <x:c r="I2946" s="22" t="str">
        <x:v>科教文卫用地</x:v>
      </x:c>
      <x:c r="J2946" s="22" t="str">
        <x:v>公共服务</x:v>
      </x:c>
      <x:c r="K2946" s="32" t="str">
        <x:v>201</x:v>
      </x:c>
      <x:c r="L2946" s="22" t="str">
        <x:v>城市范围</x:v>
      </x:c>
      <x:c r="M2946" s="33" t="n">
        <x:v>400875.0899999998</x:v>
      </x:c>
      <x:c r="N2946" s="33" t="n">
        <x:v>40.087508999999976</x:v>
      </x:c>
      <x:c r="O2946" s="22" t="str">
        <x:v>公顷</x:v>
      </x:c>
      <x:c r="P2946" s="22" t="str">
        <x:v>未提供（单期横截面）</x:v>
      </x:c>
      <x:c r="Q2946" s="23" t="n">
        <x:v>5925</x:v>
      </x:c>
    </x:row>
    <x:row r="2947">
      <x:c r="A2947" s="30" t="n">
        <x:v>350600</x:v>
      </x:c>
      <x:c r="B2947" s="22" t="str">
        <x:v>漳州市</x:v>
      </x:c>
      <x:c r="C2947" s="31" t="n">
        <x:v>350681</x:v>
      </x:c>
      <x:c r="D2947" s="22" t="str">
        <x:v>龙海区</x:v>
      </x:c>
      <x:c r="E2947" s="22" t="str">
        <x:v>建设用地</x:v>
      </x:c>
      <x:c r="F2947" s="22" t="str">
        <x:v>公共管理与公共服务用地</x:v>
      </x:c>
      <x:c r="G2947" s="32" t="str">
        <x:v>08H2A</x:v>
      </x:c>
      <x:c r="H2947" s="32" t="str">
        <x:v>08H2</x:v>
      </x:c>
      <x:c r="I2947" s="22" t="str">
        <x:v>高教用地</x:v>
      </x:c>
      <x:c r="J2947" s="22" t="str">
        <x:v>公共服务</x:v>
      </x:c>
      <x:c r="K2947" s="32" t="str">
        <x:v>201</x:v>
      </x:c>
      <x:c r="L2947" s="22" t="str">
        <x:v>城市范围</x:v>
      </x:c>
      <x:c r="M2947" s="33" t="n">
        <x:v>32905.48</x:v>
      </x:c>
      <x:c r="N2947" s="33" t="n">
        <x:v>3.2905480000000003</x:v>
      </x:c>
      <x:c r="O2947" s="22" t="str">
        <x:v>公顷</x:v>
      </x:c>
      <x:c r="P2947" s="22" t="str">
        <x:v>未提供（单期横截面）</x:v>
      </x:c>
      <x:c r="Q2947" s="23" t="n">
        <x:v>5926</x:v>
      </x:c>
    </x:row>
    <x:row r="2948">
      <x:c r="A2948" s="30" t="n">
        <x:v>350600</x:v>
      </x:c>
      <x:c r="B2948" s="22" t="str">
        <x:v>漳州市</x:v>
      </x:c>
      <x:c r="C2948" s="31" t="n">
        <x:v>350681</x:v>
      </x:c>
      <x:c r="D2948" s="22" t="str">
        <x:v>龙海区</x:v>
      </x:c>
      <x:c r="E2948" s="22" t="str">
        <x:v>建设用地</x:v>
      </x:c>
      <x:c r="F2948" s="22" t="str">
        <x:v>特殊用地</x:v>
      </x:c>
      <x:c r="G2948" s="32" t="str">
        <x:v>9</x:v>
      </x:c>
      <x:c r="H2948" s="32" t="str">
        <x:v>9</x:v>
      </x:c>
      <x:c r="I2948" s="22" t="str">
        <x:v>特殊用地</x:v>
      </x:c>
      <x:c r="J2948" s="22" t="str">
        <x:v>其他建设</x:v>
      </x:c>
      <x:c r="K2948" s="32" t="str">
        <x:v>201</x:v>
      </x:c>
      <x:c r="L2948" s="22" t="str">
        <x:v>城市范围</x:v>
      </x:c>
      <x:c r="M2948" s="33" t="n">
        <x:v>19801.38</x:v>
      </x:c>
      <x:c r="N2948" s="33" t="n">
        <x:v>1.9801380000000002</x:v>
      </x:c>
      <x:c r="O2948" s="22" t="str">
        <x:v>公顷</x:v>
      </x:c>
      <x:c r="P2948" s="22" t="str">
        <x:v>未提供（单期横截面）</x:v>
      </x:c>
      <x:c r="Q2948" s="23" t="n">
        <x:v>5927</x:v>
      </x:c>
    </x:row>
    <x:row r="2949">
      <x:c r="A2949" s="30" t="n">
        <x:v>350600</x:v>
      </x:c>
      <x:c r="B2949" s="22" t="str">
        <x:v>漳州市</x:v>
      </x:c>
      <x:c r="C2949" s="31" t="n">
        <x:v>350681</x:v>
      </x:c>
      <x:c r="D2949" s="22" t="str">
        <x:v>龙海区</x:v>
      </x:c>
      <x:c r="E2949" s="22" t="str">
        <x:v>建设用地</x:v>
      </x:c>
      <x:c r="F2949" s="22" t="str">
        <x:v>交通运输用地</x:v>
      </x:c>
      <x:c r="G2949" s="32" t="str">
        <x:v>1004</x:v>
      </x:c>
      <x:c r="H2949" s="32" t="str">
        <x:v>1004</x:v>
      </x:c>
      <x:c r="I2949" s="22" t="str">
        <x:v>城镇村道路用地</x:v>
      </x:c>
      <x:c r="J2949" s="22" t="str">
        <x:v>交通门户</x:v>
      </x:c>
      <x:c r="K2949" s="32" t="str">
        <x:v>201</x:v>
      </x:c>
      <x:c r="L2949" s="22" t="str">
        <x:v>城市范围</x:v>
      </x:c>
      <x:c r="M2949" s="33" t="n">
        <x:v>255613.53999999992</x:v>
      </x:c>
      <x:c r="N2949" s="33" t="n">
        <x:v>25.56135399999999</x:v>
      </x:c>
      <x:c r="O2949" s="22" t="str">
        <x:v>公顷</x:v>
      </x:c>
      <x:c r="P2949" s="22" t="str">
        <x:v>未提供（单期横截面）</x:v>
      </x:c>
      <x:c r="Q2949" s="23" t="n">
        <x:v>5928</x:v>
      </x:c>
    </x:row>
    <x:row r="2950">
      <x:c r="A2950" s="30" t="n">
        <x:v>350600</x:v>
      </x:c>
      <x:c r="B2950" s="22" t="str">
        <x:v>漳州市</x:v>
      </x:c>
      <x:c r="C2950" s="31" t="n">
        <x:v>350681</x:v>
      </x:c>
      <x:c r="D2950" s="22" t="str">
        <x:v>龙海区</x:v>
      </x:c>
      <x:c r="E2950" s="22" t="str">
        <x:v>建设用地</x:v>
      </x:c>
      <x:c r="F2950" s="22" t="str">
        <x:v>交通运输用地</x:v>
      </x:c>
      <x:c r="G2950" s="32" t="str">
        <x:v>1005</x:v>
      </x:c>
      <x:c r="H2950" s="32" t="str">
        <x:v>1005</x:v>
      </x:c>
      <x:c r="I2950" s="22" t="str">
        <x:v>交通服务场站用地</x:v>
      </x:c>
      <x:c r="J2950" s="22" t="str">
        <x:v>交通门户</x:v>
      </x:c>
      <x:c r="K2950" s="32" t="str">
        <x:v>201</x:v>
      </x:c>
      <x:c r="L2950" s="22" t="str">
        <x:v>城市范围</x:v>
      </x:c>
      <x:c r="M2950" s="33" t="n">
        <x:v>68582.41</x:v>
      </x:c>
      <x:c r="N2950" s="33" t="n">
        <x:v>6.8582410000000005</x:v>
      </x:c>
      <x:c r="O2950" s="22" t="str">
        <x:v>公顷</x:v>
      </x:c>
      <x:c r="P2950" s="22" t="str">
        <x:v>未提供（单期横截面）</x:v>
      </x:c>
      <x:c r="Q2950" s="23" t="n">
        <x:v>5929</x:v>
      </x:c>
    </x:row>
    <x:row r="2951">
      <x:c r="A2951" s="30" t="n">
        <x:v>350600</x:v>
      </x:c>
      <x:c r="B2951" s="22" t="str">
        <x:v>漳州市</x:v>
      </x:c>
      <x:c r="C2951" s="31" t="n">
        <x:v>350681</x:v>
      </x:c>
      <x:c r="D2951" s="22" t="str">
        <x:v>龙海区</x:v>
      </x:c>
      <x:c r="E2951" s="22" t="str">
        <x:v>建设用地</x:v>
      </x:c>
      <x:c r="F2951" s="22" t="str">
        <x:v>水域及水利设施</x:v>
      </x:c>
      <x:c r="G2951" s="32" t="str">
        <x:v>1109</x:v>
      </x:c>
      <x:c r="H2951" s="32" t="str">
        <x:v>1109</x:v>
      </x:c>
      <x:c r="I2951" s="22" t="str">
        <x:v>水工建筑用地</x:v>
      </x:c>
      <x:c r="J2951" s="22" t="str">
        <x:v>其他建设</x:v>
      </x:c>
      <x:c r="K2951" s="32" t="str">
        <x:v>201</x:v>
      </x:c>
      <x:c r="L2951" s="22" t="str">
        <x:v>城市范围</x:v>
      </x:c>
      <x:c r="M2951" s="33" t="n">
        <x:v>1584.81</x:v>
      </x:c>
      <x:c r="N2951" s="33" t="n">
        <x:v>0.15848099999999998</x:v>
      </x:c>
      <x:c r="O2951" s="22" t="str">
        <x:v>公顷</x:v>
      </x:c>
      <x:c r="P2951" s="22" t="str">
        <x:v>未提供（单期横截面）</x:v>
      </x:c>
      <x:c r="Q2951" s="23" t="n">
        <x:v>5930</x:v>
      </x:c>
    </x:row>
    <x:row r="2952">
      <x:c r="A2952" s="30" t="n">
        <x:v>350600</x:v>
      </x:c>
      <x:c r="B2952" s="22" t="str">
        <x:v>漳州市</x:v>
      </x:c>
      <x:c r="C2952" s="31" t="n">
        <x:v>350681</x:v>
      </x:c>
      <x:c r="D2952" s="22" t="str">
        <x:v>龙海区</x:v>
      </x:c>
      <x:c r="E2952" s="22" t="str">
        <x:v>建设用地</x:v>
      </x:c>
      <x:c r="F2952" s="22" t="str">
        <x:v>其他建设用地</x:v>
      </x:c>
      <x:c r="G2952" s="32" t="str">
        <x:v>1201</x:v>
      </x:c>
      <x:c r="H2952" s="32" t="str">
        <x:v>1201</x:v>
      </x:c>
      <x:c r="I2952" s="22" t="str">
        <x:v>空闲地</x:v>
      </x:c>
      <x:c r="J2952" s="22" t="str">
        <x:v>其他建设</x:v>
      </x:c>
      <x:c r="K2952" s="32" t="str">
        <x:v>201</x:v>
      </x:c>
      <x:c r="L2952" s="22" t="str">
        <x:v>城市范围</x:v>
      </x:c>
      <x:c r="M2952" s="33" t="n">
        <x:v>7711.73</x:v>
      </x:c>
      <x:c r="N2952" s="33" t="n">
        <x:v>0.771173</x:v>
      </x:c>
      <x:c r="O2952" s="22" t="str">
        <x:v>公顷</x:v>
      </x:c>
      <x:c r="P2952" s="22" t="str">
        <x:v>未提供（单期横截面）</x:v>
      </x:c>
      <x:c r="Q2952" s="23" t="n">
        <x:v>5931</x:v>
      </x:c>
    </x:row>
    <x:row r="2953">
      <x:c r="A2953" s="30" t="n">
        <x:v>350600</x:v>
      </x:c>
      <x:c r="B2953" s="22" t="str">
        <x:v>漳州市</x:v>
      </x:c>
      <x:c r="C2953" s="31" t="n">
        <x:v>350681</x:v>
      </x:c>
      <x:c r="D2953" s="22" t="str">
        <x:v>龙海区</x:v>
      </x:c>
      <x:c r="E2953" s="22" t="str">
        <x:v>建设用地</x:v>
      </x:c>
      <x:c r="F2953" s="22" t="str">
        <x:v>工矿仓储用地</x:v>
      </x:c>
      <x:c r="G2953" s="32" t="str">
        <x:v>508</x:v>
      </x:c>
      <x:c r="H2953" s="32" t="str">
        <x:v>508</x:v>
      </x:c>
      <x:c r="I2953" s="22" t="str">
        <x:v>物流仓储用地</x:v>
      </x:c>
      <x:c r="J2953" s="22" t="str">
        <x:v>产业功能</x:v>
      </x:c>
      <x:c r="K2953" s="32" t="str">
        <x:v>202</x:v>
      </x:c>
      <x:c r="L2953" s="22" t="str">
        <x:v>建制镇范围</x:v>
      </x:c>
      <x:c r="M2953" s="33" t="n">
        <x:v>1491808.4999999995</x:v>
      </x:c>
      <x:c r="N2953" s="33" t="n">
        <x:v>149.18084999999996</x:v>
      </x:c>
      <x:c r="O2953" s="22" t="str">
        <x:v>公顷</x:v>
      </x:c>
      <x:c r="P2953" s="22" t="str">
        <x:v>未提供（单期横截面）</x:v>
      </x:c>
      <x:c r="Q2953" s="23" t="n">
        <x:v>5932</x:v>
      </x:c>
    </x:row>
    <x:row r="2954">
      <x:c r="A2954" s="30" t="n">
        <x:v>350600</x:v>
      </x:c>
      <x:c r="B2954" s="22" t="str">
        <x:v>漳州市</x:v>
      </x:c>
      <x:c r="C2954" s="31" t="n">
        <x:v>350681</x:v>
      </x:c>
      <x:c r="D2954" s="22" t="str">
        <x:v>龙海区</x:v>
      </x:c>
      <x:c r="E2954" s="22" t="str">
        <x:v>建设用地</x:v>
      </x:c>
      <x:c r="F2954" s="22" t="str">
        <x:v>商业服务业用地</x:v>
      </x:c>
      <x:c r="G2954" s="32" t="str">
        <x:v>05H1</x:v>
      </x:c>
      <x:c r="H2954" s="32" t="str">
        <x:v>05H1</x:v>
      </x:c>
      <x:c r="I2954" s="22" t="str">
        <x:v>商业服务业设施用地</x:v>
      </x:c>
      <x:c r="J2954" s="22" t="str">
        <x:v>商业服务</x:v>
      </x:c>
      <x:c r="K2954" s="32" t="str">
        <x:v>202</x:v>
      </x:c>
      <x:c r="L2954" s="22" t="str">
        <x:v>建制镇范围</x:v>
      </x:c>
      <x:c r="M2954" s="33" t="n">
        <x:v>2288907.32</x:v>
      </x:c>
      <x:c r="N2954" s="33" t="n">
        <x:v>228.89073199999999</x:v>
      </x:c>
      <x:c r="O2954" s="22" t="str">
        <x:v>公顷</x:v>
      </x:c>
      <x:c r="P2954" s="22" t="str">
        <x:v>未提供（单期横截面）</x:v>
      </x:c>
      <x:c r="Q2954" s="23" t="n">
        <x:v>5933</x:v>
      </x:c>
    </x:row>
    <x:row r="2955">
      <x:c r="A2955" s="30" t="n">
        <x:v>350600</x:v>
      </x:c>
      <x:c r="B2955" s="22" t="str">
        <x:v>漳州市</x:v>
      </x:c>
      <x:c r="C2955" s="31" t="n">
        <x:v>350681</x:v>
      </x:c>
      <x:c r="D2955" s="22" t="str">
        <x:v>龙海区</x:v>
      </x:c>
      <x:c r="E2955" s="22" t="str">
        <x:v>建设用地</x:v>
      </x:c>
      <x:c r="F2955" s="22" t="str">
        <x:v>工矿仓储用地</x:v>
      </x:c>
      <x:c r="G2955" s="32" t="str">
        <x:v>601</x:v>
      </x:c>
      <x:c r="H2955" s="32" t="str">
        <x:v>601</x:v>
      </x:c>
      <x:c r="I2955" s="22" t="str">
        <x:v>工业用地</x:v>
      </x:c>
      <x:c r="J2955" s="22" t="str">
        <x:v>产业功能</x:v>
      </x:c>
      <x:c r="K2955" s="32" t="str">
        <x:v>202</x:v>
      </x:c>
      <x:c r="L2955" s="22" t="str">
        <x:v>建制镇范围</x:v>
      </x:c>
      <x:c r="M2955" s="33" t="n">
        <x:v>21441706.09999999</x:v>
      </x:c>
      <x:c r="N2955" s="33" t="n">
        <x:v>2144.170609999999</x:v>
      </x:c>
      <x:c r="O2955" s="22" t="str">
        <x:v>公顷</x:v>
      </x:c>
      <x:c r="P2955" s="22" t="str">
        <x:v>未提供（单期横截面）</x:v>
      </x:c>
      <x:c r="Q2955" s="23" t="n">
        <x:v>5934</x:v>
      </x:c>
    </x:row>
    <x:row r="2956">
      <x:c r="A2956" s="30" t="n">
        <x:v>350600</x:v>
      </x:c>
      <x:c r="B2956" s="22" t="str">
        <x:v>漳州市</x:v>
      </x:c>
      <x:c r="C2956" s="31" t="n">
        <x:v>350681</x:v>
      </x:c>
      <x:c r="D2956" s="22" t="str">
        <x:v>龙海区</x:v>
      </x:c>
      <x:c r="E2956" s="22" t="str">
        <x:v>建设用地</x:v>
      </x:c>
      <x:c r="F2956" s="22" t="str">
        <x:v>工矿仓储用地</x:v>
      </x:c>
      <x:c r="G2956" s="32" t="str">
        <x:v>602</x:v>
      </x:c>
      <x:c r="H2956" s="32" t="str">
        <x:v>602</x:v>
      </x:c>
      <x:c r="I2956" s="22" t="str">
        <x:v>采矿用地</x:v>
      </x:c>
      <x:c r="J2956" s="22" t="str">
        <x:v>产业功能</x:v>
      </x:c>
      <x:c r="K2956" s="32" t="str">
        <x:v>202</x:v>
      </x:c>
      <x:c r="L2956" s="22" t="str">
        <x:v>建制镇范围</x:v>
      </x:c>
      <x:c r="M2956" s="33" t="n">
        <x:v>35266.74</x:v>
      </x:c>
      <x:c r="N2956" s="33" t="n">
        <x:v>3.526674</x:v>
      </x:c>
      <x:c r="O2956" s="22" t="str">
        <x:v>公顷</x:v>
      </x:c>
      <x:c r="P2956" s="22" t="str">
        <x:v>未提供（单期横截面）</x:v>
      </x:c>
      <x:c r="Q2956" s="23" t="n">
        <x:v>5935</x:v>
      </x:c>
    </x:row>
    <x:row r="2957">
      <x:c r="A2957" s="30" t="n">
        <x:v>350600</x:v>
      </x:c>
      <x:c r="B2957" s="22" t="str">
        <x:v>漳州市</x:v>
      </x:c>
      <x:c r="C2957" s="31" t="n">
        <x:v>350681</x:v>
      </x:c>
      <x:c r="D2957" s="22" t="str">
        <x:v>龙海区</x:v>
      </x:c>
      <x:c r="E2957" s="22" t="str">
        <x:v>建设用地</x:v>
      </x:c>
      <x:c r="F2957" s="22" t="str">
        <x:v>居住用地</x:v>
      </x:c>
      <x:c r="G2957" s="32" t="str">
        <x:v>701</x:v>
      </x:c>
      <x:c r="H2957" s="32" t="str">
        <x:v>701</x:v>
      </x:c>
      <x:c r="I2957" s="22" t="str">
        <x:v>城镇住宅用地</x:v>
      </x:c>
      <x:c r="J2957" s="22" t="str">
        <x:v>居住功能</x:v>
      </x:c>
      <x:c r="K2957" s="32" t="str">
        <x:v>202</x:v>
      </x:c>
      <x:c r="L2957" s="22" t="str">
        <x:v>建制镇范围</x:v>
      </x:c>
      <x:c r="M2957" s="33" t="n">
        <x:v>22073992.590000022</x:v>
      </x:c>
      <x:c r="N2957" s="33" t="n">
        <x:v>2207.399259000002</x:v>
      </x:c>
      <x:c r="O2957" s="22" t="str">
        <x:v>公顷</x:v>
      </x:c>
      <x:c r="P2957" s="22" t="str">
        <x:v>未提供（单期横截面）</x:v>
      </x:c>
      <x:c r="Q2957" s="23" t="n">
        <x:v>5936</x:v>
      </x:c>
    </x:row>
    <x:row r="2958">
      <x:c r="A2958" s="30" t="n">
        <x:v>350600</x:v>
      </x:c>
      <x:c r="B2958" s="22" t="str">
        <x:v>漳州市</x:v>
      </x:c>
      <x:c r="C2958" s="31" t="n">
        <x:v>350681</x:v>
      </x:c>
      <x:c r="D2958" s="22" t="str">
        <x:v>龙海区</x:v>
      </x:c>
      <x:c r="E2958" s="22" t="str">
        <x:v>建设用地</x:v>
      </x:c>
      <x:c r="F2958" s="22" t="str">
        <x:v>居住用地</x:v>
      </x:c>
      <x:c r="G2958" s="32" t="str">
        <x:v>702</x:v>
      </x:c>
      <x:c r="H2958" s="32" t="str">
        <x:v>702</x:v>
      </x:c>
      <x:c r="I2958" s="22" t="str">
        <x:v>农村宅基地</x:v>
      </x:c>
      <x:c r="J2958" s="22" t="str">
        <x:v>居住功能</x:v>
      </x:c>
      <x:c r="K2958" s="32" t="str">
        <x:v>202</x:v>
      </x:c>
      <x:c r="L2958" s="22" t="str">
        <x:v>建制镇范围</x:v>
      </x:c>
      <x:c r="M2958" s="33" t="n">
        <x:v>4048635.239999999</x:v>
      </x:c>
      <x:c r="N2958" s="33" t="n">
        <x:v>404.86352399999987</x:v>
      </x:c>
      <x:c r="O2958" s="22" t="str">
        <x:v>公顷</x:v>
      </x:c>
      <x:c r="P2958" s="22" t="str">
        <x:v>未提供（单期横截面）</x:v>
      </x:c>
      <x:c r="Q2958" s="23" t="n">
        <x:v>5937</x:v>
      </x:c>
    </x:row>
    <x:row r="2959">
      <x:c r="A2959" s="30" t="n">
        <x:v>350600</x:v>
      </x:c>
      <x:c r="B2959" s="22" t="str">
        <x:v>漳州市</x:v>
      </x:c>
      <x:c r="C2959" s="31" t="n">
        <x:v>350681</x:v>
      </x:c>
      <x:c r="D2959" s="22" t="str">
        <x:v>龙海区</x:v>
      </x:c>
      <x:c r="E2959" s="22" t="str">
        <x:v>建设用地</x:v>
      </x:c>
      <x:c r="F2959" s="22" t="str">
        <x:v>公用设施用地</x:v>
      </x:c>
      <x:c r="G2959" s="32" t="str">
        <x:v>809</x:v>
      </x:c>
      <x:c r="H2959" s="32" t="str">
        <x:v>809</x:v>
      </x:c>
      <x:c r="I2959" s="22" t="str">
        <x:v>公用设施用地</x:v>
      </x:c>
      <x:c r="J2959" s="22" t="str">
        <x:v>其他建设</x:v>
      </x:c>
      <x:c r="K2959" s="32" t="str">
        <x:v>202</x:v>
      </x:c>
      <x:c r="L2959" s="22" t="str">
        <x:v>建制镇范围</x:v>
      </x:c>
      <x:c r="M2959" s="33" t="n">
        <x:v>327719.20999999996</x:v>
      </x:c>
      <x:c r="N2959" s="33" t="n">
        <x:v>32.771921</x:v>
      </x:c>
      <x:c r="O2959" s="22" t="str">
        <x:v>公顷</x:v>
      </x:c>
      <x:c r="P2959" s="22" t="str">
        <x:v>未提供（单期横截面）</x:v>
      </x:c>
      <x:c r="Q2959" s="23" t="n">
        <x:v>5938</x:v>
      </x:c>
    </x:row>
    <x:row r="2960">
      <x:c r="A2960" s="30" t="n">
        <x:v>350600</x:v>
      </x:c>
      <x:c r="B2960" s="22" t="str">
        <x:v>漳州市</x:v>
      </x:c>
      <x:c r="C2960" s="31" t="n">
        <x:v>350681</x:v>
      </x:c>
      <x:c r="D2960" s="22" t="str">
        <x:v>龙海区</x:v>
      </x:c>
      <x:c r="E2960" s="22" t="str">
        <x:v>建设用地</x:v>
      </x:c>
      <x:c r="F2960" s="22" t="str">
        <x:v>绿地与广场用地</x:v>
      </x:c>
      <x:c r="G2960" s="32" t="str">
        <x:v>810</x:v>
      </x:c>
      <x:c r="H2960" s="32" t="str">
        <x:v>810</x:v>
      </x:c>
      <x:c r="I2960" s="22" t="str">
        <x:v>公园与绿地</x:v>
      </x:c>
      <x:c r="J2960" s="22" t="str">
        <x:v>公共空间</x:v>
      </x:c>
      <x:c r="K2960" s="32" t="str">
        <x:v>202</x:v>
      </x:c>
      <x:c r="L2960" s="22" t="str">
        <x:v>建制镇范围</x:v>
      </x:c>
      <x:c r="M2960" s="33" t="n">
        <x:v>1170420.0000000002</x:v>
      </x:c>
      <x:c r="N2960" s="33" t="n">
        <x:v>117.04200000000003</x:v>
      </x:c>
      <x:c r="O2960" s="22" t="str">
        <x:v>公顷</x:v>
      </x:c>
      <x:c r="P2960" s="22" t="str">
        <x:v>未提供（单期横截面）</x:v>
      </x:c>
      <x:c r="Q2960" s="23" t="n">
        <x:v>5939</x:v>
      </x:c>
    </x:row>
    <x:row r="2961">
      <x:c r="A2961" s="30" t="n">
        <x:v>350600</x:v>
      </x:c>
      <x:c r="B2961" s="22" t="str">
        <x:v>漳州市</x:v>
      </x:c>
      <x:c r="C2961" s="31" t="n">
        <x:v>350681</x:v>
      </x:c>
      <x:c r="D2961" s="22" t="str">
        <x:v>龙海区</x:v>
      </x:c>
      <x:c r="E2961" s="22" t="str">
        <x:v>建设用地</x:v>
      </x:c>
      <x:c r="F2961" s="22" t="str">
        <x:v>绿地与广场用地</x:v>
      </x:c>
      <x:c r="G2961" s="32" t="str">
        <x:v>0810A</x:v>
      </x:c>
      <x:c r="H2961" s="32" t="str">
        <x:v>0810</x:v>
      </x:c>
      <x:c r="I2961" s="22" t="str">
        <x:v>广场用地</x:v>
      </x:c>
      <x:c r="J2961" s="22" t="str">
        <x:v>公共空间</x:v>
      </x:c>
      <x:c r="K2961" s="32" t="str">
        <x:v>202</x:v>
      </x:c>
      <x:c r="L2961" s="22" t="str">
        <x:v>建制镇范围</x:v>
      </x:c>
      <x:c r="M2961" s="33" t="n">
        <x:v>37118.95999999999</x:v>
      </x:c>
      <x:c r="N2961" s="33" t="n">
        <x:v>3.711895999999999</x:v>
      </x:c>
      <x:c r="O2961" s="22" t="str">
        <x:v>公顷</x:v>
      </x:c>
      <x:c r="P2961" s="22" t="str">
        <x:v>未提供（单期横截面）</x:v>
      </x:c>
      <x:c r="Q2961" s="23" t="n">
        <x:v>5940</x:v>
      </x:c>
    </x:row>
    <x:row r="2962">
      <x:c r="A2962" s="30" t="n">
        <x:v>350600</x:v>
      </x:c>
      <x:c r="B2962" s="22" t="str">
        <x:v>漳州市</x:v>
      </x:c>
      <x:c r="C2962" s="31" t="n">
        <x:v>350681</x:v>
      </x:c>
      <x:c r="D2962" s="22" t="str">
        <x:v>龙海区</x:v>
      </x:c>
      <x:c r="E2962" s="22" t="str">
        <x:v>建设用地</x:v>
      </x:c>
      <x:c r="F2962" s="22" t="str">
        <x:v>公共管理与公共服务用地</x:v>
      </x:c>
      <x:c r="G2962" s="32" t="str">
        <x:v>08H1</x:v>
      </x:c>
      <x:c r="H2962" s="32" t="str">
        <x:v>08H1</x:v>
      </x:c>
      <x:c r="I2962" s="22" t="str">
        <x:v>机关团体新闻出版用地</x:v>
      </x:c>
      <x:c r="J2962" s="22" t="str">
        <x:v>公共服务</x:v>
      </x:c>
      <x:c r="K2962" s="32" t="str">
        <x:v>202</x:v>
      </x:c>
      <x:c r="L2962" s="22" t="str">
        <x:v>建制镇范围</x:v>
      </x:c>
      <x:c r="M2962" s="33" t="n">
        <x:v>762958.57</x:v>
      </x:c>
      <x:c r="N2962" s="33" t="n">
        <x:v>76.295857</x:v>
      </x:c>
      <x:c r="O2962" s="22" t="str">
        <x:v>公顷</x:v>
      </x:c>
      <x:c r="P2962" s="22" t="str">
        <x:v>未提供（单期横截面）</x:v>
      </x:c>
      <x:c r="Q2962" s="23" t="n">
        <x:v>5941</x:v>
      </x:c>
    </x:row>
    <x:row r="2963">
      <x:c r="A2963" s="30" t="n">
        <x:v>350600</x:v>
      </x:c>
      <x:c r="B2963" s="22" t="str">
        <x:v>漳州市</x:v>
      </x:c>
      <x:c r="C2963" s="31" t="n">
        <x:v>350681</x:v>
      </x:c>
      <x:c r="D2963" s="22" t="str">
        <x:v>龙海区</x:v>
      </x:c>
      <x:c r="E2963" s="22" t="str">
        <x:v>建设用地</x:v>
      </x:c>
      <x:c r="F2963" s="22" t="str">
        <x:v>公共管理与公共服务用地</x:v>
      </x:c>
      <x:c r="G2963" s="32" t="str">
        <x:v>08H2</x:v>
      </x:c>
      <x:c r="H2963" s="32" t="str">
        <x:v>08H2</x:v>
      </x:c>
      <x:c r="I2963" s="22" t="str">
        <x:v>科教文卫用地</x:v>
      </x:c>
      <x:c r="J2963" s="22" t="str">
        <x:v>公共服务</x:v>
      </x:c>
      <x:c r="K2963" s="32" t="str">
        <x:v>202</x:v>
      </x:c>
      <x:c r="L2963" s="22" t="str">
        <x:v>建制镇范围</x:v>
      </x:c>
      <x:c r="M2963" s="33" t="n">
        <x:v>1892860.239999999</x:v>
      </x:c>
      <x:c r="N2963" s="33" t="n">
        <x:v>189.2860239999999</x:v>
      </x:c>
      <x:c r="O2963" s="22" t="str">
        <x:v>公顷</x:v>
      </x:c>
      <x:c r="P2963" s="22" t="str">
        <x:v>未提供（单期横截面）</x:v>
      </x:c>
      <x:c r="Q2963" s="23" t="n">
        <x:v>5942</x:v>
      </x:c>
    </x:row>
    <x:row r="2964">
      <x:c r="A2964" s="30" t="n">
        <x:v>350600</x:v>
      </x:c>
      <x:c r="B2964" s="22" t="str">
        <x:v>漳州市</x:v>
      </x:c>
      <x:c r="C2964" s="31" t="n">
        <x:v>350681</x:v>
      </x:c>
      <x:c r="D2964" s="22" t="str">
        <x:v>龙海区</x:v>
      </x:c>
      <x:c r="E2964" s="22" t="str">
        <x:v>建设用地</x:v>
      </x:c>
      <x:c r="F2964" s="22" t="str">
        <x:v>公共管理与公共服务用地</x:v>
      </x:c>
      <x:c r="G2964" s="32" t="str">
        <x:v>08H2A</x:v>
      </x:c>
      <x:c r="H2964" s="32" t="str">
        <x:v>08H2</x:v>
      </x:c>
      <x:c r="I2964" s="22" t="str">
        <x:v>高教用地</x:v>
      </x:c>
      <x:c r="J2964" s="22" t="str">
        <x:v>公共服务</x:v>
      </x:c>
      <x:c r="K2964" s="32" t="str">
        <x:v>202</x:v>
      </x:c>
      <x:c r="L2964" s="22" t="str">
        <x:v>建制镇范围</x:v>
      </x:c>
      <x:c r="M2964" s="33" t="n">
        <x:v>1727196.45</x:v>
      </x:c>
      <x:c r="N2964" s="33" t="n">
        <x:v>172.71964499999999</x:v>
      </x:c>
      <x:c r="O2964" s="22" t="str">
        <x:v>公顷</x:v>
      </x:c>
      <x:c r="P2964" s="22" t="str">
        <x:v>未提供（单期横截面）</x:v>
      </x:c>
      <x:c r="Q2964" s="23" t="n">
        <x:v>5943</x:v>
      </x:c>
    </x:row>
    <x:row r="2965">
      <x:c r="A2965" s="30" t="n">
        <x:v>350600</x:v>
      </x:c>
      <x:c r="B2965" s="22" t="str">
        <x:v>漳州市</x:v>
      </x:c>
      <x:c r="C2965" s="31" t="n">
        <x:v>350681</x:v>
      </x:c>
      <x:c r="D2965" s="22" t="str">
        <x:v>龙海区</x:v>
      </x:c>
      <x:c r="E2965" s="22" t="str">
        <x:v>建设用地</x:v>
      </x:c>
      <x:c r="F2965" s="22" t="str">
        <x:v>特殊用地</x:v>
      </x:c>
      <x:c r="G2965" s="32" t="str">
        <x:v>9</x:v>
      </x:c>
      <x:c r="H2965" s="32" t="str">
        <x:v>9</x:v>
      </x:c>
      <x:c r="I2965" s="22" t="str">
        <x:v>特殊用地</x:v>
      </x:c>
      <x:c r="J2965" s="22" t="str">
        <x:v>其他建设</x:v>
      </x:c>
      <x:c r="K2965" s="32" t="str">
        <x:v>202</x:v>
      </x:c>
      <x:c r="L2965" s="22" t="str">
        <x:v>建制镇范围</x:v>
      </x:c>
      <x:c r="M2965" s="33" t="n">
        <x:v>341859.11</x:v>
      </x:c>
      <x:c r="N2965" s="33" t="n">
        <x:v>34.185911</x:v>
      </x:c>
      <x:c r="O2965" s="22" t="str">
        <x:v>公顷</x:v>
      </x:c>
      <x:c r="P2965" s="22" t="str">
        <x:v>未提供（单期横截面）</x:v>
      </x:c>
      <x:c r="Q2965" s="23" t="n">
        <x:v>5944</x:v>
      </x:c>
    </x:row>
    <x:row r="2966">
      <x:c r="A2966" s="30" t="n">
        <x:v>350600</x:v>
      </x:c>
      <x:c r="B2966" s="22" t="str">
        <x:v>漳州市</x:v>
      </x:c>
      <x:c r="C2966" s="31" t="n">
        <x:v>350681</x:v>
      </x:c>
      <x:c r="D2966" s="22" t="str">
        <x:v>龙海区</x:v>
      </x:c>
      <x:c r="E2966" s="22" t="str">
        <x:v>建设用地</x:v>
      </x:c>
      <x:c r="F2966" s="22" t="str">
        <x:v>交通运输用地</x:v>
      </x:c>
      <x:c r="G2966" s="32" t="str">
        <x:v>1001</x:v>
      </x:c>
      <x:c r="H2966" s="32" t="str">
        <x:v>1001</x:v>
      </x:c>
      <x:c r="I2966" s="22" t="str">
        <x:v>铁路用地</x:v>
      </x:c>
      <x:c r="J2966" s="22" t="str">
        <x:v>交通门户</x:v>
      </x:c>
      <x:c r="K2966" s="32" t="str">
        <x:v>202</x:v>
      </x:c>
      <x:c r="L2966" s="22" t="str">
        <x:v>建制镇范围</x:v>
      </x:c>
      <x:c r="M2966" s="33" t="n">
        <x:v>77003.12999999999</x:v>
      </x:c>
      <x:c r="N2966" s="33" t="n">
        <x:v>7.700312999999999</x:v>
      </x:c>
      <x:c r="O2966" s="22" t="str">
        <x:v>公顷</x:v>
      </x:c>
      <x:c r="P2966" s="22" t="str">
        <x:v>未提供（单期横截面）</x:v>
      </x:c>
      <x:c r="Q2966" s="23" t="n">
        <x:v>5945</x:v>
      </x:c>
    </x:row>
    <x:row r="2967">
      <x:c r="A2967" s="30" t="n">
        <x:v>350600</x:v>
      </x:c>
      <x:c r="B2967" s="22" t="str">
        <x:v>漳州市</x:v>
      </x:c>
      <x:c r="C2967" s="31" t="n">
        <x:v>350681</x:v>
      </x:c>
      <x:c r="D2967" s="22" t="str">
        <x:v>龙海区</x:v>
      </x:c>
      <x:c r="E2967" s="22" t="str">
        <x:v>建设用地</x:v>
      </x:c>
      <x:c r="F2967" s="22" t="str">
        <x:v>交通运输用地</x:v>
      </x:c>
      <x:c r="G2967" s="32" t="str">
        <x:v>1003</x:v>
      </x:c>
      <x:c r="H2967" s="32" t="str">
        <x:v>1003</x:v>
      </x:c>
      <x:c r="I2967" s="22" t="str">
        <x:v>公路用地</x:v>
      </x:c>
      <x:c r="J2967" s="22" t="str">
        <x:v>交通门户</x:v>
      </x:c>
      <x:c r="K2967" s="32" t="str">
        <x:v>202</x:v>
      </x:c>
      <x:c r="L2967" s="22" t="str">
        <x:v>建制镇范围</x:v>
      </x:c>
      <x:c r="M2967" s="33" t="n">
        <x:v>24624.8</x:v>
      </x:c>
      <x:c r="N2967" s="33" t="n">
        <x:v>2.46248</x:v>
      </x:c>
      <x:c r="O2967" s="22" t="str">
        <x:v>公顷</x:v>
      </x:c>
      <x:c r="P2967" s="22" t="str">
        <x:v>未提供（单期横截面）</x:v>
      </x:c>
      <x:c r="Q2967" s="23" t="n">
        <x:v>5946</x:v>
      </x:c>
    </x:row>
    <x:row r="2968">
      <x:c r="A2968" s="30" t="n">
        <x:v>350600</x:v>
      </x:c>
      <x:c r="B2968" s="22" t="str">
        <x:v>漳州市</x:v>
      </x:c>
      <x:c r="C2968" s="31" t="n">
        <x:v>350681</x:v>
      </x:c>
      <x:c r="D2968" s="22" t="str">
        <x:v>龙海区</x:v>
      </x:c>
      <x:c r="E2968" s="22" t="str">
        <x:v>建设用地</x:v>
      </x:c>
      <x:c r="F2968" s="22" t="str">
        <x:v>交通运输用地</x:v>
      </x:c>
      <x:c r="G2968" s="32" t="str">
        <x:v>1004</x:v>
      </x:c>
      <x:c r="H2968" s="32" t="str">
        <x:v>1004</x:v>
      </x:c>
      <x:c r="I2968" s="22" t="str">
        <x:v>城镇村道路用地</x:v>
      </x:c>
      <x:c r="J2968" s="22" t="str">
        <x:v>交通门户</x:v>
      </x:c>
      <x:c r="K2968" s="32" t="str">
        <x:v>202</x:v>
      </x:c>
      <x:c r="L2968" s="22" t="str">
        <x:v>建制镇范围</x:v>
      </x:c>
      <x:c r="M2968" s="33" t="n">
        <x:v>3702856.9700000063</x:v>
      </x:c>
      <x:c r="N2968" s="33" t="n">
        <x:v>370.28569700000065</x:v>
      </x:c>
      <x:c r="O2968" s="22" t="str">
        <x:v>公顷</x:v>
      </x:c>
      <x:c r="P2968" s="22" t="str">
        <x:v>未提供（单期横截面）</x:v>
      </x:c>
      <x:c r="Q2968" s="23" t="n">
        <x:v>5947</x:v>
      </x:c>
    </x:row>
    <x:row r="2969">
      <x:c r="A2969" s="30" t="n">
        <x:v>350600</x:v>
      </x:c>
      <x:c r="B2969" s="22" t="str">
        <x:v>漳州市</x:v>
      </x:c>
      <x:c r="C2969" s="31" t="n">
        <x:v>350681</x:v>
      </x:c>
      <x:c r="D2969" s="22" t="str">
        <x:v>龙海区</x:v>
      </x:c>
      <x:c r="E2969" s="22" t="str">
        <x:v>建设用地</x:v>
      </x:c>
      <x:c r="F2969" s="22" t="str">
        <x:v>交通运输用地</x:v>
      </x:c>
      <x:c r="G2969" s="32" t="str">
        <x:v>1005</x:v>
      </x:c>
      <x:c r="H2969" s="32" t="str">
        <x:v>1005</x:v>
      </x:c>
      <x:c r="I2969" s="22" t="str">
        <x:v>交通服务场站用地</x:v>
      </x:c>
      <x:c r="J2969" s="22" t="str">
        <x:v>交通门户</x:v>
      </x:c>
      <x:c r="K2969" s="32" t="str">
        <x:v>202</x:v>
      </x:c>
      <x:c r="L2969" s="22" t="str">
        <x:v>建制镇范围</x:v>
      </x:c>
      <x:c r="M2969" s="33" t="n">
        <x:v>506187.19000000006</x:v>
      </x:c>
      <x:c r="N2969" s="33" t="n">
        <x:v>50.618719000000006</x:v>
      </x:c>
      <x:c r="O2969" s="22" t="str">
        <x:v>公顷</x:v>
      </x:c>
      <x:c r="P2969" s="22" t="str">
        <x:v>未提供（单期横截面）</x:v>
      </x:c>
      <x:c r="Q2969" s="23" t="n">
        <x:v>5948</x:v>
      </x:c>
    </x:row>
    <x:row r="2970">
      <x:c r="A2970" s="30" t="n">
        <x:v>350600</x:v>
      </x:c>
      <x:c r="B2970" s="22" t="str">
        <x:v>漳州市</x:v>
      </x:c>
      <x:c r="C2970" s="31" t="n">
        <x:v>350681</x:v>
      </x:c>
      <x:c r="D2970" s="22" t="str">
        <x:v>龙海区</x:v>
      </x:c>
      <x:c r="E2970" s="22" t="str">
        <x:v>建设用地</x:v>
      </x:c>
      <x:c r="F2970" s="22" t="str">
        <x:v>交通运输用地</x:v>
      </x:c>
      <x:c r="G2970" s="32" t="str">
        <x:v>1008</x:v>
      </x:c>
      <x:c r="H2970" s="32" t="str">
        <x:v>1008</x:v>
      </x:c>
      <x:c r="I2970" s="22" t="str">
        <x:v>港口码头用地</x:v>
      </x:c>
      <x:c r="J2970" s="22" t="str">
        <x:v>交通门户</x:v>
      </x:c>
      <x:c r="K2970" s="32" t="str">
        <x:v>202</x:v>
      </x:c>
      <x:c r="L2970" s="22" t="str">
        <x:v>建制镇范围</x:v>
      </x:c>
      <x:c r="M2970" s="33" t="n">
        <x:v>1554809.37</x:v>
      </x:c>
      <x:c r="N2970" s="33" t="n">
        <x:v>155.480937</x:v>
      </x:c>
      <x:c r="O2970" s="22" t="str">
        <x:v>公顷</x:v>
      </x:c>
      <x:c r="P2970" s="22" t="str">
        <x:v>未提供（单期横截面）</x:v>
      </x:c>
      <x:c r="Q2970" s="23" t="n">
        <x:v>5949</x:v>
      </x:c>
    </x:row>
    <x:row r="2971">
      <x:c r="A2971" s="30" t="n">
        <x:v>350600</x:v>
      </x:c>
      <x:c r="B2971" s="22" t="str">
        <x:v>漳州市</x:v>
      </x:c>
      <x:c r="C2971" s="31" t="n">
        <x:v>350681</x:v>
      </x:c>
      <x:c r="D2971" s="22" t="str">
        <x:v>龙海区</x:v>
      </x:c>
      <x:c r="E2971" s="22" t="str">
        <x:v>建设用地</x:v>
      </x:c>
      <x:c r="F2971" s="22" t="str">
        <x:v>水域及水利设施</x:v>
      </x:c>
      <x:c r="G2971" s="32" t="str">
        <x:v>1109</x:v>
      </x:c>
      <x:c r="H2971" s="32" t="str">
        <x:v>1109</x:v>
      </x:c>
      <x:c r="I2971" s="22" t="str">
        <x:v>水工建筑用地</x:v>
      </x:c>
      <x:c r="J2971" s="22" t="str">
        <x:v>其他建设</x:v>
      </x:c>
      <x:c r="K2971" s="32" t="str">
        <x:v>202</x:v>
      </x:c>
      <x:c r="L2971" s="22" t="str">
        <x:v>建制镇范围</x:v>
      </x:c>
      <x:c r="M2971" s="33" t="n">
        <x:v>47579.01000000001</x:v>
      </x:c>
      <x:c r="N2971" s="33" t="n">
        <x:v>4.757901000000001</x:v>
      </x:c>
      <x:c r="O2971" s="22" t="str">
        <x:v>公顷</x:v>
      </x:c>
      <x:c r="P2971" s="22" t="str">
        <x:v>未提供（单期横截面）</x:v>
      </x:c>
      <x:c r="Q2971" s="23" t="n">
        <x:v>5950</x:v>
      </x:c>
    </x:row>
    <x:row r="2972">
      <x:c r="A2972" s="30" t="n">
        <x:v>350600</x:v>
      </x:c>
      <x:c r="B2972" s="22" t="str">
        <x:v>漳州市</x:v>
      </x:c>
      <x:c r="C2972" s="31" t="n">
        <x:v>350681</x:v>
      </x:c>
      <x:c r="D2972" s="22" t="str">
        <x:v>龙海区</x:v>
      </x:c>
      <x:c r="E2972" s="22" t="str">
        <x:v>建设用地</x:v>
      </x:c>
      <x:c r="F2972" s="22" t="str">
        <x:v>其他建设用地</x:v>
      </x:c>
      <x:c r="G2972" s="32" t="str">
        <x:v>1201</x:v>
      </x:c>
      <x:c r="H2972" s="32" t="str">
        <x:v>1201</x:v>
      </x:c>
      <x:c r="I2972" s="22" t="str">
        <x:v>空闲地</x:v>
      </x:c>
      <x:c r="J2972" s="22" t="str">
        <x:v>其他建设</x:v>
      </x:c>
      <x:c r="K2972" s="32" t="str">
        <x:v>202</x:v>
      </x:c>
      <x:c r="L2972" s="22" t="str">
        <x:v>建制镇范围</x:v>
      </x:c>
      <x:c r="M2972" s="33" t="n">
        <x:v>128190.45</x:v>
      </x:c>
      <x:c r="N2972" s="33" t="n">
        <x:v>12.819045</x:v>
      </x:c>
      <x:c r="O2972" s="22" t="str">
        <x:v>公顷</x:v>
      </x:c>
      <x:c r="P2972" s="22" t="str">
        <x:v>未提供（单期横截面）</x:v>
      </x:c>
      <x:c r="Q2972" s="23" t="n">
        <x:v>5951</x:v>
      </x:c>
    </x:row>
    <x:row r="2973">
      <x:c r="A2973" s="30" t="n">
        <x:v>350600</x:v>
      </x:c>
      <x:c r="B2973" s="22" t="str">
        <x:v>漳州市</x:v>
      </x:c>
      <x:c r="C2973" s="31" t="n">
        <x:v>350681</x:v>
      </x:c>
      <x:c r="D2973" s="22" t="str">
        <x:v>龙海区</x:v>
      </x:c>
      <x:c r="E2973" s="22" t="str">
        <x:v>建设用地</x:v>
      </x:c>
      <x:c r="F2973" s="22" t="str">
        <x:v>工矿仓储用地</x:v>
      </x:c>
      <x:c r="G2973" s="32" t="str">
        <x:v>601</x:v>
      </x:c>
      <x:c r="H2973" s="32" t="str">
        <x:v>601</x:v>
      </x:c>
      <x:c r="I2973" s="22" t="str">
        <x:v>工业用地</x:v>
      </x:c>
      <x:c r="J2973" s="22" t="str">
        <x:v>产业功能</x:v>
      </x:c>
      <x:c r="K2973" s="32" t="str">
        <x:v>202A</x:v>
      </x:c>
      <x:c r="L2973" s="22" t="str">
        <x:v>建制镇独立工业用地</x:v>
      </x:c>
      <x:c r="M2973" s="33" t="n">
        <x:v>180965.97000000003</x:v>
      </x:c>
      <x:c r="N2973" s="33" t="n">
        <x:v>18.096597000000003</x:v>
      </x:c>
      <x:c r="O2973" s="22" t="str">
        <x:v>公顷</x:v>
      </x:c>
      <x:c r="P2973" s="22" t="str">
        <x:v>未提供（单期横截面）</x:v>
      </x:c>
      <x:c r="Q2973" s="23" t="n">
        <x:v>5952</x:v>
      </x:c>
    </x:row>
    <x:row r="2974">
      <x:c r="A2974" s="30" t="n">
        <x:v>350600</x:v>
      </x:c>
      <x:c r="B2974" s="22" t="str">
        <x:v>漳州市</x:v>
      </x:c>
      <x:c r="C2974" s="31" t="n">
        <x:v>350681</x:v>
      </x:c>
      <x:c r="D2974" s="22" t="str">
        <x:v>龙海区</x:v>
      </x:c>
      <x:c r="E2974" s="22" t="str">
        <x:v>建设用地</x:v>
      </x:c>
      <x:c r="F2974" s="22" t="str">
        <x:v>工矿仓储用地</x:v>
      </x:c>
      <x:c r="G2974" s="32" t="str">
        <x:v>508</x:v>
      </x:c>
      <x:c r="H2974" s="32" t="str">
        <x:v>508</x:v>
      </x:c>
      <x:c r="I2974" s="22" t="str">
        <x:v>物流仓储用地</x:v>
      </x:c>
      <x:c r="J2974" s="22" t="str">
        <x:v>产业功能</x:v>
      </x:c>
      <x:c r="K2974" s="32" t="str">
        <x:v>203</x:v>
      </x:c>
      <x:c r="L2974" s="22" t="str">
        <x:v>村庄范围</x:v>
      </x:c>
      <x:c r="M2974" s="33" t="n">
        <x:v>1703175.1300000004</x:v>
      </x:c>
      <x:c r="N2974" s="33" t="n">
        <x:v>170.31751300000005</x:v>
      </x:c>
      <x:c r="O2974" s="22" t="str">
        <x:v>公顷</x:v>
      </x:c>
      <x:c r="P2974" s="22" t="str">
        <x:v>未提供（单期横截面）</x:v>
      </x:c>
      <x:c r="Q2974" s="23" t="n">
        <x:v>5953</x:v>
      </x:c>
    </x:row>
    <x:row r="2975">
      <x:c r="A2975" s="30" t="n">
        <x:v>350600</x:v>
      </x:c>
      <x:c r="B2975" s="22" t="str">
        <x:v>漳州市</x:v>
      </x:c>
      <x:c r="C2975" s="31" t="n">
        <x:v>350681</x:v>
      </x:c>
      <x:c r="D2975" s="22" t="str">
        <x:v>龙海区</x:v>
      </x:c>
      <x:c r="E2975" s="22" t="str">
        <x:v>建设用地</x:v>
      </x:c>
      <x:c r="F2975" s="22" t="str">
        <x:v>商业服务业用地</x:v>
      </x:c>
      <x:c r="G2975" s="32" t="str">
        <x:v>05H1</x:v>
      </x:c>
      <x:c r="H2975" s="32" t="str">
        <x:v>05H1</x:v>
      </x:c>
      <x:c r="I2975" s="22" t="str">
        <x:v>商业服务业设施用地</x:v>
      </x:c>
      <x:c r="J2975" s="22" t="str">
        <x:v>商业服务</x:v>
      </x:c>
      <x:c r="K2975" s="32" t="str">
        <x:v>203</x:v>
      </x:c>
      <x:c r="L2975" s="22" t="str">
        <x:v>村庄范围</x:v>
      </x:c>
      <x:c r="M2975" s="33" t="n">
        <x:v>2186042.3500000015</x:v>
      </x:c>
      <x:c r="N2975" s="33" t="n">
        <x:v>218.60423500000016</x:v>
      </x:c>
      <x:c r="O2975" s="22" t="str">
        <x:v>公顷</x:v>
      </x:c>
      <x:c r="P2975" s="22" t="str">
        <x:v>未提供（单期横截面）</x:v>
      </x:c>
      <x:c r="Q2975" s="23" t="n">
        <x:v>5954</x:v>
      </x:c>
    </x:row>
    <x:row r="2976">
      <x:c r="A2976" s="30" t="n">
        <x:v>350600</x:v>
      </x:c>
      <x:c r="B2976" s="22" t="str">
        <x:v>漳州市</x:v>
      </x:c>
      <x:c r="C2976" s="31" t="n">
        <x:v>350681</x:v>
      </x:c>
      <x:c r="D2976" s="22" t="str">
        <x:v>龙海区</x:v>
      </x:c>
      <x:c r="E2976" s="22" t="str">
        <x:v>建设用地</x:v>
      </x:c>
      <x:c r="F2976" s="22" t="str">
        <x:v>工矿仓储用地</x:v>
      </x:c>
      <x:c r="G2976" s="32" t="str">
        <x:v>601</x:v>
      </x:c>
      <x:c r="H2976" s="32" t="str">
        <x:v>601</x:v>
      </x:c>
      <x:c r="I2976" s="22" t="str">
        <x:v>工业用地</x:v>
      </x:c>
      <x:c r="J2976" s="22" t="str">
        <x:v>产业功能</x:v>
      </x:c>
      <x:c r="K2976" s="32" t="str">
        <x:v>203</x:v>
      </x:c>
      <x:c r="L2976" s="22" t="str">
        <x:v>村庄范围</x:v>
      </x:c>
      <x:c r="M2976" s="33" t="n">
        <x:v>22216368.030000027</x:v>
      </x:c>
      <x:c r="N2976" s="33" t="n">
        <x:v>2221.6368030000026</x:v>
      </x:c>
      <x:c r="O2976" s="22" t="str">
        <x:v>公顷</x:v>
      </x:c>
      <x:c r="P2976" s="22" t="str">
        <x:v>未提供（单期横截面）</x:v>
      </x:c>
      <x:c r="Q2976" s="23" t="n">
        <x:v>5955</x:v>
      </x:c>
    </x:row>
    <x:row r="2977">
      <x:c r="A2977" s="30" t="n">
        <x:v>350600</x:v>
      </x:c>
      <x:c r="B2977" s="22" t="str">
        <x:v>漳州市</x:v>
      </x:c>
      <x:c r="C2977" s="31" t="n">
        <x:v>350681</x:v>
      </x:c>
      <x:c r="D2977" s="22" t="str">
        <x:v>龙海区</x:v>
      </x:c>
      <x:c r="E2977" s="22" t="str">
        <x:v>建设用地</x:v>
      </x:c>
      <x:c r="F2977" s="22" t="str">
        <x:v>居住用地</x:v>
      </x:c>
      <x:c r="G2977" s="32" t="str">
        <x:v>701</x:v>
      </x:c>
      <x:c r="H2977" s="32" t="str">
        <x:v>701</x:v>
      </x:c>
      <x:c r="I2977" s="22" t="str">
        <x:v>城镇住宅用地</x:v>
      </x:c>
      <x:c r="J2977" s="22" t="str">
        <x:v>居住功能</x:v>
      </x:c>
      <x:c r="K2977" s="32" t="str">
        <x:v>203</x:v>
      </x:c>
      <x:c r="L2977" s="22" t="str">
        <x:v>村庄范围</x:v>
      </x:c>
      <x:c r="M2977" s="33" t="n">
        <x:v>1162956.5399999996</x:v>
      </x:c>
      <x:c r="N2977" s="33" t="n">
        <x:v>116.29565399999996</x:v>
      </x:c>
      <x:c r="O2977" s="22" t="str">
        <x:v>公顷</x:v>
      </x:c>
      <x:c r="P2977" s="22" t="str">
        <x:v>未提供（单期横截面）</x:v>
      </x:c>
      <x:c r="Q2977" s="23" t="n">
        <x:v>5956</x:v>
      </x:c>
    </x:row>
    <x:row r="2978">
      <x:c r="A2978" s="30" t="n">
        <x:v>350600</x:v>
      </x:c>
      <x:c r="B2978" s="22" t="str">
        <x:v>漳州市</x:v>
      </x:c>
      <x:c r="C2978" s="31" t="n">
        <x:v>350681</x:v>
      </x:c>
      <x:c r="D2978" s="22" t="str">
        <x:v>龙海区</x:v>
      </x:c>
      <x:c r="E2978" s="22" t="str">
        <x:v>建设用地</x:v>
      </x:c>
      <x:c r="F2978" s="22" t="str">
        <x:v>居住用地</x:v>
      </x:c>
      <x:c r="G2978" s="32" t="str">
        <x:v>702</x:v>
      </x:c>
      <x:c r="H2978" s="32" t="str">
        <x:v>702</x:v>
      </x:c>
      <x:c r="I2978" s="22" t="str">
        <x:v>农村宅基地</x:v>
      </x:c>
      <x:c r="J2978" s="22" t="str">
        <x:v>居住功能</x:v>
      </x:c>
      <x:c r="K2978" s="32" t="str">
        <x:v>203</x:v>
      </x:c>
      <x:c r="L2978" s="22" t="str">
        <x:v>村庄范围</x:v>
      </x:c>
      <x:c r="M2978" s="33" t="n">
        <x:v>76760975.09000023</x:v>
      </x:c>
      <x:c r="N2978" s="33" t="n">
        <x:v>7676.097509000023</x:v>
      </x:c>
      <x:c r="O2978" s="22" t="str">
        <x:v>公顷</x:v>
      </x:c>
      <x:c r="P2978" s="22" t="str">
        <x:v>未提供（单期横截面）</x:v>
      </x:c>
      <x:c r="Q2978" s="23" t="n">
        <x:v>5957</x:v>
      </x:c>
    </x:row>
    <x:row r="2979">
      <x:c r="A2979" s="30" t="n">
        <x:v>350600</x:v>
      </x:c>
      <x:c r="B2979" s="22" t="str">
        <x:v>漳州市</x:v>
      </x:c>
      <x:c r="C2979" s="31" t="n">
        <x:v>350681</x:v>
      </x:c>
      <x:c r="D2979" s="22" t="str">
        <x:v>龙海区</x:v>
      </x:c>
      <x:c r="E2979" s="22" t="str">
        <x:v>建设用地</x:v>
      </x:c>
      <x:c r="F2979" s="22" t="str">
        <x:v>公用设施用地</x:v>
      </x:c>
      <x:c r="G2979" s="32" t="str">
        <x:v>809</x:v>
      </x:c>
      <x:c r="H2979" s="32" t="str">
        <x:v>809</x:v>
      </x:c>
      <x:c r="I2979" s="22" t="str">
        <x:v>公用设施用地</x:v>
      </x:c>
      <x:c r="J2979" s="22" t="str">
        <x:v>其他建设</x:v>
      </x:c>
      <x:c r="K2979" s="32" t="str">
        <x:v>203</x:v>
      </x:c>
      <x:c r="L2979" s="22" t="str">
        <x:v>村庄范围</x:v>
      </x:c>
      <x:c r="M2979" s="33" t="n">
        <x:v>938149.8900000004</x:v>
      </x:c>
      <x:c r="N2979" s="33" t="n">
        <x:v>93.81498900000004</x:v>
      </x:c>
      <x:c r="O2979" s="22" t="str">
        <x:v>公顷</x:v>
      </x:c>
      <x:c r="P2979" s="22" t="str">
        <x:v>未提供（单期横截面）</x:v>
      </x:c>
      <x:c r="Q2979" s="23" t="n">
        <x:v>5958</x:v>
      </x:c>
    </x:row>
    <x:row r="2980">
      <x:c r="A2980" s="30" t="n">
        <x:v>350600</x:v>
      </x:c>
      <x:c r="B2980" s="22" t="str">
        <x:v>漳州市</x:v>
      </x:c>
      <x:c r="C2980" s="31" t="n">
        <x:v>350681</x:v>
      </x:c>
      <x:c r="D2980" s="22" t="str">
        <x:v>龙海区</x:v>
      </x:c>
      <x:c r="E2980" s="22" t="str">
        <x:v>建设用地</x:v>
      </x:c>
      <x:c r="F2980" s="22" t="str">
        <x:v>绿地与广场用地</x:v>
      </x:c>
      <x:c r="G2980" s="32" t="str">
        <x:v>810</x:v>
      </x:c>
      <x:c r="H2980" s="32" t="str">
        <x:v>810</x:v>
      </x:c>
      <x:c r="I2980" s="22" t="str">
        <x:v>公园与绿地</x:v>
      </x:c>
      <x:c r="J2980" s="22" t="str">
        <x:v>公共空间</x:v>
      </x:c>
      <x:c r="K2980" s="32" t="str">
        <x:v>203</x:v>
      </x:c>
      <x:c r="L2980" s="22" t="str">
        <x:v>村庄范围</x:v>
      </x:c>
      <x:c r="M2980" s="33" t="n">
        <x:v>868472.59</x:v>
      </x:c>
      <x:c r="N2980" s="33" t="n">
        <x:v>86.847259</x:v>
      </x:c>
      <x:c r="O2980" s="22" t="str">
        <x:v>公顷</x:v>
      </x:c>
      <x:c r="P2980" s="22" t="str">
        <x:v>未提供（单期横截面）</x:v>
      </x:c>
      <x:c r="Q2980" s="23" t="n">
        <x:v>5959</x:v>
      </x:c>
    </x:row>
    <x:row r="2981">
      <x:c r="A2981" s="30" t="n">
        <x:v>350600</x:v>
      </x:c>
      <x:c r="B2981" s="22" t="str">
        <x:v>漳州市</x:v>
      </x:c>
      <x:c r="C2981" s="31" t="n">
        <x:v>350681</x:v>
      </x:c>
      <x:c r="D2981" s="22" t="str">
        <x:v>龙海区</x:v>
      </x:c>
      <x:c r="E2981" s="22" t="str">
        <x:v>建设用地</x:v>
      </x:c>
      <x:c r="F2981" s="22" t="str">
        <x:v>绿地与广场用地</x:v>
      </x:c>
      <x:c r="G2981" s="32" t="str">
        <x:v>0810A</x:v>
      </x:c>
      <x:c r="H2981" s="32" t="str">
        <x:v>0810</x:v>
      </x:c>
      <x:c r="I2981" s="22" t="str">
        <x:v>广场用地</x:v>
      </x:c>
      <x:c r="J2981" s="22" t="str">
        <x:v>公共空间</x:v>
      </x:c>
      <x:c r="K2981" s="32" t="str">
        <x:v>203</x:v>
      </x:c>
      <x:c r="L2981" s="22" t="str">
        <x:v>村庄范围</x:v>
      </x:c>
      <x:c r="M2981" s="33" t="n">
        <x:v>27306.329999999994</x:v>
      </x:c>
      <x:c r="N2981" s="33" t="n">
        <x:v>2.7306329999999996</x:v>
      </x:c>
      <x:c r="O2981" s="22" t="str">
        <x:v>公顷</x:v>
      </x:c>
      <x:c r="P2981" s="22" t="str">
        <x:v>未提供（单期横截面）</x:v>
      </x:c>
      <x:c r="Q2981" s="23" t="n">
        <x:v>5960</x:v>
      </x:c>
    </x:row>
    <x:row r="2982">
      <x:c r="A2982" s="30" t="n">
        <x:v>350600</x:v>
      </x:c>
      <x:c r="B2982" s="22" t="str">
        <x:v>漳州市</x:v>
      </x:c>
      <x:c r="C2982" s="31" t="n">
        <x:v>350681</x:v>
      </x:c>
      <x:c r="D2982" s="22" t="str">
        <x:v>龙海区</x:v>
      </x:c>
      <x:c r="E2982" s="22" t="str">
        <x:v>建设用地</x:v>
      </x:c>
      <x:c r="F2982" s="22" t="str">
        <x:v>公共管理与公共服务用地</x:v>
      </x:c>
      <x:c r="G2982" s="32" t="str">
        <x:v>08H1</x:v>
      </x:c>
      <x:c r="H2982" s="32" t="str">
        <x:v>08H1</x:v>
      </x:c>
      <x:c r="I2982" s="22" t="str">
        <x:v>机关团体新闻出版用地</x:v>
      </x:c>
      <x:c r="J2982" s="22" t="str">
        <x:v>公共服务</x:v>
      </x:c>
      <x:c r="K2982" s="32" t="str">
        <x:v>203</x:v>
      </x:c>
      <x:c r="L2982" s="22" t="str">
        <x:v>村庄范围</x:v>
      </x:c>
      <x:c r="M2982" s="33" t="n">
        <x:v>553362.0299999999</x:v>
      </x:c>
      <x:c r="N2982" s="33" t="n">
        <x:v>55.33620299999999</x:v>
      </x:c>
      <x:c r="O2982" s="22" t="str">
        <x:v>公顷</x:v>
      </x:c>
      <x:c r="P2982" s="22" t="str">
        <x:v>未提供（单期横截面）</x:v>
      </x:c>
      <x:c r="Q2982" s="23" t="n">
        <x:v>5961</x:v>
      </x:c>
    </x:row>
    <x:row r="2983">
      <x:c r="A2983" s="30" t="n">
        <x:v>350600</x:v>
      </x:c>
      <x:c r="B2983" s="22" t="str">
        <x:v>漳州市</x:v>
      </x:c>
      <x:c r="C2983" s="31" t="n">
        <x:v>350681</x:v>
      </x:c>
      <x:c r="D2983" s="22" t="str">
        <x:v>龙海区</x:v>
      </x:c>
      <x:c r="E2983" s="22" t="str">
        <x:v>建设用地</x:v>
      </x:c>
      <x:c r="F2983" s="22" t="str">
        <x:v>公共管理与公共服务用地</x:v>
      </x:c>
      <x:c r="G2983" s="32" t="str">
        <x:v>08H2</x:v>
      </x:c>
      <x:c r="H2983" s="32" t="str">
        <x:v>08H2</x:v>
      </x:c>
      <x:c r="I2983" s="22" t="str">
        <x:v>科教文卫用地</x:v>
      </x:c>
      <x:c r="J2983" s="22" t="str">
        <x:v>公共服务</x:v>
      </x:c>
      <x:c r="K2983" s="32" t="str">
        <x:v>203</x:v>
      </x:c>
      <x:c r="L2983" s="22" t="str">
        <x:v>村庄范围</x:v>
      </x:c>
      <x:c r="M2983" s="33" t="n">
        <x:v>2583847.7299999967</x:v>
      </x:c>
      <x:c r="N2983" s="33" t="n">
        <x:v>258.38477299999965</x:v>
      </x:c>
      <x:c r="O2983" s="22" t="str">
        <x:v>公顷</x:v>
      </x:c>
      <x:c r="P2983" s="22" t="str">
        <x:v>未提供（单期横截面）</x:v>
      </x:c>
      <x:c r="Q2983" s="23" t="n">
        <x:v>5962</x:v>
      </x:c>
    </x:row>
    <x:row r="2984">
      <x:c r="A2984" s="30" t="n">
        <x:v>350600</x:v>
      </x:c>
      <x:c r="B2984" s="22" t="str">
        <x:v>漳州市</x:v>
      </x:c>
      <x:c r="C2984" s="31" t="n">
        <x:v>350681</x:v>
      </x:c>
      <x:c r="D2984" s="22" t="str">
        <x:v>龙海区</x:v>
      </x:c>
      <x:c r="E2984" s="22" t="str">
        <x:v>建设用地</x:v>
      </x:c>
      <x:c r="F2984" s="22" t="str">
        <x:v>公共管理与公共服务用地</x:v>
      </x:c>
      <x:c r="G2984" s="32" t="str">
        <x:v>08H2A</x:v>
      </x:c>
      <x:c r="H2984" s="32" t="str">
        <x:v>08H2</x:v>
      </x:c>
      <x:c r="I2984" s="22" t="str">
        <x:v>高教用地</x:v>
      </x:c>
      <x:c r="J2984" s="22" t="str">
        <x:v>公共服务</x:v>
      </x:c>
      <x:c r="K2984" s="32" t="str">
        <x:v>203</x:v>
      </x:c>
      <x:c r="L2984" s="22" t="str">
        <x:v>村庄范围</x:v>
      </x:c>
      <x:c r="M2984" s="33" t="n">
        <x:v>18803.22</x:v>
      </x:c>
      <x:c r="N2984" s="33" t="n">
        <x:v>1.880322</x:v>
      </x:c>
      <x:c r="O2984" s="22" t="str">
        <x:v>公顷</x:v>
      </x:c>
      <x:c r="P2984" s="22" t="str">
        <x:v>未提供（单期横截面）</x:v>
      </x:c>
      <x:c r="Q2984" s="23" t="n">
        <x:v>5963</x:v>
      </x:c>
    </x:row>
    <x:row r="2985">
      <x:c r="A2985" s="30" t="n">
        <x:v>350600</x:v>
      </x:c>
      <x:c r="B2985" s="22" t="str">
        <x:v>漳州市</x:v>
      </x:c>
      <x:c r="C2985" s="31" t="n">
        <x:v>350681</x:v>
      </x:c>
      <x:c r="D2985" s="22" t="str">
        <x:v>龙海区</x:v>
      </x:c>
      <x:c r="E2985" s="22" t="str">
        <x:v>建设用地</x:v>
      </x:c>
      <x:c r="F2985" s="22" t="str">
        <x:v>特殊用地</x:v>
      </x:c>
      <x:c r="G2985" s="32" t="str">
        <x:v>9</x:v>
      </x:c>
      <x:c r="H2985" s="32" t="str">
        <x:v>9</x:v>
      </x:c>
      <x:c r="I2985" s="22" t="str">
        <x:v>特殊用地</x:v>
      </x:c>
      <x:c r="J2985" s="22" t="str">
        <x:v>其他建设</x:v>
      </x:c>
      <x:c r="K2985" s="32" t="str">
        <x:v>203</x:v>
      </x:c>
      <x:c r="L2985" s="22" t="str">
        <x:v>村庄范围</x:v>
      </x:c>
      <x:c r="M2985" s="33" t="n">
        <x:v>815419.77</x:v>
      </x:c>
      <x:c r="N2985" s="33" t="n">
        <x:v>81.541977</x:v>
      </x:c>
      <x:c r="O2985" s="22" t="str">
        <x:v>公顷</x:v>
      </x:c>
      <x:c r="P2985" s="22" t="str">
        <x:v>未提供（单期横截面）</x:v>
      </x:c>
      <x:c r="Q2985" s="23" t="n">
        <x:v>5964</x:v>
      </x:c>
    </x:row>
    <x:row r="2986">
      <x:c r="A2986" s="30" t="n">
        <x:v>350600</x:v>
      </x:c>
      <x:c r="B2986" s="22" t="str">
        <x:v>漳州市</x:v>
      </x:c>
      <x:c r="C2986" s="31" t="n">
        <x:v>350681</x:v>
      </x:c>
      <x:c r="D2986" s="22" t="str">
        <x:v>龙海区</x:v>
      </x:c>
      <x:c r="E2986" s="22" t="str">
        <x:v>建设用地</x:v>
      </x:c>
      <x:c r="F2986" s="22" t="str">
        <x:v>交通运输用地</x:v>
      </x:c>
      <x:c r="G2986" s="32" t="str">
        <x:v>1003</x:v>
      </x:c>
      <x:c r="H2986" s="32" t="str">
        <x:v>1003</x:v>
      </x:c>
      <x:c r="I2986" s="22" t="str">
        <x:v>公路用地</x:v>
      </x:c>
      <x:c r="J2986" s="22" t="str">
        <x:v>交通门户</x:v>
      </x:c>
      <x:c r="K2986" s="32" t="str">
        <x:v>203</x:v>
      </x:c>
      <x:c r="L2986" s="22" t="str">
        <x:v>村庄范围</x:v>
      </x:c>
      <x:c r="M2986" s="33" t="n">
        <x:v>13764.550000000001</x:v>
      </x:c>
      <x:c r="N2986" s="33" t="n">
        <x:v>1.3764550000000002</x:v>
      </x:c>
      <x:c r="O2986" s="22" t="str">
        <x:v>公顷</x:v>
      </x:c>
      <x:c r="P2986" s="22" t="str">
        <x:v>未提供（单期横截面）</x:v>
      </x:c>
      <x:c r="Q2986" s="23" t="n">
        <x:v>5965</x:v>
      </x:c>
    </x:row>
    <x:row r="2987">
      <x:c r="A2987" s="30" t="n">
        <x:v>350600</x:v>
      </x:c>
      <x:c r="B2987" s="22" t="str">
        <x:v>漳州市</x:v>
      </x:c>
      <x:c r="C2987" s="31" t="n">
        <x:v>350681</x:v>
      </x:c>
      <x:c r="D2987" s="22" t="str">
        <x:v>龙海区</x:v>
      </x:c>
      <x:c r="E2987" s="22" t="str">
        <x:v>建设用地</x:v>
      </x:c>
      <x:c r="F2987" s="22" t="str">
        <x:v>交通运输用地</x:v>
      </x:c>
      <x:c r="G2987" s="32" t="str">
        <x:v>1004</x:v>
      </x:c>
      <x:c r="H2987" s="32" t="str">
        <x:v>1004</x:v>
      </x:c>
      <x:c r="I2987" s="22" t="str">
        <x:v>城镇村道路用地</x:v>
      </x:c>
      <x:c r="J2987" s="22" t="str">
        <x:v>交通门户</x:v>
      </x:c>
      <x:c r="K2987" s="32" t="str">
        <x:v>203</x:v>
      </x:c>
      <x:c r="L2987" s="22" t="str">
        <x:v>村庄范围</x:v>
      </x:c>
      <x:c r="M2987" s="33" t="n">
        <x:v>3266961.220000001</x:v>
      </x:c>
      <x:c r="N2987" s="33" t="n">
        <x:v>326.6961220000001</x:v>
      </x:c>
      <x:c r="O2987" s="22" t="str">
        <x:v>公顷</x:v>
      </x:c>
      <x:c r="P2987" s="22" t="str">
        <x:v>未提供（单期横截面）</x:v>
      </x:c>
      <x:c r="Q2987" s="23" t="n">
        <x:v>5966</x:v>
      </x:c>
    </x:row>
    <x:row r="2988">
      <x:c r="A2988" s="30" t="n">
        <x:v>350600</x:v>
      </x:c>
      <x:c r="B2988" s="22" t="str">
        <x:v>漳州市</x:v>
      </x:c>
      <x:c r="C2988" s="31" t="n">
        <x:v>350681</x:v>
      </x:c>
      <x:c r="D2988" s="22" t="str">
        <x:v>龙海区</x:v>
      </x:c>
      <x:c r="E2988" s="22" t="str">
        <x:v>建设用地</x:v>
      </x:c>
      <x:c r="F2988" s="22" t="str">
        <x:v>交通运输用地</x:v>
      </x:c>
      <x:c r="G2988" s="32" t="str">
        <x:v>1005</x:v>
      </x:c>
      <x:c r="H2988" s="32" t="str">
        <x:v>1005</x:v>
      </x:c>
      <x:c r="I2988" s="22" t="str">
        <x:v>交通服务场站用地</x:v>
      </x:c>
      <x:c r="J2988" s="22" t="str">
        <x:v>交通门户</x:v>
      </x:c>
      <x:c r="K2988" s="32" t="str">
        <x:v>203</x:v>
      </x:c>
      <x:c r="L2988" s="22" t="str">
        <x:v>村庄范围</x:v>
      </x:c>
      <x:c r="M2988" s="33" t="n">
        <x:v>809802.0199999998</x:v>
      </x:c>
      <x:c r="N2988" s="33" t="n">
        <x:v>80.98020199999998</x:v>
      </x:c>
      <x:c r="O2988" s="22" t="str">
        <x:v>公顷</x:v>
      </x:c>
      <x:c r="P2988" s="22" t="str">
        <x:v>未提供（单期横截面）</x:v>
      </x:c>
      <x:c r="Q2988" s="23" t="n">
        <x:v>5967</x:v>
      </x:c>
    </x:row>
    <x:row r="2989">
      <x:c r="A2989" s="30" t="n">
        <x:v>350600</x:v>
      </x:c>
      <x:c r="B2989" s="22" t="str">
        <x:v>漳州市</x:v>
      </x:c>
      <x:c r="C2989" s="31" t="n">
        <x:v>350681</x:v>
      </x:c>
      <x:c r="D2989" s="22" t="str">
        <x:v>龙海区</x:v>
      </x:c>
      <x:c r="E2989" s="22" t="str">
        <x:v>建设用地</x:v>
      </x:c>
      <x:c r="F2989" s="22" t="str">
        <x:v>交通运输用地</x:v>
      </x:c>
      <x:c r="G2989" s="32" t="str">
        <x:v>1008</x:v>
      </x:c>
      <x:c r="H2989" s="32" t="str">
        <x:v>1008</x:v>
      </x:c>
      <x:c r="I2989" s="22" t="str">
        <x:v>港口码头用地</x:v>
      </x:c>
      <x:c r="J2989" s="22" t="str">
        <x:v>交通门户</x:v>
      </x:c>
      <x:c r="K2989" s="32" t="str">
        <x:v>203</x:v>
      </x:c>
      <x:c r="L2989" s="22" t="str">
        <x:v>村庄范围</x:v>
      </x:c>
      <x:c r="M2989" s="33" t="n">
        <x:v>24327.54</x:v>
      </x:c>
      <x:c r="N2989" s="33" t="n">
        <x:v>2.432754</x:v>
      </x:c>
      <x:c r="O2989" s="22" t="str">
        <x:v>公顷</x:v>
      </x:c>
      <x:c r="P2989" s="22" t="str">
        <x:v>未提供（单期横截面）</x:v>
      </x:c>
      <x:c r="Q2989" s="23" t="n">
        <x:v>5968</x:v>
      </x:c>
    </x:row>
    <x:row r="2990">
      <x:c r="A2990" s="30" t="n">
        <x:v>350600</x:v>
      </x:c>
      <x:c r="B2990" s="22" t="str">
        <x:v>漳州市</x:v>
      </x:c>
      <x:c r="C2990" s="31" t="n">
        <x:v>350681</x:v>
      </x:c>
      <x:c r="D2990" s="22" t="str">
        <x:v>龙海区</x:v>
      </x:c>
      <x:c r="E2990" s="22" t="str">
        <x:v>建设用地</x:v>
      </x:c>
      <x:c r="F2990" s="22" t="str">
        <x:v>水域及水利设施</x:v>
      </x:c>
      <x:c r="G2990" s="32" t="str">
        <x:v>1109</x:v>
      </x:c>
      <x:c r="H2990" s="32" t="str">
        <x:v>1109</x:v>
      </x:c>
      <x:c r="I2990" s="22" t="str">
        <x:v>水工建筑用地</x:v>
      </x:c>
      <x:c r="J2990" s="22" t="str">
        <x:v>其他建设</x:v>
      </x:c>
      <x:c r="K2990" s="32" t="str">
        <x:v>203</x:v>
      </x:c>
      <x:c r="L2990" s="22" t="str">
        <x:v>村庄范围</x:v>
      </x:c>
      <x:c r="M2990" s="33" t="n">
        <x:v>7074.1</x:v>
      </x:c>
      <x:c r="N2990" s="33" t="n">
        <x:v>0.70741</x:v>
      </x:c>
      <x:c r="O2990" s="22" t="str">
        <x:v>公顷</x:v>
      </x:c>
      <x:c r="P2990" s="22" t="str">
        <x:v>未提供（单期横截面）</x:v>
      </x:c>
      <x:c r="Q2990" s="23" t="n">
        <x:v>5969</x:v>
      </x:c>
    </x:row>
    <x:row r="2991">
      <x:c r="A2991" s="30" t="n">
        <x:v>350600</x:v>
      </x:c>
      <x:c r="B2991" s="22" t="str">
        <x:v>漳州市</x:v>
      </x:c>
      <x:c r="C2991" s="31" t="n">
        <x:v>350681</x:v>
      </x:c>
      <x:c r="D2991" s="22" t="str">
        <x:v>龙海区</x:v>
      </x:c>
      <x:c r="E2991" s="22" t="str">
        <x:v>建设用地</x:v>
      </x:c>
      <x:c r="F2991" s="22" t="str">
        <x:v>其他建设用地</x:v>
      </x:c>
      <x:c r="G2991" s="32" t="str">
        <x:v>1201</x:v>
      </x:c>
      <x:c r="H2991" s="32" t="str">
        <x:v>1201</x:v>
      </x:c>
      <x:c r="I2991" s="22" t="str">
        <x:v>空闲地</x:v>
      </x:c>
      <x:c r="J2991" s="22" t="str">
        <x:v>其他建设</x:v>
      </x:c>
      <x:c r="K2991" s="32" t="str">
        <x:v>203</x:v>
      </x:c>
      <x:c r="L2991" s="22" t="str">
        <x:v>村庄范围</x:v>
      </x:c>
      <x:c r="M2991" s="33" t="n">
        <x:v>50739.49999999999</x:v>
      </x:c>
      <x:c r="N2991" s="33" t="n">
        <x:v>5.073949999999999</x:v>
      </x:c>
      <x:c r="O2991" s="22" t="str">
        <x:v>公顷</x:v>
      </x:c>
      <x:c r="P2991" s="22" t="str">
        <x:v>未提供（单期横截面）</x:v>
      </x:c>
      <x:c r="Q2991" s="23" t="n">
        <x:v>5970</x:v>
      </x:c>
    </x:row>
    <x:row r="2992">
      <x:c r="A2992" s="30" t="n">
        <x:v>350600</x:v>
      </x:c>
      <x:c r="B2992" s="22" t="str">
        <x:v>漳州市</x:v>
      </x:c>
      <x:c r="C2992" s="31" t="n">
        <x:v>350681</x:v>
      </x:c>
      <x:c r="D2992" s="22" t="str">
        <x:v>龙海区</x:v>
      </x:c>
      <x:c r="E2992" s="22" t="str">
        <x:v>建设用地</x:v>
      </x:c>
      <x:c r="F2992" s="22" t="str">
        <x:v>工矿仓储用地</x:v>
      </x:c>
      <x:c r="G2992" s="32" t="str">
        <x:v>601</x:v>
      </x:c>
      <x:c r="H2992" s="32" t="str">
        <x:v>601</x:v>
      </x:c>
      <x:c r="I2992" s="22" t="str">
        <x:v>工业用地</x:v>
      </x:c>
      <x:c r="J2992" s="22" t="str">
        <x:v>产业功能</x:v>
      </x:c>
      <x:c r="K2992" s="32" t="str">
        <x:v>203A</x:v>
      </x:c>
      <x:c r="L2992" s="22" t="str">
        <x:v>村庄独立工业用地</x:v>
      </x:c>
      <x:c r="M2992" s="33" t="n">
        <x:v>1233146.330000001</x:v>
      </x:c>
      <x:c r="N2992" s="33" t="n">
        <x:v>123.3146330000001</x:v>
      </x:c>
      <x:c r="O2992" s="22" t="str">
        <x:v>公顷</x:v>
      </x:c>
      <x:c r="P2992" s="22" t="str">
        <x:v>未提供（单期横截面）</x:v>
      </x:c>
      <x:c r="Q2992" s="23" t="n">
        <x:v>5971</x:v>
      </x:c>
    </x:row>
    <x:row r="2993">
      <x:c r="A2993" s="30" t="n">
        <x:v>350600</x:v>
      </x:c>
      <x:c r="B2993" s="22" t="str">
        <x:v>漳州市</x:v>
      </x:c>
      <x:c r="C2993" s="31" t="n">
        <x:v>350681</x:v>
      </x:c>
      <x:c r="D2993" s="22" t="str">
        <x:v>龙海区</x:v>
      </x:c>
      <x:c r="E2993" s="22" t="str">
        <x:v>建设用地</x:v>
      </x:c>
      <x:c r="F2993" s="22" t="str">
        <x:v>工矿仓储用地</x:v>
      </x:c>
      <x:c r="G2993" s="32" t="str">
        <x:v>601</x:v>
      </x:c>
      <x:c r="H2993" s="32" t="str">
        <x:v>601</x:v>
      </x:c>
      <x:c r="I2993" s="22" t="str">
        <x:v>工业用地</x:v>
      </x:c>
      <x:c r="J2993" s="22" t="str">
        <x:v>产业功能</x:v>
      </x:c>
      <x:c r="K2993" s="32" t="str">
        <x:v>204</x:v>
      </x:c>
      <x:c r="L2993" s="22" t="str">
        <x:v>盐田及采矿用地</x:v>
      </x:c>
      <x:c r="M2993" s="33" t="n">
        <x:v>1839.06</x:v>
      </x:c>
      <x:c r="N2993" s="33" t="n">
        <x:v>0.183906</x:v>
      </x:c>
      <x:c r="O2993" s="22" t="str">
        <x:v>公顷</x:v>
      </x:c>
      <x:c r="P2993" s="22" t="str">
        <x:v>未提供（单期横截面）</x:v>
      </x:c>
      <x:c r="Q2993" s="23" t="n">
        <x:v>5972</x:v>
      </x:c>
    </x:row>
    <x:row r="2994">
      <x:c r="A2994" s="30" t="n">
        <x:v>350600</x:v>
      </x:c>
      <x:c r="B2994" s="22" t="str">
        <x:v>漳州市</x:v>
      </x:c>
      <x:c r="C2994" s="31" t="n">
        <x:v>350681</x:v>
      </x:c>
      <x:c r="D2994" s="22" t="str">
        <x:v>龙海区</x:v>
      </x:c>
      <x:c r="E2994" s="22" t="str">
        <x:v>建设用地</x:v>
      </x:c>
      <x:c r="F2994" s="22" t="str">
        <x:v>工矿仓储用地</x:v>
      </x:c>
      <x:c r="G2994" s="32" t="str">
        <x:v>602</x:v>
      </x:c>
      <x:c r="H2994" s="32" t="str">
        <x:v>602</x:v>
      </x:c>
      <x:c r="I2994" s="22" t="str">
        <x:v>采矿用地</x:v>
      </x:c>
      <x:c r="J2994" s="22" t="str">
        <x:v>产业功能</x:v>
      </x:c>
      <x:c r="K2994" s="32" t="str">
        <x:v>204</x:v>
      </x:c>
      <x:c r="L2994" s="22" t="str">
        <x:v>盐田及采矿用地</x:v>
      </x:c>
      <x:c r="M2994" s="33" t="n">
        <x:v>12150086.980000006</x:v>
      </x:c>
      <x:c r="N2994" s="33" t="n">
        <x:v>1215.0086980000005</x:v>
      </x:c>
      <x:c r="O2994" s="22" t="str">
        <x:v>公顷</x:v>
      </x:c>
      <x:c r="P2994" s="22" t="str">
        <x:v>未提供（单期横截面）</x:v>
      </x:c>
      <x:c r="Q2994" s="23" t="n">
        <x:v>5973</x:v>
      </x:c>
    </x:row>
    <x:row r="2995">
      <x:c r="A2995" s="30" t="n">
        <x:v>350600</x:v>
      </x:c>
      <x:c r="B2995" s="22" t="str">
        <x:v>漳州市</x:v>
      </x:c>
      <x:c r="C2995" s="31" t="n">
        <x:v>350681</x:v>
      </x:c>
      <x:c r="D2995" s="22" t="str">
        <x:v>龙海区</x:v>
      </x:c>
      <x:c r="E2995" s="22" t="str">
        <x:v>建设用地</x:v>
      </x:c>
      <x:c r="F2995" s="22" t="str">
        <x:v>特殊用地</x:v>
      </x:c>
      <x:c r="G2995" s="32" t="str">
        <x:v>9</x:v>
      </x:c>
      <x:c r="H2995" s="32" t="str">
        <x:v>9</x:v>
      </x:c>
      <x:c r="I2995" s="22" t="str">
        <x:v>特殊用地</x:v>
      </x:c>
      <x:c r="J2995" s="22" t="str">
        <x:v>其他建设</x:v>
      </x:c>
      <x:c r="K2995" s="32" t="str">
        <x:v>205</x:v>
      </x:c>
      <x:c r="L2995" s="22" t="str">
        <x:v>特殊用地</x:v>
      </x:c>
      <x:c r="M2995" s="33" t="n">
        <x:v>6780389.870000002</x:v>
      </x:c>
      <x:c r="N2995" s="33" t="n">
        <x:v>678.0389870000002</x:v>
      </x:c>
      <x:c r="O2995" s="22" t="str">
        <x:v>公顷</x:v>
      </x:c>
      <x:c r="P2995" s="22" t="str">
        <x:v>未提供（单期横截面）</x:v>
      </x:c>
      <x:c r="Q2995" s="23" t="n">
        <x:v>5974</x:v>
      </x:c>
    </x:row>
    <x:row r="2996">
      <x:c r="A2996" s="30" t="n">
        <x:v>350600</x:v>
      </x:c>
      <x:c r="B2996" s="22" t="str">
        <x:v>漳州市</x:v>
      </x:c>
      <x:c r="C2996" s="31" t="n">
        <x:v>350681</x:v>
      </x:c>
      <x:c r="D2996" s="22" t="str">
        <x:v>龙海区</x:v>
      </x:c>
      <x:c r="E2996" s="22" t="str">
        <x:v>农用地</x:v>
      </x:c>
      <x:c r="F2996" s="22" t="str">
        <x:v>耕地</x:v>
      </x:c>
      <x:c r="G2996" s="32" t="str">
        <x:v>101</x:v>
      </x:c>
      <x:c r="H2996" s="32" t="str">
        <x:v>101</x:v>
      </x:c>
      <x:c r="I2996" s="22" t="str">
        <x:v>水田</x:v>
      </x:c>
      <x:c r="J2996" s="22" t="str">
        <x:v>农业生态</x:v>
      </x:c>
      <x:c r="K2996" s="32" t="str"/>
      <x:c r="L2996" s="22" t="str">
        <x:v>不适用/未标注</x:v>
      </x:c>
      <x:c r="M2996" s="33" t="n">
        <x:v>95854367.49999978</x:v>
      </x:c>
      <x:c r="N2996" s="33" t="n">
        <x:v>9585.436749999977</x:v>
      </x:c>
      <x:c r="O2996" s="22" t="str">
        <x:v>公顷</x:v>
      </x:c>
      <x:c r="P2996" s="22" t="str">
        <x:v>未提供（单期横截面）</x:v>
      </x:c>
      <x:c r="Q2996" s="23" t="n">
        <x:v>5975</x:v>
      </x:c>
    </x:row>
    <x:row r="2997">
      <x:c r="A2997" s="30" t="n">
        <x:v>350600</x:v>
      </x:c>
      <x:c r="B2997" s="22" t="str">
        <x:v>漳州市</x:v>
      </x:c>
      <x:c r="C2997" s="31" t="n">
        <x:v>350681</x:v>
      </x:c>
      <x:c r="D2997" s="22" t="str">
        <x:v>龙海区</x:v>
      </x:c>
      <x:c r="E2997" s="22" t="str">
        <x:v>农用地</x:v>
      </x:c>
      <x:c r="F2997" s="22" t="str">
        <x:v>耕地</x:v>
      </x:c>
      <x:c r="G2997" s="32" t="str">
        <x:v>102</x:v>
      </x:c>
      <x:c r="H2997" s="32" t="str">
        <x:v>102</x:v>
      </x:c>
      <x:c r="I2997" s="22" t="str">
        <x:v>水浇地</x:v>
      </x:c>
      <x:c r="J2997" s="22" t="str">
        <x:v>农业生态</x:v>
      </x:c>
      <x:c r="K2997" s="32" t="str"/>
      <x:c r="L2997" s="22" t="str">
        <x:v>不适用/未标注</x:v>
      </x:c>
      <x:c r="M2997" s="33" t="n">
        <x:v>994799.2599999998</x:v>
      </x:c>
      <x:c r="N2997" s="33" t="n">
        <x:v>99.47992599999998</x:v>
      </x:c>
      <x:c r="O2997" s="22" t="str">
        <x:v>公顷</x:v>
      </x:c>
      <x:c r="P2997" s="22" t="str">
        <x:v>未提供（单期横截面）</x:v>
      </x:c>
      <x:c r="Q2997" s="23" t="n">
        <x:v>5976</x:v>
      </x:c>
    </x:row>
    <x:row r="2998">
      <x:c r="A2998" s="30" t="n">
        <x:v>350600</x:v>
      </x:c>
      <x:c r="B2998" s="22" t="str">
        <x:v>漳州市</x:v>
      </x:c>
      <x:c r="C2998" s="31" t="n">
        <x:v>350681</x:v>
      </x:c>
      <x:c r="D2998" s="22" t="str">
        <x:v>龙海区</x:v>
      </x:c>
      <x:c r="E2998" s="22" t="str">
        <x:v>农用地</x:v>
      </x:c>
      <x:c r="F2998" s="22" t="str">
        <x:v>耕地</x:v>
      </x:c>
      <x:c r="G2998" s="32" t="str">
        <x:v>103</x:v>
      </x:c>
      <x:c r="H2998" s="32" t="str">
        <x:v>103</x:v>
      </x:c>
      <x:c r="I2998" s="22" t="str">
        <x:v>旱地</x:v>
      </x:c>
      <x:c r="J2998" s="22" t="str">
        <x:v>农业生态</x:v>
      </x:c>
      <x:c r="K2998" s="32" t="str"/>
      <x:c r="L2998" s="22" t="str">
        <x:v>不适用/未标注</x:v>
      </x:c>
      <x:c r="M2998" s="33" t="n">
        <x:v>15619983.520000009</x:v>
      </x:c>
      <x:c r="N2998" s="33" t="n">
        <x:v>1561.998352000001</x:v>
      </x:c>
      <x:c r="O2998" s="22" t="str">
        <x:v>公顷</x:v>
      </x:c>
      <x:c r="P2998" s="22" t="str">
        <x:v>未提供（单期横截面）</x:v>
      </x:c>
      <x:c r="Q2998" s="23" t="n">
        <x:v>5977</x:v>
      </x:c>
    </x:row>
    <x:row r="2999">
      <x:c r="A2999" s="30" t="n">
        <x:v>350600</x:v>
      </x:c>
      <x:c r="B2999" s="22" t="str">
        <x:v>漳州市</x:v>
      </x:c>
      <x:c r="C2999" s="31" t="n">
        <x:v>350681</x:v>
      </x:c>
      <x:c r="D2999" s="22" t="str">
        <x:v>龙海区</x:v>
      </x:c>
      <x:c r="E2999" s="22" t="str">
        <x:v>农用地</x:v>
      </x:c>
      <x:c r="F2999" s="22" t="str">
        <x:v>园地</x:v>
      </x:c>
      <x:c r="G2999" s="32" t="str">
        <x:v>201</x:v>
      </x:c>
      <x:c r="H2999" s="32" t="str">
        <x:v>201</x:v>
      </x:c>
      <x:c r="I2999" s="22" t="str">
        <x:v>果园</x:v>
      </x:c>
      <x:c r="J2999" s="22" t="str">
        <x:v>农业生态</x:v>
      </x:c>
      <x:c r="K2999" s="32" t="str"/>
      <x:c r="L2999" s="22" t="str">
        <x:v>不适用/未标注</x:v>
      </x:c>
      <x:c r="M2999" s="33" t="n">
        <x:v>252596313.8999996</x:v>
      </x:c>
      <x:c r="N2999" s="33" t="n">
        <x:v>25259.63138999996</x:v>
      </x:c>
      <x:c r="O2999" s="22" t="str">
        <x:v>公顷</x:v>
      </x:c>
      <x:c r="P2999" s="22" t="str">
        <x:v>未提供（单期横截面）</x:v>
      </x:c>
      <x:c r="Q2999" s="23" t="n">
        <x:v>5978</x:v>
      </x:c>
    </x:row>
    <x:row r="3000">
      <x:c r="A3000" s="30" t="n">
        <x:v>350600</x:v>
      </x:c>
      <x:c r="B3000" s="22" t="str">
        <x:v>漳州市</x:v>
      </x:c>
      <x:c r="C3000" s="31" t="n">
        <x:v>350681</x:v>
      </x:c>
      <x:c r="D3000" s="22" t="str">
        <x:v>龙海区</x:v>
      </x:c>
      <x:c r="E3000" s="22" t="str">
        <x:v>农用地</x:v>
      </x:c>
      <x:c r="F3000" s="22" t="str">
        <x:v>园地</x:v>
      </x:c>
      <x:c r="G3000" s="32" t="str">
        <x:v>0201K</x:v>
      </x:c>
      <x:c r="H3000" s="32" t="str">
        <x:v>201</x:v>
      </x:c>
      <x:c r="I3000" s="22" t="str">
        <x:v>可调整果园</x:v>
      </x:c>
      <x:c r="J3000" s="22" t="str">
        <x:v>农业生态</x:v>
      </x:c>
      <x:c r="K3000" s="32" t="str"/>
      <x:c r="L3000" s="22" t="str">
        <x:v>不适用/未标注</x:v>
      </x:c>
      <x:c r="M3000" s="33" t="n">
        <x:v>6971406.269999999</x:v>
      </x:c>
      <x:c r="N3000" s="33" t="n">
        <x:v>697.1406269999999</x:v>
      </x:c>
      <x:c r="O3000" s="22" t="str">
        <x:v>公顷</x:v>
      </x:c>
      <x:c r="P3000" s="22" t="str">
        <x:v>未提供（单期横截面）</x:v>
      </x:c>
      <x:c r="Q3000" s="23" t="n">
        <x:v>5979</x:v>
      </x:c>
    </x:row>
    <x:row r="3001">
      <x:c r="A3001" s="30" t="n">
        <x:v>350600</x:v>
      </x:c>
      <x:c r="B3001" s="22" t="str">
        <x:v>漳州市</x:v>
      </x:c>
      <x:c r="C3001" s="31" t="n">
        <x:v>350681</x:v>
      </x:c>
      <x:c r="D3001" s="22" t="str">
        <x:v>龙海区</x:v>
      </x:c>
      <x:c r="E3001" s="22" t="str">
        <x:v>农用地</x:v>
      </x:c>
      <x:c r="F3001" s="22" t="str">
        <x:v>园地</x:v>
      </x:c>
      <x:c r="G3001" s="32" t="str">
        <x:v>202</x:v>
      </x:c>
      <x:c r="H3001" s="32" t="str">
        <x:v>202</x:v>
      </x:c>
      <x:c r="I3001" s="22" t="str">
        <x:v>茶园</x:v>
      </x:c>
      <x:c r="J3001" s="22" t="str">
        <x:v>农业生态</x:v>
      </x:c>
      <x:c r="K3001" s="32" t="str"/>
      <x:c r="L3001" s="22" t="str">
        <x:v>不适用/未标注</x:v>
      </x:c>
      <x:c r="M3001" s="33" t="n">
        <x:v>444444.0200000001</x:v>
      </x:c>
      <x:c r="N3001" s="33" t="n">
        <x:v>44.44440200000001</x:v>
      </x:c>
      <x:c r="O3001" s="22" t="str">
        <x:v>公顷</x:v>
      </x:c>
      <x:c r="P3001" s="22" t="str">
        <x:v>未提供（单期横截面）</x:v>
      </x:c>
      <x:c r="Q3001" s="23" t="n">
        <x:v>5980</x:v>
      </x:c>
    </x:row>
    <x:row r="3002">
      <x:c r="A3002" s="30" t="n">
        <x:v>350600</x:v>
      </x:c>
      <x:c r="B3002" s="22" t="str">
        <x:v>漳州市</x:v>
      </x:c>
      <x:c r="C3002" s="31" t="n">
        <x:v>350681</x:v>
      </x:c>
      <x:c r="D3002" s="22" t="str">
        <x:v>龙海区</x:v>
      </x:c>
      <x:c r="E3002" s="22" t="str">
        <x:v>农用地</x:v>
      </x:c>
      <x:c r="F3002" s="22" t="str">
        <x:v>园地</x:v>
      </x:c>
      <x:c r="G3002" s="32" t="str">
        <x:v>0202K</x:v>
      </x:c>
      <x:c r="H3002" s="32" t="str">
        <x:v>0202</x:v>
      </x:c>
      <x:c r="I3002" s="22" t="str">
        <x:v>可调整茶园</x:v>
      </x:c>
      <x:c r="J3002" s="22" t="str">
        <x:v>农业生态</x:v>
      </x:c>
      <x:c r="K3002" s="32" t="str"/>
      <x:c r="L3002" s="22" t="str">
        <x:v>不适用/未标注</x:v>
      </x:c>
      <x:c r="M3002" s="33" t="n">
        <x:v>36649.76</x:v>
      </x:c>
      <x:c r="N3002" s="33" t="n">
        <x:v>3.6649760000000002</x:v>
      </x:c>
      <x:c r="O3002" s="22" t="str">
        <x:v>公顷</x:v>
      </x:c>
      <x:c r="P3002" s="22" t="str">
        <x:v>未提供（单期横截面）</x:v>
      </x:c>
      <x:c r="Q3002" s="23" t="n">
        <x:v>5981</x:v>
      </x:c>
    </x:row>
    <x:row r="3003">
      <x:c r="A3003" s="30" t="n">
        <x:v>350600</x:v>
      </x:c>
      <x:c r="B3003" s="22" t="str">
        <x:v>漳州市</x:v>
      </x:c>
      <x:c r="C3003" s="31" t="n">
        <x:v>350681</x:v>
      </x:c>
      <x:c r="D3003" s="22" t="str">
        <x:v>龙海区</x:v>
      </x:c>
      <x:c r="E3003" s="22" t="str">
        <x:v>农用地</x:v>
      </x:c>
      <x:c r="F3003" s="22" t="str">
        <x:v>园地</x:v>
      </x:c>
      <x:c r="G3003" s="32" t="str">
        <x:v>204</x:v>
      </x:c>
      <x:c r="H3003" s="32" t="str">
        <x:v>204</x:v>
      </x:c>
      <x:c r="I3003" s="22" t="str">
        <x:v>其他园地</x:v>
      </x:c>
      <x:c r="J3003" s="22" t="str">
        <x:v>农业生态</x:v>
      </x:c>
      <x:c r="K3003" s="32" t="str"/>
      <x:c r="L3003" s="22" t="str">
        <x:v>不适用/未标注</x:v>
      </x:c>
      <x:c r="M3003" s="33" t="n">
        <x:v>28459596.289999988</x:v>
      </x:c>
      <x:c r="N3003" s="33" t="n">
        <x:v>2845.9596289999986</x:v>
      </x:c>
      <x:c r="O3003" s="22" t="str">
        <x:v>公顷</x:v>
      </x:c>
      <x:c r="P3003" s="22" t="str">
        <x:v>未提供（单期横截面）</x:v>
      </x:c>
      <x:c r="Q3003" s="23" t="n">
        <x:v>5982</x:v>
      </x:c>
    </x:row>
    <x:row r="3004">
      <x:c r="A3004" s="30" t="n">
        <x:v>350600</x:v>
      </x:c>
      <x:c r="B3004" s="22" t="str">
        <x:v>漳州市</x:v>
      </x:c>
      <x:c r="C3004" s="31" t="n">
        <x:v>350681</x:v>
      </x:c>
      <x:c r="D3004" s="22" t="str">
        <x:v>龙海区</x:v>
      </x:c>
      <x:c r="E3004" s="22" t="str">
        <x:v>农用地</x:v>
      </x:c>
      <x:c r="F3004" s="22" t="str">
        <x:v>园地</x:v>
      </x:c>
      <x:c r="G3004" s="32" t="str">
        <x:v>0204K</x:v>
      </x:c>
      <x:c r="H3004" s="32" t="str">
        <x:v>0204</x:v>
      </x:c>
      <x:c r="I3004" s="22" t="str">
        <x:v>可调整其他园地</x:v>
      </x:c>
      <x:c r="J3004" s="22" t="str">
        <x:v>农业生态</x:v>
      </x:c>
      <x:c r="K3004" s="32" t="str"/>
      <x:c r="L3004" s="22" t="str">
        <x:v>不适用/未标注</x:v>
      </x:c>
      <x:c r="M3004" s="33" t="n">
        <x:v>834905.3200000002</x:v>
      </x:c>
      <x:c r="N3004" s="33" t="n">
        <x:v>83.49053200000002</x:v>
      </x:c>
      <x:c r="O3004" s="22" t="str">
        <x:v>公顷</x:v>
      </x:c>
      <x:c r="P3004" s="22" t="str">
        <x:v>未提供（单期横截面）</x:v>
      </x:c>
      <x:c r="Q3004" s="23" t="n">
        <x:v>5983</x:v>
      </x:c>
    </x:row>
    <x:row r="3005">
      <x:c r="A3005" s="30" t="n">
        <x:v>350600</x:v>
      </x:c>
      <x:c r="B3005" s="22" t="str">
        <x:v>漳州市</x:v>
      </x:c>
      <x:c r="C3005" s="31" t="n">
        <x:v>350681</x:v>
      </x:c>
      <x:c r="D3005" s="22" t="str">
        <x:v>龙海区</x:v>
      </x:c>
      <x:c r="E3005" s="22" t="str">
        <x:v>农用地</x:v>
      </x:c>
      <x:c r="F3005" s="22" t="str">
        <x:v>林地</x:v>
      </x:c>
      <x:c r="G3005" s="32" t="str">
        <x:v>301</x:v>
      </x:c>
      <x:c r="H3005" s="32" t="str">
        <x:v>301</x:v>
      </x:c>
      <x:c r="I3005" s="22" t="str">
        <x:v>乔木林地</x:v>
      </x:c>
      <x:c r="J3005" s="22" t="str">
        <x:v>农业生态</x:v>
      </x:c>
      <x:c r="K3005" s="32" t="str"/>
      <x:c r="L3005" s="22" t="str">
        <x:v>不适用/未标注</x:v>
      </x:c>
      <x:c r="M3005" s="33" t="n">
        <x:v>337121491.54000014</x:v>
      </x:c>
      <x:c r="N3005" s="33" t="n">
        <x:v>33712.14915400001</x:v>
      </x:c>
      <x:c r="O3005" s="22" t="str">
        <x:v>公顷</x:v>
      </x:c>
      <x:c r="P3005" s="22" t="str">
        <x:v>未提供（单期横截面）</x:v>
      </x:c>
      <x:c r="Q3005" s="23" t="n">
        <x:v>5984</x:v>
      </x:c>
    </x:row>
    <x:row r="3006">
      <x:c r="A3006" s="30" t="n">
        <x:v>350600</x:v>
      </x:c>
      <x:c r="B3006" s="22" t="str">
        <x:v>漳州市</x:v>
      </x:c>
      <x:c r="C3006" s="31" t="n">
        <x:v>350681</x:v>
      </x:c>
      <x:c r="D3006" s="22" t="str">
        <x:v>龙海区</x:v>
      </x:c>
      <x:c r="E3006" s="22" t="str">
        <x:v>农用地</x:v>
      </x:c>
      <x:c r="F3006" s="22" t="str">
        <x:v>林地</x:v>
      </x:c>
      <x:c r="G3006" s="32" t="str">
        <x:v>0301K</x:v>
      </x:c>
      <x:c r="H3006" s="32" t="str">
        <x:v>0301</x:v>
      </x:c>
      <x:c r="I3006" s="22" t="str">
        <x:v>可调整乔木林地</x:v>
      </x:c>
      <x:c r="J3006" s="22" t="str">
        <x:v>农业生态</x:v>
      </x:c>
      <x:c r="K3006" s="32" t="str"/>
      <x:c r="L3006" s="22" t="str">
        <x:v>不适用/未标注</x:v>
      </x:c>
      <x:c r="M3006" s="33" t="n">
        <x:v>732230.2200000002</x:v>
      </x:c>
      <x:c r="N3006" s="33" t="n">
        <x:v>73.22302200000001</x:v>
      </x:c>
      <x:c r="O3006" s="22" t="str">
        <x:v>公顷</x:v>
      </x:c>
      <x:c r="P3006" s="22" t="str">
        <x:v>未提供（单期横截面）</x:v>
      </x:c>
      <x:c r="Q3006" s="23" t="n">
        <x:v>5985</x:v>
      </x:c>
    </x:row>
    <x:row r="3007">
      <x:c r="A3007" s="30" t="n">
        <x:v>350600</x:v>
      </x:c>
      <x:c r="B3007" s="22" t="str">
        <x:v>漳州市</x:v>
      </x:c>
      <x:c r="C3007" s="31" t="n">
        <x:v>350681</x:v>
      </x:c>
      <x:c r="D3007" s="22" t="str">
        <x:v>龙海区</x:v>
      </x:c>
      <x:c r="E3007" s="22" t="str">
        <x:v>农用地</x:v>
      </x:c>
      <x:c r="F3007" s="22" t="str">
        <x:v>林地</x:v>
      </x:c>
      <x:c r="G3007" s="32" t="str">
        <x:v>302</x:v>
      </x:c>
      <x:c r="H3007" s="32" t="str">
        <x:v>302</x:v>
      </x:c>
      <x:c r="I3007" s="22" t="str">
        <x:v>竹林地</x:v>
      </x:c>
      <x:c r="J3007" s="22" t="str">
        <x:v>农业生态</x:v>
      </x:c>
      <x:c r="K3007" s="32" t="str"/>
      <x:c r="L3007" s="22" t="str">
        <x:v>不适用/未标注</x:v>
      </x:c>
      <x:c r="M3007" s="33" t="n">
        <x:v>22552720.679999992</x:v>
      </x:c>
      <x:c r="N3007" s="33" t="n">
        <x:v>2255.2720679999993</x:v>
      </x:c>
      <x:c r="O3007" s="22" t="str">
        <x:v>公顷</x:v>
      </x:c>
      <x:c r="P3007" s="22" t="str">
        <x:v>未提供（单期横截面）</x:v>
      </x:c>
      <x:c r="Q3007" s="23" t="n">
        <x:v>5986</x:v>
      </x:c>
    </x:row>
    <x:row r="3008">
      <x:c r="A3008" s="30" t="n">
        <x:v>350600</x:v>
      </x:c>
      <x:c r="B3008" s="22" t="str">
        <x:v>漳州市</x:v>
      </x:c>
      <x:c r="C3008" s="31" t="n">
        <x:v>350681</x:v>
      </x:c>
      <x:c r="D3008" s="22" t="str">
        <x:v>龙海区</x:v>
      </x:c>
      <x:c r="E3008" s="22" t="str">
        <x:v>农用地</x:v>
      </x:c>
      <x:c r="F3008" s="22" t="str">
        <x:v>林地</x:v>
      </x:c>
      <x:c r="G3008" s="32" t="str">
        <x:v>0302K</x:v>
      </x:c>
      <x:c r="H3008" s="32" t="str">
        <x:v>0302</x:v>
      </x:c>
      <x:c r="I3008" s="22" t="str">
        <x:v>可调整竹林地</x:v>
      </x:c>
      <x:c r="J3008" s="22" t="str">
        <x:v>农业生态</x:v>
      </x:c>
      <x:c r="K3008" s="32" t="str"/>
      <x:c r="L3008" s="22" t="str">
        <x:v>不适用/未标注</x:v>
      </x:c>
      <x:c r="M3008" s="33" t="n">
        <x:v>4971.679999999999</x:v>
      </x:c>
      <x:c r="N3008" s="33" t="n">
        <x:v>0.49716799999999994</x:v>
      </x:c>
      <x:c r="O3008" s="22" t="str">
        <x:v>公顷</x:v>
      </x:c>
      <x:c r="P3008" s="22" t="str">
        <x:v>未提供（单期横截面）</x:v>
      </x:c>
      <x:c r="Q3008" s="23" t="n">
        <x:v>5987</x:v>
      </x:c>
    </x:row>
    <x:row r="3009">
      <x:c r="A3009" s="30" t="n">
        <x:v>350600</x:v>
      </x:c>
      <x:c r="B3009" s="22" t="str">
        <x:v>漳州市</x:v>
      </x:c>
      <x:c r="C3009" s="31" t="n">
        <x:v>350681</x:v>
      </x:c>
      <x:c r="D3009" s="22" t="str">
        <x:v>龙海区</x:v>
      </x:c>
      <x:c r="E3009" s="22" t="str">
        <x:v>农用地</x:v>
      </x:c>
      <x:c r="F3009" s="22" t="str">
        <x:v>林地</x:v>
      </x:c>
      <x:c r="G3009" s="32" t="str">
        <x:v>303</x:v>
      </x:c>
      <x:c r="H3009" s="32" t="str">
        <x:v>303</x:v>
      </x:c>
      <x:c r="I3009" s="22" t="str">
        <x:v>红树林地</x:v>
      </x:c>
      <x:c r="J3009" s="22" t="str">
        <x:v>农业生态</x:v>
      </x:c>
      <x:c r="K3009" s="32" t="str"/>
      <x:c r="L3009" s="22" t="str">
        <x:v>不适用/未标注</x:v>
      </x:c>
      <x:c r="M3009" s="33" t="n">
        <x:v>3519189.1900000004</x:v>
      </x:c>
      <x:c r="N3009" s="33" t="n">
        <x:v>351.918919</x:v>
      </x:c>
      <x:c r="O3009" s="22" t="str">
        <x:v>公顷</x:v>
      </x:c>
      <x:c r="P3009" s="22" t="str">
        <x:v>未提供（单期横截面）</x:v>
      </x:c>
      <x:c r="Q3009" s="23" t="n">
        <x:v>5988</x:v>
      </x:c>
    </x:row>
    <x:row r="3010">
      <x:c r="A3010" s="30" t="n">
        <x:v>350600</x:v>
      </x:c>
      <x:c r="B3010" s="22" t="str">
        <x:v>漳州市</x:v>
      </x:c>
      <x:c r="C3010" s="31" t="n">
        <x:v>350681</x:v>
      </x:c>
      <x:c r="D3010" s="22" t="str">
        <x:v>龙海区</x:v>
      </x:c>
      <x:c r="E3010" s="22" t="str">
        <x:v>农用地</x:v>
      </x:c>
      <x:c r="F3010" s="22" t="str">
        <x:v>林地</x:v>
      </x:c>
      <x:c r="G3010" s="32" t="str">
        <x:v>305</x:v>
      </x:c>
      <x:c r="H3010" s="32" t="str">
        <x:v>305</x:v>
      </x:c>
      <x:c r="I3010" s="22" t="str">
        <x:v>灌木林地</x:v>
      </x:c>
      <x:c r="J3010" s="22" t="str">
        <x:v>农业生态</x:v>
      </x:c>
      <x:c r="K3010" s="32" t="str"/>
      <x:c r="L3010" s="22" t="str">
        <x:v>不适用/未标注</x:v>
      </x:c>
      <x:c r="M3010" s="33" t="n">
        <x:v>16159148.869999992</x:v>
      </x:c>
      <x:c r="N3010" s="33" t="n">
        <x:v>1615.9148869999992</x:v>
      </x:c>
      <x:c r="O3010" s="22" t="str">
        <x:v>公顷</x:v>
      </x:c>
      <x:c r="P3010" s="22" t="str">
        <x:v>未提供（单期横截面）</x:v>
      </x:c>
      <x:c r="Q3010" s="23" t="n">
        <x:v>5989</x:v>
      </x:c>
    </x:row>
    <x:row r="3011">
      <x:c r="A3011" s="30" t="n">
        <x:v>350600</x:v>
      </x:c>
      <x:c r="B3011" s="22" t="str">
        <x:v>漳州市</x:v>
      </x:c>
      <x:c r="C3011" s="31" t="n">
        <x:v>350681</x:v>
      </x:c>
      <x:c r="D3011" s="22" t="str">
        <x:v>龙海区</x:v>
      </x:c>
      <x:c r="E3011" s="22" t="str">
        <x:v>农用地</x:v>
      </x:c>
      <x:c r="F3011" s="22" t="str">
        <x:v>林地</x:v>
      </x:c>
      <x:c r="G3011" s="32" t="str">
        <x:v>307</x:v>
      </x:c>
      <x:c r="H3011" s="32" t="str">
        <x:v>307</x:v>
      </x:c>
      <x:c r="I3011" s="22" t="str">
        <x:v>其他林地</x:v>
      </x:c>
      <x:c r="J3011" s="22" t="str">
        <x:v>农业生态</x:v>
      </x:c>
      <x:c r="K3011" s="32" t="str"/>
      <x:c r="L3011" s="22" t="str">
        <x:v>不适用/未标注</x:v>
      </x:c>
      <x:c r="M3011" s="33" t="n">
        <x:v>53650632.66000003</x:v>
      </x:c>
      <x:c r="N3011" s="33" t="n">
        <x:v>5365.063266000004</x:v>
      </x:c>
      <x:c r="O3011" s="22" t="str">
        <x:v>公顷</x:v>
      </x:c>
      <x:c r="P3011" s="22" t="str">
        <x:v>未提供（单期横截面）</x:v>
      </x:c>
      <x:c r="Q3011" s="23" t="n">
        <x:v>5990</x:v>
      </x:c>
    </x:row>
    <x:row r="3012">
      <x:c r="A3012" s="30" t="n">
        <x:v>350600</x:v>
      </x:c>
      <x:c r="B3012" s="22" t="str">
        <x:v>漳州市</x:v>
      </x:c>
      <x:c r="C3012" s="31" t="n">
        <x:v>350681</x:v>
      </x:c>
      <x:c r="D3012" s="22" t="str">
        <x:v>龙海区</x:v>
      </x:c>
      <x:c r="E3012" s="22" t="str">
        <x:v>农用地</x:v>
      </x:c>
      <x:c r="F3012" s="22" t="str">
        <x:v>林地</x:v>
      </x:c>
      <x:c r="G3012" s="32" t="str">
        <x:v>0307K</x:v>
      </x:c>
      <x:c r="H3012" s="32" t="str">
        <x:v>0307</x:v>
      </x:c>
      <x:c r="I3012" s="22" t="str">
        <x:v>可调整其他林地</x:v>
      </x:c>
      <x:c r="J3012" s="22" t="str">
        <x:v>农业生态</x:v>
      </x:c>
      <x:c r="K3012" s="32" t="str"/>
      <x:c r="L3012" s="22" t="str">
        <x:v>不适用/未标注</x:v>
      </x:c>
      <x:c r="M3012" s="33" t="n">
        <x:v>10252.119999999999</x:v>
      </x:c>
      <x:c r="N3012" s="33" t="n">
        <x:v>1.0252119999999998</x:v>
      </x:c>
      <x:c r="O3012" s="22" t="str">
        <x:v>公顷</x:v>
      </x:c>
      <x:c r="P3012" s="22" t="str">
        <x:v>未提供（单期横截面）</x:v>
      </x:c>
      <x:c r="Q3012" s="23" t="n">
        <x:v>5991</x:v>
      </x:c>
    </x:row>
    <x:row r="3013">
      <x:c r="A3013" s="30" t="n">
        <x:v>350600</x:v>
      </x:c>
      <x:c r="B3013" s="22" t="str">
        <x:v>漳州市</x:v>
      </x:c>
      <x:c r="C3013" s="31" t="n">
        <x:v>350681</x:v>
      </x:c>
      <x:c r="D3013" s="22" t="str">
        <x:v>龙海区</x:v>
      </x:c>
      <x:c r="E3013" s="22" t="str">
        <x:v>农用地</x:v>
      </x:c>
      <x:c r="F3013" s="22" t="str">
        <x:v>其他农用地</x:v>
      </x:c>
      <x:c r="G3013" s="32" t="str">
        <x:v>1006</x:v>
      </x:c>
      <x:c r="H3013" s="32" t="str">
        <x:v>1006</x:v>
      </x:c>
      <x:c r="I3013" s="22" t="str">
        <x:v>农村道路</x:v>
      </x:c>
      <x:c r="J3013" s="22" t="str">
        <x:v>农业生态</x:v>
      </x:c>
      <x:c r="K3013" s="32" t="str"/>
      <x:c r="L3013" s="22" t="str">
        <x:v>不适用/未标注</x:v>
      </x:c>
      <x:c r="M3013" s="33" t="n">
        <x:v>10564304.669999983</x:v>
      </x:c>
      <x:c r="N3013" s="33" t="n">
        <x:v>1056.4304669999983</x:v>
      </x:c>
      <x:c r="O3013" s="22" t="str">
        <x:v>公顷</x:v>
      </x:c>
      <x:c r="P3013" s="22" t="str">
        <x:v>未提供（单期横截面）</x:v>
      </x:c>
      <x:c r="Q3013" s="23" t="n">
        <x:v>5992</x:v>
      </x:c>
    </x:row>
    <x:row r="3014">
      <x:c r="A3014" s="30" t="n">
        <x:v>350600</x:v>
      </x:c>
      <x:c r="B3014" s="22" t="str">
        <x:v>漳州市</x:v>
      </x:c>
      <x:c r="C3014" s="31" t="n">
        <x:v>350681</x:v>
      </x:c>
      <x:c r="D3014" s="22" t="str">
        <x:v>龙海区</x:v>
      </x:c>
      <x:c r="E3014" s="22" t="str">
        <x:v>农用地</x:v>
      </x:c>
      <x:c r="F3014" s="22" t="str">
        <x:v>水域及水利设施</x:v>
      </x:c>
      <x:c r="G3014" s="32" t="str">
        <x:v>1103</x:v>
      </x:c>
      <x:c r="H3014" s="32" t="str">
        <x:v>1103</x:v>
      </x:c>
      <x:c r="I3014" s="22" t="str">
        <x:v>水库水面</x:v>
      </x:c>
      <x:c r="J3014" s="22" t="str">
        <x:v>农业生态</x:v>
      </x:c>
      <x:c r="K3014" s="32" t="str"/>
      <x:c r="L3014" s="22" t="str">
        <x:v>不适用/未标注</x:v>
      </x:c>
      <x:c r="M3014" s="33" t="n">
        <x:v>6745408.649999999</x:v>
      </x:c>
      <x:c r="N3014" s="33" t="n">
        <x:v>674.5408649999999</x:v>
      </x:c>
      <x:c r="O3014" s="22" t="str">
        <x:v>公顷</x:v>
      </x:c>
      <x:c r="P3014" s="22" t="str">
        <x:v>未提供（单期横截面）</x:v>
      </x:c>
      <x:c r="Q3014" s="23" t="n">
        <x:v>5993</x:v>
      </x:c>
    </x:row>
    <x:row r="3015">
      <x:c r="A3015" s="30" t="n">
        <x:v>350600</x:v>
      </x:c>
      <x:c r="B3015" s="22" t="str">
        <x:v>漳州市</x:v>
      </x:c>
      <x:c r="C3015" s="31" t="n">
        <x:v>350681</x:v>
      </x:c>
      <x:c r="D3015" s="22" t="str">
        <x:v>龙海区</x:v>
      </x:c>
      <x:c r="E3015" s="22" t="str">
        <x:v>农用地</x:v>
      </x:c>
      <x:c r="F3015" s="22" t="str">
        <x:v>水域及水利设施</x:v>
      </x:c>
      <x:c r="G3015" s="32" t="str">
        <x:v>1104</x:v>
      </x:c>
      <x:c r="H3015" s="32" t="str">
        <x:v>1104</x:v>
      </x:c>
      <x:c r="I3015" s="22" t="str">
        <x:v>坑塘水面</x:v>
      </x:c>
      <x:c r="J3015" s="22" t="str">
        <x:v>农业生态</x:v>
      </x:c>
      <x:c r="K3015" s="32" t="str"/>
      <x:c r="L3015" s="22" t="str">
        <x:v>不适用/未标注</x:v>
      </x:c>
      <x:c r="M3015" s="33" t="n">
        <x:v>14185360.040000001</x:v>
      </x:c>
      <x:c r="N3015" s="33" t="n">
        <x:v>1418.536004</x:v>
      </x:c>
      <x:c r="O3015" s="22" t="str">
        <x:v>公顷</x:v>
      </x:c>
      <x:c r="P3015" s="22" t="str">
        <x:v>未提供（单期横截面）</x:v>
      </x:c>
      <x:c r="Q3015" s="23" t="n">
        <x:v>5994</x:v>
      </x:c>
    </x:row>
    <x:row r="3016">
      <x:c r="A3016" s="30" t="n">
        <x:v>350600</x:v>
      </x:c>
      <x:c r="B3016" s="22" t="str">
        <x:v>漳州市</x:v>
      </x:c>
      <x:c r="C3016" s="31" t="n">
        <x:v>350681</x:v>
      </x:c>
      <x:c r="D3016" s="22" t="str">
        <x:v>龙海区</x:v>
      </x:c>
      <x:c r="E3016" s="22" t="str">
        <x:v>农用地</x:v>
      </x:c>
      <x:c r="F3016" s="22" t="str">
        <x:v>水域及水利设施</x:v>
      </x:c>
      <x:c r="G3016" s="32" t="str">
        <x:v>1104A</x:v>
      </x:c>
      <x:c r="H3016" s="32" t="str">
        <x:v>1104</x:v>
      </x:c>
      <x:c r="I3016" s="22" t="str">
        <x:v>养殖坑塘</x:v>
      </x:c>
      <x:c r="J3016" s="22" t="str">
        <x:v>农业生态</x:v>
      </x:c>
      <x:c r="K3016" s="32" t="str"/>
      <x:c r="L3016" s="22" t="str">
        <x:v>不适用/未标注</x:v>
      </x:c>
      <x:c r="M3016" s="33" t="n">
        <x:v>60348690.290000014</x:v>
      </x:c>
      <x:c r="N3016" s="33" t="n">
        <x:v>6034.869029000001</x:v>
      </x:c>
      <x:c r="O3016" s="22" t="str">
        <x:v>公顷</x:v>
      </x:c>
      <x:c r="P3016" s="22" t="str">
        <x:v>未提供（单期横截面）</x:v>
      </x:c>
      <x:c r="Q3016" s="23" t="n">
        <x:v>5995</x:v>
      </x:c>
    </x:row>
    <x:row r="3017">
      <x:c r="A3017" s="30" t="n">
        <x:v>350600</x:v>
      </x:c>
      <x:c r="B3017" s="22" t="str">
        <x:v>漳州市</x:v>
      </x:c>
      <x:c r="C3017" s="31" t="n">
        <x:v>350681</x:v>
      </x:c>
      <x:c r="D3017" s="22" t="str">
        <x:v>龙海区</x:v>
      </x:c>
      <x:c r="E3017" s="22" t="str">
        <x:v>农用地</x:v>
      </x:c>
      <x:c r="F3017" s="22" t="str">
        <x:v>水域及水利设施</x:v>
      </x:c>
      <x:c r="G3017" s="32" t="str">
        <x:v>1104K</x:v>
      </x:c>
      <x:c r="H3017" s="32" t="str">
        <x:v>1104</x:v>
      </x:c>
      <x:c r="I3017" s="22" t="str">
        <x:v>可调整养殖坑塘</x:v>
      </x:c>
      <x:c r="J3017" s="22" t="str">
        <x:v>农业生态</x:v>
      </x:c>
      <x:c r="K3017" s="32" t="str"/>
      <x:c r="L3017" s="22" t="str">
        <x:v>不适用/未标注</x:v>
      </x:c>
      <x:c r="M3017" s="33" t="n">
        <x:v>3108759.5500000026</x:v>
      </x:c>
      <x:c r="N3017" s="33" t="n">
        <x:v>310.87595500000026</x:v>
      </x:c>
      <x:c r="O3017" s="22" t="str">
        <x:v>公顷</x:v>
      </x:c>
      <x:c r="P3017" s="22" t="str">
        <x:v>未提供（单期横截面）</x:v>
      </x:c>
      <x:c r="Q3017" s="23" t="n">
        <x:v>5996</x:v>
      </x:c>
    </x:row>
    <x:row r="3018">
      <x:c r="A3018" s="30" t="n">
        <x:v>350600</x:v>
      </x:c>
      <x:c r="B3018" s="22" t="str">
        <x:v>漳州市</x:v>
      </x:c>
      <x:c r="C3018" s="31" t="n">
        <x:v>350681</x:v>
      </x:c>
      <x:c r="D3018" s="22" t="str">
        <x:v>龙海区</x:v>
      </x:c>
      <x:c r="E3018" s="22" t="str">
        <x:v>农用地</x:v>
      </x:c>
      <x:c r="F3018" s="22" t="str">
        <x:v>水域及水利设施</x:v>
      </x:c>
      <x:c r="G3018" s="32" t="str">
        <x:v>1107</x:v>
      </x:c>
      <x:c r="H3018" s="32" t="str">
        <x:v>1107</x:v>
      </x:c>
      <x:c r="I3018" s="22" t="str">
        <x:v>沟渠</x:v>
      </x:c>
      <x:c r="J3018" s="22" t="str">
        <x:v>农业生态</x:v>
      </x:c>
      <x:c r="K3018" s="32" t="str"/>
      <x:c r="L3018" s="22" t="str">
        <x:v>不适用/未标注</x:v>
      </x:c>
      <x:c r="M3018" s="33" t="n">
        <x:v>3816975.609999998</x:v>
      </x:c>
      <x:c r="N3018" s="33" t="n">
        <x:v>381.6975609999998</x:v>
      </x:c>
      <x:c r="O3018" s="22" t="str">
        <x:v>公顷</x:v>
      </x:c>
      <x:c r="P3018" s="22" t="str">
        <x:v>未提供（单期横截面）</x:v>
      </x:c>
      <x:c r="Q3018" s="23" t="n">
        <x:v>5997</x:v>
      </x:c>
    </x:row>
    <x:row r="3019">
      <x:c r="A3019" s="30" t="n">
        <x:v>350600</x:v>
      </x:c>
      <x:c r="B3019" s="22" t="str">
        <x:v>漳州市</x:v>
      </x:c>
      <x:c r="C3019" s="31" t="n">
        <x:v>350681</x:v>
      </x:c>
      <x:c r="D3019" s="22" t="str">
        <x:v>龙海区</x:v>
      </x:c>
      <x:c r="E3019" s="22" t="str">
        <x:v>农用地</x:v>
      </x:c>
      <x:c r="F3019" s="22" t="str">
        <x:v>水域及水利设施</x:v>
      </x:c>
      <x:c r="G3019" s="32" t="str">
        <x:v>1107A</x:v>
      </x:c>
      <x:c r="H3019" s="32" t="str">
        <x:v>1107</x:v>
      </x:c>
      <x:c r="I3019" s="22" t="str">
        <x:v>干渠</x:v>
      </x:c>
      <x:c r="J3019" s="22" t="str">
        <x:v>农业生态</x:v>
      </x:c>
      <x:c r="K3019" s="32" t="str"/>
      <x:c r="L3019" s="22" t="str">
        <x:v>不适用/未标注</x:v>
      </x:c>
      <x:c r="M3019" s="33" t="n">
        <x:v>47405.33</x:v>
      </x:c>
      <x:c r="N3019" s="33" t="n">
        <x:v>4.740533</x:v>
      </x:c>
      <x:c r="O3019" s="22" t="str">
        <x:v>公顷</x:v>
      </x:c>
      <x:c r="P3019" s="22" t="str">
        <x:v>未提供（单期横截面）</x:v>
      </x:c>
      <x:c r="Q3019" s="23" t="n">
        <x:v>5998</x:v>
      </x:c>
    </x:row>
    <x:row r="3020">
      <x:c r="A3020" s="30" t="n">
        <x:v>350600</x:v>
      </x:c>
      <x:c r="B3020" s="22" t="str">
        <x:v>漳州市</x:v>
      </x:c>
      <x:c r="C3020" s="31" t="n">
        <x:v>350681</x:v>
      </x:c>
      <x:c r="D3020" s="22" t="str">
        <x:v>龙海区</x:v>
      </x:c>
      <x:c r="E3020" s="22" t="str">
        <x:v>农用地</x:v>
      </x:c>
      <x:c r="F3020" s="22" t="str">
        <x:v>其他农用地</x:v>
      </x:c>
      <x:c r="G3020" s="32" t="str">
        <x:v>1202</x:v>
      </x:c>
      <x:c r="H3020" s="32" t="str">
        <x:v>1202</x:v>
      </x:c>
      <x:c r="I3020" s="22" t="str">
        <x:v>设施农用地</x:v>
      </x:c>
      <x:c r="J3020" s="22" t="str">
        <x:v>农业生态</x:v>
      </x:c>
      <x:c r="K3020" s="32" t="str"/>
      <x:c r="L3020" s="22" t="str">
        <x:v>不适用/未标注</x:v>
      </x:c>
      <x:c r="M3020" s="33" t="n">
        <x:v>13256081.43000002</x:v>
      </x:c>
      <x:c r="N3020" s="33" t="n">
        <x:v>1325.608143000002</x:v>
      </x:c>
      <x:c r="O3020" s="22" t="str">
        <x:v>公顷</x:v>
      </x:c>
      <x:c r="P3020" s="22" t="str">
        <x:v>未提供（单期横截面）</x:v>
      </x:c>
      <x:c r="Q3020" s="23" t="n">
        <x:v>5999</x:v>
      </x:c>
    </x:row>
    <x:row r="3021">
      <x:c r="A3021" s="30" t="n">
        <x:v>350600</x:v>
      </x:c>
      <x:c r="B3021" s="22" t="str">
        <x:v>漳州市</x:v>
      </x:c>
      <x:c r="C3021" s="31" t="n">
        <x:v>350681</x:v>
      </x:c>
      <x:c r="D3021" s="22" t="str">
        <x:v>龙海区</x:v>
      </x:c>
      <x:c r="E3021" s="22" t="str">
        <x:v>农用地</x:v>
      </x:c>
      <x:c r="F3021" s="22" t="str">
        <x:v>耕地</x:v>
      </x:c>
      <x:c r="G3021" s="32" t="str">
        <x:v>101</x:v>
      </x:c>
      <x:c r="H3021" s="32" t="str">
        <x:v>101</x:v>
      </x:c>
      <x:c r="I3021" s="22" t="str">
        <x:v>水田</x:v>
      </x:c>
      <x:c r="J3021" s="22" t="str">
        <x:v>农业生态</x:v>
      </x:c>
      <x:c r="K3021" s="32" t="str">
        <x:v>201</x:v>
      </x:c>
      <x:c r="L3021" s="22" t="str">
        <x:v>城市范围</x:v>
      </x:c>
      <x:c r="M3021" s="33" t="n">
        <x:v>14606.11</x:v>
      </x:c>
      <x:c r="N3021" s="33" t="n">
        <x:v>1.460611</x:v>
      </x:c>
      <x:c r="O3021" s="22" t="str">
        <x:v>公顷</x:v>
      </x:c>
      <x:c r="P3021" s="22" t="str">
        <x:v>未提供（单期横截面）</x:v>
      </x:c>
      <x:c r="Q3021" s="23" t="n">
        <x:v>6000</x:v>
      </x:c>
    </x:row>
    <x:row r="3022">
      <x:c r="A3022" s="30" t="n">
        <x:v>350600</x:v>
      </x:c>
      <x:c r="B3022" s="22" t="str">
        <x:v>漳州市</x:v>
      </x:c>
      <x:c r="C3022" s="31" t="n">
        <x:v>350681</x:v>
      </x:c>
      <x:c r="D3022" s="22" t="str">
        <x:v>龙海区</x:v>
      </x:c>
      <x:c r="E3022" s="22" t="str">
        <x:v>农用地</x:v>
      </x:c>
      <x:c r="F3022" s="22" t="str">
        <x:v>园地</x:v>
      </x:c>
      <x:c r="G3022" s="32" t="str">
        <x:v>201</x:v>
      </x:c>
      <x:c r="H3022" s="32" t="str">
        <x:v>201</x:v>
      </x:c>
      <x:c r="I3022" s="22" t="str">
        <x:v>果园</x:v>
      </x:c>
      <x:c r="J3022" s="22" t="str">
        <x:v>农业生态</x:v>
      </x:c>
      <x:c r="K3022" s="32" t="str">
        <x:v>201</x:v>
      </x:c>
      <x:c r="L3022" s="22" t="str">
        <x:v>城市范围</x:v>
      </x:c>
      <x:c r="M3022" s="33" t="n">
        <x:v>25842.429999999997</x:v>
      </x:c>
      <x:c r="N3022" s="33" t="n">
        <x:v>2.584243</x:v>
      </x:c>
      <x:c r="O3022" s="22" t="str">
        <x:v>公顷</x:v>
      </x:c>
      <x:c r="P3022" s="22" t="str">
        <x:v>未提供（单期横截面）</x:v>
      </x:c>
      <x:c r="Q3022" s="23" t="n">
        <x:v>6001</x:v>
      </x:c>
    </x:row>
    <x:row r="3023">
      <x:c r="A3023" s="30" t="n">
        <x:v>350600</x:v>
      </x:c>
      <x:c r="B3023" s="22" t="str">
        <x:v>漳州市</x:v>
      </x:c>
      <x:c r="C3023" s="31" t="n">
        <x:v>350681</x:v>
      </x:c>
      <x:c r="D3023" s="22" t="str">
        <x:v>龙海区</x:v>
      </x:c>
      <x:c r="E3023" s="22" t="str">
        <x:v>农用地</x:v>
      </x:c>
      <x:c r="F3023" s="22" t="str">
        <x:v>园地</x:v>
      </x:c>
      <x:c r="G3023" s="32" t="str">
        <x:v>204</x:v>
      </x:c>
      <x:c r="H3023" s="32" t="str">
        <x:v>204</x:v>
      </x:c>
      <x:c r="I3023" s="22" t="str">
        <x:v>其他园地</x:v>
      </x:c>
      <x:c r="J3023" s="22" t="str">
        <x:v>农业生态</x:v>
      </x:c>
      <x:c r="K3023" s="32" t="str">
        <x:v>201</x:v>
      </x:c>
      <x:c r="L3023" s="22" t="str">
        <x:v>城市范围</x:v>
      </x:c>
      <x:c r="M3023" s="33" t="n">
        <x:v>447.67</x:v>
      </x:c>
      <x:c r="N3023" s="33" t="n">
        <x:v>0.044767</x:v>
      </x:c>
      <x:c r="O3023" s="22" t="str">
        <x:v>公顷</x:v>
      </x:c>
      <x:c r="P3023" s="22" t="str">
        <x:v>未提供（单期横截面）</x:v>
      </x:c>
      <x:c r="Q3023" s="23" t="n">
        <x:v>6002</x:v>
      </x:c>
    </x:row>
    <x:row r="3024">
      <x:c r="A3024" s="30" t="n">
        <x:v>350600</x:v>
      </x:c>
      <x:c r="B3024" s="22" t="str">
        <x:v>漳州市</x:v>
      </x:c>
      <x:c r="C3024" s="31" t="n">
        <x:v>350681</x:v>
      </x:c>
      <x:c r="D3024" s="22" t="str">
        <x:v>龙海区</x:v>
      </x:c>
      <x:c r="E3024" s="22" t="str">
        <x:v>农用地</x:v>
      </x:c>
      <x:c r="F3024" s="22" t="str">
        <x:v>林地</x:v>
      </x:c>
      <x:c r="G3024" s="32" t="str">
        <x:v>305</x:v>
      </x:c>
      <x:c r="H3024" s="32" t="str">
        <x:v>305</x:v>
      </x:c>
      <x:c r="I3024" s="22" t="str">
        <x:v>灌木林地</x:v>
      </x:c>
      <x:c r="J3024" s="22" t="str">
        <x:v>农业生态</x:v>
      </x:c>
      <x:c r="K3024" s="32" t="str">
        <x:v>201</x:v>
      </x:c>
      <x:c r="L3024" s="22" t="str">
        <x:v>城市范围</x:v>
      </x:c>
      <x:c r="M3024" s="33" t="n">
        <x:v>1499.28</x:v>
      </x:c>
      <x:c r="N3024" s="33" t="n">
        <x:v>0.149928</x:v>
      </x:c>
      <x:c r="O3024" s="22" t="str">
        <x:v>公顷</x:v>
      </x:c>
      <x:c r="P3024" s="22" t="str">
        <x:v>未提供（单期横截面）</x:v>
      </x:c>
      <x:c r="Q3024" s="23" t="n">
        <x:v>6003</x:v>
      </x:c>
    </x:row>
    <x:row r="3025">
      <x:c r="A3025" s="30" t="n">
        <x:v>350600</x:v>
      </x:c>
      <x:c r="B3025" s="22" t="str">
        <x:v>漳州市</x:v>
      </x:c>
      <x:c r="C3025" s="31" t="n">
        <x:v>350681</x:v>
      </x:c>
      <x:c r="D3025" s="22" t="str">
        <x:v>龙海区</x:v>
      </x:c>
      <x:c r="E3025" s="22" t="str">
        <x:v>农用地</x:v>
      </x:c>
      <x:c r="F3025" s="22" t="str">
        <x:v>林地</x:v>
      </x:c>
      <x:c r="G3025" s="32" t="str">
        <x:v>307</x:v>
      </x:c>
      <x:c r="H3025" s="32" t="str">
        <x:v>307</x:v>
      </x:c>
      <x:c r="I3025" s="22" t="str">
        <x:v>其他林地</x:v>
      </x:c>
      <x:c r="J3025" s="22" t="str">
        <x:v>农业生态</x:v>
      </x:c>
      <x:c r="K3025" s="32" t="str">
        <x:v>201</x:v>
      </x:c>
      <x:c r="L3025" s="22" t="str">
        <x:v>城市范围</x:v>
      </x:c>
      <x:c r="M3025" s="33" t="n">
        <x:v>14039.88</x:v>
      </x:c>
      <x:c r="N3025" s="33" t="n">
        <x:v>1.403988</x:v>
      </x:c>
      <x:c r="O3025" s="22" t="str">
        <x:v>公顷</x:v>
      </x:c>
      <x:c r="P3025" s="22" t="str">
        <x:v>未提供（单期横截面）</x:v>
      </x:c>
      <x:c r="Q3025" s="23" t="n">
        <x:v>6004</x:v>
      </x:c>
    </x:row>
    <x:row r="3026">
      <x:c r="A3026" s="30" t="n">
        <x:v>350600</x:v>
      </x:c>
      <x:c r="B3026" s="22" t="str">
        <x:v>漳州市</x:v>
      </x:c>
      <x:c r="C3026" s="31" t="n">
        <x:v>350681</x:v>
      </x:c>
      <x:c r="D3026" s="22" t="str">
        <x:v>龙海区</x:v>
      </x:c>
      <x:c r="E3026" s="22" t="str">
        <x:v>农用地</x:v>
      </x:c>
      <x:c r="F3026" s="22" t="str">
        <x:v>水域及水利设施</x:v>
      </x:c>
      <x:c r="G3026" s="32" t="str">
        <x:v>1104</x:v>
      </x:c>
      <x:c r="H3026" s="32" t="str">
        <x:v>1104</x:v>
      </x:c>
      <x:c r="I3026" s="22" t="str">
        <x:v>坑塘水面</x:v>
      </x:c>
      <x:c r="J3026" s="22" t="str">
        <x:v>农业生态</x:v>
      </x:c>
      <x:c r="K3026" s="32" t="str">
        <x:v>201</x:v>
      </x:c>
      <x:c r="L3026" s="22" t="str">
        <x:v>城市范围</x:v>
      </x:c>
      <x:c r="M3026" s="33" t="n">
        <x:v>5244.54</x:v>
      </x:c>
      <x:c r="N3026" s="33" t="n">
        <x:v>0.524454</x:v>
      </x:c>
      <x:c r="O3026" s="22" t="str">
        <x:v>公顷</x:v>
      </x:c>
      <x:c r="P3026" s="22" t="str">
        <x:v>未提供（单期横截面）</x:v>
      </x:c>
      <x:c r="Q3026" s="23" t="n">
        <x:v>6005</x:v>
      </x:c>
    </x:row>
    <x:row r="3027">
      <x:c r="A3027" s="30" t="n">
        <x:v>350600</x:v>
      </x:c>
      <x:c r="B3027" s="22" t="str">
        <x:v>漳州市</x:v>
      </x:c>
      <x:c r="C3027" s="31" t="n">
        <x:v>350681</x:v>
      </x:c>
      <x:c r="D3027" s="22" t="str">
        <x:v>龙海区</x:v>
      </x:c>
      <x:c r="E3027" s="22" t="str">
        <x:v>农用地</x:v>
      </x:c>
      <x:c r="F3027" s="22" t="str">
        <x:v>水域及水利设施</x:v>
      </x:c>
      <x:c r="G3027" s="32" t="str">
        <x:v>1107</x:v>
      </x:c>
      <x:c r="H3027" s="32" t="str">
        <x:v>1107</x:v>
      </x:c>
      <x:c r="I3027" s="22" t="str">
        <x:v>沟渠</x:v>
      </x:c>
      <x:c r="J3027" s="22" t="str">
        <x:v>农业生态</x:v>
      </x:c>
      <x:c r="K3027" s="32" t="str">
        <x:v>201</x:v>
      </x:c>
      <x:c r="L3027" s="22" t="str">
        <x:v>城市范围</x:v>
      </x:c>
      <x:c r="M3027" s="33" t="n">
        <x:v>619.32</x:v>
      </x:c>
      <x:c r="N3027" s="33" t="n">
        <x:v>0.06193200000000001</x:v>
      </x:c>
      <x:c r="O3027" s="22" t="str">
        <x:v>公顷</x:v>
      </x:c>
      <x:c r="P3027" s="22" t="str">
        <x:v>未提供（单期横截面）</x:v>
      </x:c>
      <x:c r="Q3027" s="23" t="n">
        <x:v>6006</x:v>
      </x:c>
    </x:row>
    <x:row r="3028">
      <x:c r="A3028" s="30" t="n">
        <x:v>350600</x:v>
      </x:c>
      <x:c r="B3028" s="22" t="str">
        <x:v>漳州市</x:v>
      </x:c>
      <x:c r="C3028" s="31" t="n">
        <x:v>350681</x:v>
      </x:c>
      <x:c r="D3028" s="22" t="str">
        <x:v>龙海区</x:v>
      </x:c>
      <x:c r="E3028" s="22" t="str">
        <x:v>农用地</x:v>
      </x:c>
      <x:c r="F3028" s="22" t="str">
        <x:v>其他农用地</x:v>
      </x:c>
      <x:c r="G3028" s="32" t="str">
        <x:v>1202</x:v>
      </x:c>
      <x:c r="H3028" s="32" t="str">
        <x:v>1202</x:v>
      </x:c>
      <x:c r="I3028" s="22" t="str">
        <x:v>设施农用地</x:v>
      </x:c>
      <x:c r="J3028" s="22" t="str">
        <x:v>农业生态</x:v>
      </x:c>
      <x:c r="K3028" s="32" t="str">
        <x:v>201</x:v>
      </x:c>
      <x:c r="L3028" s="22" t="str">
        <x:v>城市范围</x:v>
      </x:c>
      <x:c r="M3028" s="33" t="n">
        <x:v>774.98</x:v>
      </x:c>
      <x:c r="N3028" s="33" t="n">
        <x:v>0.077498</x:v>
      </x:c>
      <x:c r="O3028" s="22" t="str">
        <x:v>公顷</x:v>
      </x:c>
      <x:c r="P3028" s="22" t="str">
        <x:v>未提供（单期横截面）</x:v>
      </x:c>
      <x:c r="Q3028" s="23" t="n">
        <x:v>6007</x:v>
      </x:c>
    </x:row>
    <x:row r="3029">
      <x:c r="A3029" s="30" t="n">
        <x:v>350600</x:v>
      </x:c>
      <x:c r="B3029" s="22" t="str">
        <x:v>漳州市</x:v>
      </x:c>
      <x:c r="C3029" s="31" t="n">
        <x:v>350681</x:v>
      </x:c>
      <x:c r="D3029" s="22" t="str">
        <x:v>龙海区</x:v>
      </x:c>
      <x:c r="E3029" s="22" t="str">
        <x:v>农用地</x:v>
      </x:c>
      <x:c r="F3029" s="22" t="str">
        <x:v>耕地</x:v>
      </x:c>
      <x:c r="G3029" s="32" t="str">
        <x:v>101</x:v>
      </x:c>
      <x:c r="H3029" s="32" t="str">
        <x:v>101</x:v>
      </x:c>
      <x:c r="I3029" s="22" t="str">
        <x:v>水田</x:v>
      </x:c>
      <x:c r="J3029" s="22" t="str">
        <x:v>农业生态</x:v>
      </x:c>
      <x:c r="K3029" s="32" t="str">
        <x:v>202</x:v>
      </x:c>
      <x:c r="L3029" s="22" t="str">
        <x:v>建制镇范围</x:v>
      </x:c>
      <x:c r="M3029" s="33" t="n">
        <x:v>883213.3999999996</x:v>
      </x:c>
      <x:c r="N3029" s="33" t="n">
        <x:v>88.32133999999995</x:v>
      </x:c>
      <x:c r="O3029" s="22" t="str">
        <x:v>公顷</x:v>
      </x:c>
      <x:c r="P3029" s="22" t="str">
        <x:v>未提供（单期横截面）</x:v>
      </x:c>
      <x:c r="Q3029" s="23" t="n">
        <x:v>6008</x:v>
      </x:c>
    </x:row>
    <x:row r="3030">
      <x:c r="A3030" s="30" t="n">
        <x:v>350600</x:v>
      </x:c>
      <x:c r="B3030" s="22" t="str">
        <x:v>漳州市</x:v>
      </x:c>
      <x:c r="C3030" s="31" t="n">
        <x:v>350681</x:v>
      </x:c>
      <x:c r="D3030" s="22" t="str">
        <x:v>龙海区</x:v>
      </x:c>
      <x:c r="E3030" s="22" t="str">
        <x:v>农用地</x:v>
      </x:c>
      <x:c r="F3030" s="22" t="str">
        <x:v>耕地</x:v>
      </x:c>
      <x:c r="G3030" s="32" t="str">
        <x:v>102</x:v>
      </x:c>
      <x:c r="H3030" s="32" t="str">
        <x:v>102</x:v>
      </x:c>
      <x:c r="I3030" s="22" t="str">
        <x:v>水浇地</x:v>
      </x:c>
      <x:c r="J3030" s="22" t="str">
        <x:v>农业生态</x:v>
      </x:c>
      <x:c r="K3030" s="32" t="str">
        <x:v>202</x:v>
      </x:c>
      <x:c r="L3030" s="22" t="str">
        <x:v>建制镇范围</x:v>
      </x:c>
      <x:c r="M3030" s="33" t="n">
        <x:v>1611.77</x:v>
      </x:c>
      <x:c r="N3030" s="33" t="n">
        <x:v>0.161177</x:v>
      </x:c>
      <x:c r="O3030" s="22" t="str">
        <x:v>公顷</x:v>
      </x:c>
      <x:c r="P3030" s="22" t="str">
        <x:v>未提供（单期横截面）</x:v>
      </x:c>
      <x:c r="Q3030" s="23" t="n">
        <x:v>6009</x:v>
      </x:c>
    </x:row>
    <x:row r="3031">
      <x:c r="A3031" s="30" t="n">
        <x:v>350600</x:v>
      </x:c>
      <x:c r="B3031" s="22" t="str">
        <x:v>漳州市</x:v>
      </x:c>
      <x:c r="C3031" s="31" t="n">
        <x:v>350681</x:v>
      </x:c>
      <x:c r="D3031" s="22" t="str">
        <x:v>龙海区</x:v>
      </x:c>
      <x:c r="E3031" s="22" t="str">
        <x:v>农用地</x:v>
      </x:c>
      <x:c r="F3031" s="22" t="str">
        <x:v>耕地</x:v>
      </x:c>
      <x:c r="G3031" s="32" t="str">
        <x:v>103</x:v>
      </x:c>
      <x:c r="H3031" s="32" t="str">
        <x:v>103</x:v>
      </x:c>
      <x:c r="I3031" s="22" t="str">
        <x:v>旱地</x:v>
      </x:c>
      <x:c r="J3031" s="22" t="str">
        <x:v>农业生态</x:v>
      </x:c>
      <x:c r="K3031" s="32" t="str">
        <x:v>202</x:v>
      </x:c>
      <x:c r="L3031" s="22" t="str">
        <x:v>建制镇范围</x:v>
      </x:c>
      <x:c r="M3031" s="33" t="n">
        <x:v>238584.6799999999</x:v>
      </x:c>
      <x:c r="N3031" s="33" t="n">
        <x:v>23.85846799999999</x:v>
      </x:c>
      <x:c r="O3031" s="22" t="str">
        <x:v>公顷</x:v>
      </x:c>
      <x:c r="P3031" s="22" t="str">
        <x:v>未提供（单期横截面）</x:v>
      </x:c>
      <x:c r="Q3031" s="23" t="n">
        <x:v>6010</x:v>
      </x:c>
    </x:row>
    <x:row r="3032">
      <x:c r="A3032" s="30" t="n">
        <x:v>350600</x:v>
      </x:c>
      <x:c r="B3032" s="22" t="str">
        <x:v>漳州市</x:v>
      </x:c>
      <x:c r="C3032" s="31" t="n">
        <x:v>350681</x:v>
      </x:c>
      <x:c r="D3032" s="22" t="str">
        <x:v>龙海区</x:v>
      </x:c>
      <x:c r="E3032" s="22" t="str">
        <x:v>农用地</x:v>
      </x:c>
      <x:c r="F3032" s="22" t="str">
        <x:v>园地</x:v>
      </x:c>
      <x:c r="G3032" s="32" t="str">
        <x:v>201</x:v>
      </x:c>
      <x:c r="H3032" s="32" t="str">
        <x:v>201</x:v>
      </x:c>
      <x:c r="I3032" s="22" t="str">
        <x:v>果园</x:v>
      </x:c>
      <x:c r="J3032" s="22" t="str">
        <x:v>农业生态</x:v>
      </x:c>
      <x:c r="K3032" s="32" t="str">
        <x:v>202</x:v>
      </x:c>
      <x:c r="L3032" s="22" t="str">
        <x:v>建制镇范围</x:v>
      </x:c>
      <x:c r="M3032" s="33" t="n">
        <x:v>599700.6200000001</x:v>
      </x:c>
      <x:c r="N3032" s="33" t="n">
        <x:v>59.97006200000001</x:v>
      </x:c>
      <x:c r="O3032" s="22" t="str">
        <x:v>公顷</x:v>
      </x:c>
      <x:c r="P3032" s="22" t="str">
        <x:v>未提供（单期横截面）</x:v>
      </x:c>
      <x:c r="Q3032" s="23" t="n">
        <x:v>6011</x:v>
      </x:c>
    </x:row>
    <x:row r="3033">
      <x:c r="A3033" s="30" t="n">
        <x:v>350600</x:v>
      </x:c>
      <x:c r="B3033" s="22" t="str">
        <x:v>漳州市</x:v>
      </x:c>
      <x:c r="C3033" s="31" t="n">
        <x:v>350681</x:v>
      </x:c>
      <x:c r="D3033" s="22" t="str">
        <x:v>龙海区</x:v>
      </x:c>
      <x:c r="E3033" s="22" t="str">
        <x:v>农用地</x:v>
      </x:c>
      <x:c r="F3033" s="22" t="str">
        <x:v>园地</x:v>
      </x:c>
      <x:c r="G3033" s="32" t="str">
        <x:v>0201K</x:v>
      </x:c>
      <x:c r="H3033" s="32" t="str">
        <x:v>201</x:v>
      </x:c>
      <x:c r="I3033" s="22" t="str">
        <x:v>可调整果园</x:v>
      </x:c>
      <x:c r="J3033" s="22" t="str">
        <x:v>农业生态</x:v>
      </x:c>
      <x:c r="K3033" s="32" t="str">
        <x:v>202</x:v>
      </x:c>
      <x:c r="L3033" s="22" t="str">
        <x:v>建制镇范围</x:v>
      </x:c>
      <x:c r="M3033" s="33" t="n">
        <x:v>955.3599999999999</x:v>
      </x:c>
      <x:c r="N3033" s="33" t="n">
        <x:v>0.095536</x:v>
      </x:c>
      <x:c r="O3033" s="22" t="str">
        <x:v>公顷</x:v>
      </x:c>
      <x:c r="P3033" s="22" t="str">
        <x:v>未提供（单期横截面）</x:v>
      </x:c>
      <x:c r="Q3033" s="23" t="n">
        <x:v>6012</x:v>
      </x:c>
    </x:row>
    <x:row r="3034">
      <x:c r="A3034" s="30" t="n">
        <x:v>350600</x:v>
      </x:c>
      <x:c r="B3034" s="22" t="str">
        <x:v>漳州市</x:v>
      </x:c>
      <x:c r="C3034" s="31" t="n">
        <x:v>350681</x:v>
      </x:c>
      <x:c r="D3034" s="22" t="str">
        <x:v>龙海区</x:v>
      </x:c>
      <x:c r="E3034" s="22" t="str">
        <x:v>农用地</x:v>
      </x:c>
      <x:c r="F3034" s="22" t="str">
        <x:v>园地</x:v>
      </x:c>
      <x:c r="G3034" s="32" t="str">
        <x:v>204</x:v>
      </x:c>
      <x:c r="H3034" s="32" t="str">
        <x:v>204</x:v>
      </x:c>
      <x:c r="I3034" s="22" t="str">
        <x:v>其他园地</x:v>
      </x:c>
      <x:c r="J3034" s="22" t="str">
        <x:v>农业生态</x:v>
      </x:c>
      <x:c r="K3034" s="32" t="str">
        <x:v>202</x:v>
      </x:c>
      <x:c r="L3034" s="22" t="str">
        <x:v>建制镇范围</x:v>
      </x:c>
      <x:c r="M3034" s="33" t="n">
        <x:v>80424.81000000001</x:v>
      </x:c>
      <x:c r="N3034" s="33" t="n">
        <x:v>8.042481</x:v>
      </x:c>
      <x:c r="O3034" s="22" t="str">
        <x:v>公顷</x:v>
      </x:c>
      <x:c r="P3034" s="22" t="str">
        <x:v>未提供（单期横截面）</x:v>
      </x:c>
      <x:c r="Q3034" s="23" t="n">
        <x:v>6013</x:v>
      </x:c>
    </x:row>
    <x:row r="3035">
      <x:c r="A3035" s="30" t="n">
        <x:v>350600</x:v>
      </x:c>
      <x:c r="B3035" s="22" t="str">
        <x:v>漳州市</x:v>
      </x:c>
      <x:c r="C3035" s="31" t="n">
        <x:v>350681</x:v>
      </x:c>
      <x:c r="D3035" s="22" t="str">
        <x:v>龙海区</x:v>
      </x:c>
      <x:c r="E3035" s="22" t="str">
        <x:v>农用地</x:v>
      </x:c>
      <x:c r="F3035" s="22" t="str">
        <x:v>林地</x:v>
      </x:c>
      <x:c r="G3035" s="32" t="str">
        <x:v>301</x:v>
      </x:c>
      <x:c r="H3035" s="32" t="str">
        <x:v>301</x:v>
      </x:c>
      <x:c r="I3035" s="22" t="str">
        <x:v>乔木林地</x:v>
      </x:c>
      <x:c r="J3035" s="22" t="str">
        <x:v>农业生态</x:v>
      </x:c>
      <x:c r="K3035" s="32" t="str">
        <x:v>202</x:v>
      </x:c>
      <x:c r="L3035" s="22" t="str">
        <x:v>建制镇范围</x:v>
      </x:c>
      <x:c r="M3035" s="33" t="n">
        <x:v>147131.98</x:v>
      </x:c>
      <x:c r="N3035" s="33" t="n">
        <x:v>14.713198</x:v>
      </x:c>
      <x:c r="O3035" s="22" t="str">
        <x:v>公顷</x:v>
      </x:c>
      <x:c r="P3035" s="22" t="str">
        <x:v>未提供（单期横截面）</x:v>
      </x:c>
      <x:c r="Q3035" s="23" t="n">
        <x:v>6014</x:v>
      </x:c>
    </x:row>
    <x:row r="3036">
      <x:c r="A3036" s="30" t="n">
        <x:v>350600</x:v>
      </x:c>
      <x:c r="B3036" s="22" t="str">
        <x:v>漳州市</x:v>
      </x:c>
      <x:c r="C3036" s="31" t="n">
        <x:v>350681</x:v>
      </x:c>
      <x:c r="D3036" s="22" t="str">
        <x:v>龙海区</x:v>
      </x:c>
      <x:c r="E3036" s="22" t="str">
        <x:v>农用地</x:v>
      </x:c>
      <x:c r="F3036" s="22" t="str">
        <x:v>林地</x:v>
      </x:c>
      <x:c r="G3036" s="32" t="str">
        <x:v>302</x:v>
      </x:c>
      <x:c r="H3036" s="32" t="str">
        <x:v>302</x:v>
      </x:c>
      <x:c r="I3036" s="22" t="str">
        <x:v>竹林地</x:v>
      </x:c>
      <x:c r="J3036" s="22" t="str">
        <x:v>农业生态</x:v>
      </x:c>
      <x:c r="K3036" s="32" t="str">
        <x:v>202</x:v>
      </x:c>
      <x:c r="L3036" s="22" t="str">
        <x:v>建制镇范围</x:v>
      </x:c>
      <x:c r="M3036" s="33" t="n">
        <x:v>4431.29</x:v>
      </x:c>
      <x:c r="N3036" s="33" t="n">
        <x:v>0.443129</x:v>
      </x:c>
      <x:c r="O3036" s="22" t="str">
        <x:v>公顷</x:v>
      </x:c>
      <x:c r="P3036" s="22" t="str">
        <x:v>未提供（单期横截面）</x:v>
      </x:c>
      <x:c r="Q3036" s="23" t="n">
        <x:v>6015</x:v>
      </x:c>
    </x:row>
    <x:row r="3037">
      <x:c r="A3037" s="30" t="n">
        <x:v>350600</x:v>
      </x:c>
      <x:c r="B3037" s="22" t="str">
        <x:v>漳州市</x:v>
      </x:c>
      <x:c r="C3037" s="31" t="n">
        <x:v>350681</x:v>
      </x:c>
      <x:c r="D3037" s="22" t="str">
        <x:v>龙海区</x:v>
      </x:c>
      <x:c r="E3037" s="22" t="str">
        <x:v>农用地</x:v>
      </x:c>
      <x:c r="F3037" s="22" t="str">
        <x:v>林地</x:v>
      </x:c>
      <x:c r="G3037" s="32" t="str">
        <x:v>305</x:v>
      </x:c>
      <x:c r="H3037" s="32" t="str">
        <x:v>305</x:v>
      </x:c>
      <x:c r="I3037" s="22" t="str">
        <x:v>灌木林地</x:v>
      </x:c>
      <x:c r="J3037" s="22" t="str">
        <x:v>农业生态</x:v>
      </x:c>
      <x:c r="K3037" s="32" t="str">
        <x:v>202</x:v>
      </x:c>
      <x:c r="L3037" s="22" t="str">
        <x:v>建制镇范围</x:v>
      </x:c>
      <x:c r="M3037" s="33" t="n">
        <x:v>72987.27999999998</x:v>
      </x:c>
      <x:c r="N3037" s="33" t="n">
        <x:v>7.298727999999999</x:v>
      </x:c>
      <x:c r="O3037" s="22" t="str">
        <x:v>公顷</x:v>
      </x:c>
      <x:c r="P3037" s="22" t="str">
        <x:v>未提供（单期横截面）</x:v>
      </x:c>
      <x:c r="Q3037" s="23" t="n">
        <x:v>6016</x:v>
      </x:c>
    </x:row>
    <x:row r="3038">
      <x:c r="A3038" s="30" t="n">
        <x:v>350600</x:v>
      </x:c>
      <x:c r="B3038" s="22" t="str">
        <x:v>漳州市</x:v>
      </x:c>
      <x:c r="C3038" s="31" t="n">
        <x:v>350681</x:v>
      </x:c>
      <x:c r="D3038" s="22" t="str">
        <x:v>龙海区</x:v>
      </x:c>
      <x:c r="E3038" s="22" t="str">
        <x:v>农用地</x:v>
      </x:c>
      <x:c r="F3038" s="22" t="str">
        <x:v>林地</x:v>
      </x:c>
      <x:c r="G3038" s="32" t="str">
        <x:v>307</x:v>
      </x:c>
      <x:c r="H3038" s="32" t="str">
        <x:v>307</x:v>
      </x:c>
      <x:c r="I3038" s="22" t="str">
        <x:v>其他林地</x:v>
      </x:c>
      <x:c r="J3038" s="22" t="str">
        <x:v>农业生态</x:v>
      </x:c>
      <x:c r="K3038" s="32" t="str">
        <x:v>202</x:v>
      </x:c>
      <x:c r="L3038" s="22" t="str">
        <x:v>建制镇范围</x:v>
      </x:c>
      <x:c r="M3038" s="33" t="n">
        <x:v>208694.25</x:v>
      </x:c>
      <x:c r="N3038" s="33" t="n">
        <x:v>20.869425</x:v>
      </x:c>
      <x:c r="O3038" s="22" t="str">
        <x:v>公顷</x:v>
      </x:c>
      <x:c r="P3038" s="22" t="str">
        <x:v>未提供（单期横截面）</x:v>
      </x:c>
      <x:c r="Q3038" s="23" t="n">
        <x:v>6017</x:v>
      </x:c>
    </x:row>
    <x:row r="3039">
      <x:c r="A3039" s="30" t="n">
        <x:v>350600</x:v>
      </x:c>
      <x:c r="B3039" s="22" t="str">
        <x:v>漳州市</x:v>
      </x:c>
      <x:c r="C3039" s="31" t="n">
        <x:v>350681</x:v>
      </x:c>
      <x:c r="D3039" s="22" t="str">
        <x:v>龙海区</x:v>
      </x:c>
      <x:c r="E3039" s="22" t="str">
        <x:v>农用地</x:v>
      </x:c>
      <x:c r="F3039" s="22" t="str">
        <x:v>水域及水利设施</x:v>
      </x:c>
      <x:c r="G3039" s="32" t="str">
        <x:v>1104</x:v>
      </x:c>
      <x:c r="H3039" s="32" t="str">
        <x:v>1104</x:v>
      </x:c>
      <x:c r="I3039" s="22" t="str">
        <x:v>坑塘水面</x:v>
      </x:c>
      <x:c r="J3039" s="22" t="str">
        <x:v>农业生态</x:v>
      </x:c>
      <x:c r="K3039" s="32" t="str">
        <x:v>202</x:v>
      </x:c>
      <x:c r="L3039" s="22" t="str">
        <x:v>建制镇范围</x:v>
      </x:c>
      <x:c r="M3039" s="33" t="n">
        <x:v>272648.3400000001</x:v>
      </x:c>
      <x:c r="N3039" s="33" t="n">
        <x:v>27.264834000000008</x:v>
      </x:c>
      <x:c r="O3039" s="22" t="str">
        <x:v>公顷</x:v>
      </x:c>
      <x:c r="P3039" s="22" t="str">
        <x:v>未提供（单期横截面）</x:v>
      </x:c>
      <x:c r="Q3039" s="23" t="n">
        <x:v>6018</x:v>
      </x:c>
    </x:row>
    <x:row r="3040">
      <x:c r="A3040" s="30" t="n">
        <x:v>350600</x:v>
      </x:c>
      <x:c r="B3040" s="22" t="str">
        <x:v>漳州市</x:v>
      </x:c>
      <x:c r="C3040" s="31" t="n">
        <x:v>350681</x:v>
      </x:c>
      <x:c r="D3040" s="22" t="str">
        <x:v>龙海区</x:v>
      </x:c>
      <x:c r="E3040" s="22" t="str">
        <x:v>农用地</x:v>
      </x:c>
      <x:c r="F3040" s="22" t="str">
        <x:v>水域及水利设施</x:v>
      </x:c>
      <x:c r="G3040" s="32" t="str">
        <x:v>1104A</x:v>
      </x:c>
      <x:c r="H3040" s="32" t="str">
        <x:v>1104</x:v>
      </x:c>
      <x:c r="I3040" s="22" t="str">
        <x:v>养殖坑塘</x:v>
      </x:c>
      <x:c r="J3040" s="22" t="str">
        <x:v>农业生态</x:v>
      </x:c>
      <x:c r="K3040" s="32" t="str">
        <x:v>202</x:v>
      </x:c>
      <x:c r="L3040" s="22" t="str">
        <x:v>建制镇范围</x:v>
      </x:c>
      <x:c r="M3040" s="33" t="n">
        <x:v>16955.100000000002</x:v>
      </x:c>
      <x:c r="N3040" s="33" t="n">
        <x:v>1.6955100000000003</x:v>
      </x:c>
      <x:c r="O3040" s="22" t="str">
        <x:v>公顷</x:v>
      </x:c>
      <x:c r="P3040" s="22" t="str">
        <x:v>未提供（单期横截面）</x:v>
      </x:c>
      <x:c r="Q3040" s="23" t="n">
        <x:v>6019</x:v>
      </x:c>
    </x:row>
    <x:row r="3041">
      <x:c r="A3041" s="30" t="n">
        <x:v>350600</x:v>
      </x:c>
      <x:c r="B3041" s="22" t="str">
        <x:v>漳州市</x:v>
      </x:c>
      <x:c r="C3041" s="31" t="n">
        <x:v>350681</x:v>
      </x:c>
      <x:c r="D3041" s="22" t="str">
        <x:v>龙海区</x:v>
      </x:c>
      <x:c r="E3041" s="22" t="str">
        <x:v>农用地</x:v>
      </x:c>
      <x:c r="F3041" s="22" t="str">
        <x:v>水域及水利设施</x:v>
      </x:c>
      <x:c r="G3041" s="32" t="str">
        <x:v>1104K</x:v>
      </x:c>
      <x:c r="H3041" s="32" t="str">
        <x:v>1104</x:v>
      </x:c>
      <x:c r="I3041" s="22" t="str">
        <x:v>可调整养殖坑塘</x:v>
      </x:c>
      <x:c r="J3041" s="22" t="str">
        <x:v>农业生态</x:v>
      </x:c>
      <x:c r="K3041" s="32" t="str">
        <x:v>202</x:v>
      </x:c>
      <x:c r="L3041" s="22" t="str">
        <x:v>建制镇范围</x:v>
      </x:c>
      <x:c r="M3041" s="33" t="n">
        <x:v>586.14</x:v>
      </x:c>
      <x:c r="N3041" s="33" t="n">
        <x:v>0.058614</x:v>
      </x:c>
      <x:c r="O3041" s="22" t="str">
        <x:v>公顷</x:v>
      </x:c>
      <x:c r="P3041" s="22" t="str">
        <x:v>未提供（单期横截面）</x:v>
      </x:c>
      <x:c r="Q3041" s="23" t="n">
        <x:v>6020</x:v>
      </x:c>
    </x:row>
    <x:row r="3042">
      <x:c r="A3042" s="30" t="n">
        <x:v>350600</x:v>
      </x:c>
      <x:c r="B3042" s="22" t="str">
        <x:v>漳州市</x:v>
      </x:c>
      <x:c r="C3042" s="31" t="n">
        <x:v>350681</x:v>
      </x:c>
      <x:c r="D3042" s="22" t="str">
        <x:v>龙海区</x:v>
      </x:c>
      <x:c r="E3042" s="22" t="str">
        <x:v>农用地</x:v>
      </x:c>
      <x:c r="F3042" s="22" t="str">
        <x:v>水域及水利设施</x:v>
      </x:c>
      <x:c r="G3042" s="32" t="str">
        <x:v>1107</x:v>
      </x:c>
      <x:c r="H3042" s="32" t="str">
        <x:v>1107</x:v>
      </x:c>
      <x:c r="I3042" s="22" t="str">
        <x:v>沟渠</x:v>
      </x:c>
      <x:c r="J3042" s="22" t="str">
        <x:v>农业生态</x:v>
      </x:c>
      <x:c r="K3042" s="32" t="str">
        <x:v>202</x:v>
      </x:c>
      <x:c r="L3042" s="22" t="str">
        <x:v>建制镇范围</x:v>
      </x:c>
      <x:c r="M3042" s="33" t="n">
        <x:v>134037.73</x:v>
      </x:c>
      <x:c r="N3042" s="33" t="n">
        <x:v>13.403773000000001</x:v>
      </x:c>
      <x:c r="O3042" s="22" t="str">
        <x:v>公顷</x:v>
      </x:c>
      <x:c r="P3042" s="22" t="str">
        <x:v>未提供（单期横截面）</x:v>
      </x:c>
      <x:c r="Q3042" s="23" t="n">
        <x:v>6021</x:v>
      </x:c>
    </x:row>
    <x:row r="3043">
      <x:c r="A3043" s="30" t="n">
        <x:v>350600</x:v>
      </x:c>
      <x:c r="B3043" s="22" t="str">
        <x:v>漳州市</x:v>
      </x:c>
      <x:c r="C3043" s="31" t="n">
        <x:v>350681</x:v>
      </x:c>
      <x:c r="D3043" s="22" t="str">
        <x:v>龙海区</x:v>
      </x:c>
      <x:c r="E3043" s="22" t="str">
        <x:v>农用地</x:v>
      </x:c>
      <x:c r="F3043" s="22" t="str">
        <x:v>其他农用地</x:v>
      </x:c>
      <x:c r="G3043" s="32" t="str">
        <x:v>1202</x:v>
      </x:c>
      <x:c r="H3043" s="32" t="str">
        <x:v>1202</x:v>
      </x:c>
      <x:c r="I3043" s="22" t="str">
        <x:v>设施农用地</x:v>
      </x:c>
      <x:c r="J3043" s="22" t="str">
        <x:v>农业生态</x:v>
      </x:c>
      <x:c r="K3043" s="32" t="str">
        <x:v>202</x:v>
      </x:c>
      <x:c r="L3043" s="22" t="str">
        <x:v>建制镇范围</x:v>
      </x:c>
      <x:c r="M3043" s="33" t="n">
        <x:v>80198.14000000003</x:v>
      </x:c>
      <x:c r="N3043" s="33" t="n">
        <x:v>8.019814000000002</x:v>
      </x:c>
      <x:c r="O3043" s="22" t="str">
        <x:v>公顷</x:v>
      </x:c>
      <x:c r="P3043" s="22" t="str">
        <x:v>未提供（单期横截面）</x:v>
      </x:c>
      <x:c r="Q3043" s="23" t="n">
        <x:v>6022</x:v>
      </x:c>
    </x:row>
    <x:row r="3044">
      <x:c r="A3044" s="30" t="n">
        <x:v>350600</x:v>
      </x:c>
      <x:c r="B3044" s="22" t="str">
        <x:v>漳州市</x:v>
      </x:c>
      <x:c r="C3044" s="31" t="n">
        <x:v>350681</x:v>
      </x:c>
      <x:c r="D3044" s="22" t="str">
        <x:v>龙海区</x:v>
      </x:c>
      <x:c r="E3044" s="22" t="str">
        <x:v>农用地</x:v>
      </x:c>
      <x:c r="F3044" s="22" t="str">
        <x:v>耕地</x:v>
      </x:c>
      <x:c r="G3044" s="32" t="str">
        <x:v>101</x:v>
      </x:c>
      <x:c r="H3044" s="32" t="str">
        <x:v>101</x:v>
      </x:c>
      <x:c r="I3044" s="22" t="str">
        <x:v>水田</x:v>
      </x:c>
      <x:c r="J3044" s="22" t="str">
        <x:v>农业生态</x:v>
      </x:c>
      <x:c r="K3044" s="32" t="str">
        <x:v>203</x:v>
      </x:c>
      <x:c r="L3044" s="22" t="str">
        <x:v>村庄范围</x:v>
      </x:c>
      <x:c r="M3044" s="33" t="n">
        <x:v>971562.1900000002</x:v>
      </x:c>
      <x:c r="N3044" s="33" t="n">
        <x:v>97.15621900000002</x:v>
      </x:c>
      <x:c r="O3044" s="22" t="str">
        <x:v>公顷</x:v>
      </x:c>
      <x:c r="P3044" s="22" t="str">
        <x:v>未提供（单期横截面）</x:v>
      </x:c>
      <x:c r="Q3044" s="23" t="n">
        <x:v>6023</x:v>
      </x:c>
    </x:row>
    <x:row r="3045">
      <x:c r="A3045" s="30" t="n">
        <x:v>350600</x:v>
      </x:c>
      <x:c r="B3045" s="22" t="str">
        <x:v>漳州市</x:v>
      </x:c>
      <x:c r="C3045" s="31" t="n">
        <x:v>350681</x:v>
      </x:c>
      <x:c r="D3045" s="22" t="str">
        <x:v>龙海区</x:v>
      </x:c>
      <x:c r="E3045" s="22" t="str">
        <x:v>农用地</x:v>
      </x:c>
      <x:c r="F3045" s="22" t="str">
        <x:v>耕地</x:v>
      </x:c>
      <x:c r="G3045" s="32" t="str">
        <x:v>102</x:v>
      </x:c>
      <x:c r="H3045" s="32" t="str">
        <x:v>102</x:v>
      </x:c>
      <x:c r="I3045" s="22" t="str">
        <x:v>水浇地</x:v>
      </x:c>
      <x:c r="J3045" s="22" t="str">
        <x:v>农业生态</x:v>
      </x:c>
      <x:c r="K3045" s="32" t="str">
        <x:v>203</x:v>
      </x:c>
      <x:c r="L3045" s="22" t="str">
        <x:v>村庄范围</x:v>
      </x:c>
      <x:c r="M3045" s="33" t="n">
        <x:v>1385.84</x:v>
      </x:c>
      <x:c r="N3045" s="33" t="n">
        <x:v>0.13858399999999998</x:v>
      </x:c>
      <x:c r="O3045" s="22" t="str">
        <x:v>公顷</x:v>
      </x:c>
      <x:c r="P3045" s="22" t="str">
        <x:v>未提供（单期横截面）</x:v>
      </x:c>
      <x:c r="Q3045" s="23" t="n">
        <x:v>6024</x:v>
      </x:c>
    </x:row>
    <x:row r="3046">
      <x:c r="A3046" s="30" t="n">
        <x:v>350600</x:v>
      </x:c>
      <x:c r="B3046" s="22" t="str">
        <x:v>漳州市</x:v>
      </x:c>
      <x:c r="C3046" s="31" t="n">
        <x:v>350681</x:v>
      </x:c>
      <x:c r="D3046" s="22" t="str">
        <x:v>龙海区</x:v>
      </x:c>
      <x:c r="E3046" s="22" t="str">
        <x:v>农用地</x:v>
      </x:c>
      <x:c r="F3046" s="22" t="str">
        <x:v>耕地</x:v>
      </x:c>
      <x:c r="G3046" s="32" t="str">
        <x:v>103</x:v>
      </x:c>
      <x:c r="H3046" s="32" t="str">
        <x:v>103</x:v>
      </x:c>
      <x:c r="I3046" s="22" t="str">
        <x:v>旱地</x:v>
      </x:c>
      <x:c r="J3046" s="22" t="str">
        <x:v>农业生态</x:v>
      </x:c>
      <x:c r="K3046" s="32" t="str">
        <x:v>203</x:v>
      </x:c>
      <x:c r="L3046" s="22" t="str">
        <x:v>村庄范围</x:v>
      </x:c>
      <x:c r="M3046" s="33" t="n">
        <x:v>153441.68</x:v>
      </x:c>
      <x:c r="N3046" s="33" t="n">
        <x:v>15.344168</x:v>
      </x:c>
      <x:c r="O3046" s="22" t="str">
        <x:v>公顷</x:v>
      </x:c>
      <x:c r="P3046" s="22" t="str">
        <x:v>未提供（单期横截面）</x:v>
      </x:c>
      <x:c r="Q3046" s="23" t="n">
        <x:v>6025</x:v>
      </x:c>
    </x:row>
    <x:row r="3047">
      <x:c r="A3047" s="30" t="n">
        <x:v>350600</x:v>
      </x:c>
      <x:c r="B3047" s="22" t="str">
        <x:v>漳州市</x:v>
      </x:c>
      <x:c r="C3047" s="31" t="n">
        <x:v>350681</x:v>
      </x:c>
      <x:c r="D3047" s="22" t="str">
        <x:v>龙海区</x:v>
      </x:c>
      <x:c r="E3047" s="22" t="str">
        <x:v>农用地</x:v>
      </x:c>
      <x:c r="F3047" s="22" t="str">
        <x:v>园地</x:v>
      </x:c>
      <x:c r="G3047" s="32" t="str">
        <x:v>201</x:v>
      </x:c>
      <x:c r="H3047" s="32" t="str">
        <x:v>201</x:v>
      </x:c>
      <x:c r="I3047" s="22" t="str">
        <x:v>果园</x:v>
      </x:c>
      <x:c r="J3047" s="22" t="str">
        <x:v>农业生态</x:v>
      </x:c>
      <x:c r="K3047" s="32" t="str">
        <x:v>203</x:v>
      </x:c>
      <x:c r="L3047" s="22" t="str">
        <x:v>村庄范围</x:v>
      </x:c>
      <x:c r="M3047" s="33" t="n">
        <x:v>621920.39</x:v>
      </x:c>
      <x:c r="N3047" s="33" t="n">
        <x:v>62.192039</x:v>
      </x:c>
      <x:c r="O3047" s="22" t="str">
        <x:v>公顷</x:v>
      </x:c>
      <x:c r="P3047" s="22" t="str">
        <x:v>未提供（单期横截面）</x:v>
      </x:c>
      <x:c r="Q3047" s="23" t="n">
        <x:v>6026</x:v>
      </x:c>
    </x:row>
    <x:row r="3048">
      <x:c r="A3048" s="30" t="n">
        <x:v>350600</x:v>
      </x:c>
      <x:c r="B3048" s="22" t="str">
        <x:v>漳州市</x:v>
      </x:c>
      <x:c r="C3048" s="31" t="n">
        <x:v>350681</x:v>
      </x:c>
      <x:c r="D3048" s="22" t="str">
        <x:v>龙海区</x:v>
      </x:c>
      <x:c r="E3048" s="22" t="str">
        <x:v>农用地</x:v>
      </x:c>
      <x:c r="F3048" s="22" t="str">
        <x:v>园地</x:v>
      </x:c>
      <x:c r="G3048" s="32" t="str">
        <x:v>0201K</x:v>
      </x:c>
      <x:c r="H3048" s="32" t="str">
        <x:v>201</x:v>
      </x:c>
      <x:c r="I3048" s="22" t="str">
        <x:v>可调整果园</x:v>
      </x:c>
      <x:c r="J3048" s="22" t="str">
        <x:v>农业生态</x:v>
      </x:c>
      <x:c r="K3048" s="32" t="str">
        <x:v>203</x:v>
      </x:c>
      <x:c r="L3048" s="22" t="str">
        <x:v>村庄范围</x:v>
      </x:c>
      <x:c r="M3048" s="33" t="n">
        <x:v>5137.9800000000005</x:v>
      </x:c>
      <x:c r="N3048" s="33" t="n">
        <x:v>0.5137980000000001</x:v>
      </x:c>
      <x:c r="O3048" s="22" t="str">
        <x:v>公顷</x:v>
      </x:c>
      <x:c r="P3048" s="22" t="str">
        <x:v>未提供（单期横截面）</x:v>
      </x:c>
      <x:c r="Q3048" s="23" t="n">
        <x:v>6027</x:v>
      </x:c>
    </x:row>
    <x:row r="3049">
      <x:c r="A3049" s="30" t="n">
        <x:v>350600</x:v>
      </x:c>
      <x:c r="B3049" s="22" t="str">
        <x:v>漳州市</x:v>
      </x:c>
      <x:c r="C3049" s="31" t="n">
        <x:v>350681</x:v>
      </x:c>
      <x:c r="D3049" s="22" t="str">
        <x:v>龙海区</x:v>
      </x:c>
      <x:c r="E3049" s="22" t="str">
        <x:v>农用地</x:v>
      </x:c>
      <x:c r="F3049" s="22" t="str">
        <x:v>园地</x:v>
      </x:c>
      <x:c r="G3049" s="32" t="str">
        <x:v>204</x:v>
      </x:c>
      <x:c r="H3049" s="32" t="str">
        <x:v>204</x:v>
      </x:c>
      <x:c r="I3049" s="22" t="str">
        <x:v>其他园地</x:v>
      </x:c>
      <x:c r="J3049" s="22" t="str">
        <x:v>农业生态</x:v>
      </x:c>
      <x:c r="K3049" s="32" t="str">
        <x:v>203</x:v>
      </x:c>
      <x:c r="L3049" s="22" t="str">
        <x:v>村庄范围</x:v>
      </x:c>
      <x:c r="M3049" s="33" t="n">
        <x:v>108936.37999999996</x:v>
      </x:c>
      <x:c r="N3049" s="33" t="n">
        <x:v>10.893637999999996</x:v>
      </x:c>
      <x:c r="O3049" s="22" t="str">
        <x:v>公顷</x:v>
      </x:c>
      <x:c r="P3049" s="22" t="str">
        <x:v>未提供（单期横截面）</x:v>
      </x:c>
      <x:c r="Q3049" s="23" t="n">
        <x:v>6028</x:v>
      </x:c>
    </x:row>
    <x:row r="3050">
      <x:c r="A3050" s="30" t="n">
        <x:v>350600</x:v>
      </x:c>
      <x:c r="B3050" s="22" t="str">
        <x:v>漳州市</x:v>
      </x:c>
      <x:c r="C3050" s="31" t="n">
        <x:v>350681</x:v>
      </x:c>
      <x:c r="D3050" s="22" t="str">
        <x:v>龙海区</x:v>
      </x:c>
      <x:c r="E3050" s="22" t="str">
        <x:v>农用地</x:v>
      </x:c>
      <x:c r="F3050" s="22" t="str">
        <x:v>园地</x:v>
      </x:c>
      <x:c r="G3050" s="32" t="str">
        <x:v>0204K</x:v>
      </x:c>
      <x:c r="H3050" s="32" t="str">
        <x:v>0204</x:v>
      </x:c>
      <x:c r="I3050" s="22" t="str">
        <x:v>可调整其他园地</x:v>
      </x:c>
      <x:c r="J3050" s="22" t="str">
        <x:v>农业生态</x:v>
      </x:c>
      <x:c r="K3050" s="32" t="str">
        <x:v>203</x:v>
      </x:c>
      <x:c r="L3050" s="22" t="str">
        <x:v>村庄范围</x:v>
      </x:c>
      <x:c r="M3050" s="33" t="n">
        <x:v>558.81</x:v>
      </x:c>
      <x:c r="N3050" s="33" t="n">
        <x:v>0.05588099999999999</x:v>
      </x:c>
      <x:c r="O3050" s="22" t="str">
        <x:v>公顷</x:v>
      </x:c>
      <x:c r="P3050" s="22" t="str">
        <x:v>未提供（单期横截面）</x:v>
      </x:c>
      <x:c r="Q3050" s="23" t="n">
        <x:v>6029</x:v>
      </x:c>
    </x:row>
    <x:row r="3051">
      <x:c r="A3051" s="30" t="n">
        <x:v>350600</x:v>
      </x:c>
      <x:c r="B3051" s="22" t="str">
        <x:v>漳州市</x:v>
      </x:c>
      <x:c r="C3051" s="31" t="n">
        <x:v>350681</x:v>
      </x:c>
      <x:c r="D3051" s="22" t="str">
        <x:v>龙海区</x:v>
      </x:c>
      <x:c r="E3051" s="22" t="str">
        <x:v>农用地</x:v>
      </x:c>
      <x:c r="F3051" s="22" t="str">
        <x:v>林地</x:v>
      </x:c>
      <x:c r="G3051" s="32" t="str">
        <x:v>301</x:v>
      </x:c>
      <x:c r="H3051" s="32" t="str">
        <x:v>301</x:v>
      </x:c>
      <x:c r="I3051" s="22" t="str">
        <x:v>乔木林地</x:v>
      </x:c>
      <x:c r="J3051" s="22" t="str">
        <x:v>农业生态</x:v>
      </x:c>
      <x:c r="K3051" s="32" t="str">
        <x:v>203</x:v>
      </x:c>
      <x:c r="L3051" s="22" t="str">
        <x:v>村庄范围</x:v>
      </x:c>
      <x:c r="M3051" s="33" t="n">
        <x:v>205168.52999999997</x:v>
      </x:c>
      <x:c r="N3051" s="33" t="n">
        <x:v>20.516852999999998</x:v>
      </x:c>
      <x:c r="O3051" s="22" t="str">
        <x:v>公顷</x:v>
      </x:c>
      <x:c r="P3051" s="22" t="str">
        <x:v>未提供（单期横截面）</x:v>
      </x:c>
      <x:c r="Q3051" s="23" t="n">
        <x:v>6030</x:v>
      </x:c>
    </x:row>
    <x:row r="3052">
      <x:c r="A3052" s="30" t="n">
        <x:v>350600</x:v>
      </x:c>
      <x:c r="B3052" s="22" t="str">
        <x:v>漳州市</x:v>
      </x:c>
      <x:c r="C3052" s="31" t="n">
        <x:v>350681</x:v>
      </x:c>
      <x:c r="D3052" s="22" t="str">
        <x:v>龙海区</x:v>
      </x:c>
      <x:c r="E3052" s="22" t="str">
        <x:v>农用地</x:v>
      </x:c>
      <x:c r="F3052" s="22" t="str">
        <x:v>林地</x:v>
      </x:c>
      <x:c r="G3052" s="32" t="str">
        <x:v>302</x:v>
      </x:c>
      <x:c r="H3052" s="32" t="str">
        <x:v>302</x:v>
      </x:c>
      <x:c r="I3052" s="22" t="str">
        <x:v>竹林地</x:v>
      </x:c>
      <x:c r="J3052" s="22" t="str">
        <x:v>农业生态</x:v>
      </x:c>
      <x:c r="K3052" s="32" t="str">
        <x:v>203</x:v>
      </x:c>
      <x:c r="L3052" s="22" t="str">
        <x:v>村庄范围</x:v>
      </x:c>
      <x:c r="M3052" s="33" t="n">
        <x:v>3055.2200000000003</x:v>
      </x:c>
      <x:c r="N3052" s="33" t="n">
        <x:v>0.305522</x:v>
      </x:c>
      <x:c r="O3052" s="22" t="str">
        <x:v>公顷</x:v>
      </x:c>
      <x:c r="P3052" s="22" t="str">
        <x:v>未提供（单期横截面）</x:v>
      </x:c>
      <x:c r="Q3052" s="23" t="n">
        <x:v>6031</x:v>
      </x:c>
    </x:row>
    <x:row r="3053">
      <x:c r="A3053" s="30" t="n">
        <x:v>350600</x:v>
      </x:c>
      <x:c r="B3053" s="22" t="str">
        <x:v>漳州市</x:v>
      </x:c>
      <x:c r="C3053" s="31" t="n">
        <x:v>350681</x:v>
      </x:c>
      <x:c r="D3053" s="22" t="str">
        <x:v>龙海区</x:v>
      </x:c>
      <x:c r="E3053" s="22" t="str">
        <x:v>农用地</x:v>
      </x:c>
      <x:c r="F3053" s="22" t="str">
        <x:v>林地</x:v>
      </x:c>
      <x:c r="G3053" s="32" t="str">
        <x:v>305</x:v>
      </x:c>
      <x:c r="H3053" s="32" t="str">
        <x:v>305</x:v>
      </x:c>
      <x:c r="I3053" s="22" t="str">
        <x:v>灌木林地</x:v>
      </x:c>
      <x:c r="J3053" s="22" t="str">
        <x:v>农业生态</x:v>
      </x:c>
      <x:c r="K3053" s="32" t="str">
        <x:v>203</x:v>
      </x:c>
      <x:c r="L3053" s="22" t="str">
        <x:v>村庄范围</x:v>
      </x:c>
      <x:c r="M3053" s="33" t="n">
        <x:v>21629.08</x:v>
      </x:c>
      <x:c r="N3053" s="33" t="n">
        <x:v>2.1629080000000003</x:v>
      </x:c>
      <x:c r="O3053" s="22" t="str">
        <x:v>公顷</x:v>
      </x:c>
      <x:c r="P3053" s="22" t="str">
        <x:v>未提供（单期横截面）</x:v>
      </x:c>
      <x:c r="Q3053" s="23" t="n">
        <x:v>6032</x:v>
      </x:c>
    </x:row>
    <x:row r="3054">
      <x:c r="A3054" s="30" t="n">
        <x:v>350600</x:v>
      </x:c>
      <x:c r="B3054" s="22" t="str">
        <x:v>漳州市</x:v>
      </x:c>
      <x:c r="C3054" s="31" t="n">
        <x:v>350681</x:v>
      </x:c>
      <x:c r="D3054" s="22" t="str">
        <x:v>龙海区</x:v>
      </x:c>
      <x:c r="E3054" s="22" t="str">
        <x:v>农用地</x:v>
      </x:c>
      <x:c r="F3054" s="22" t="str">
        <x:v>林地</x:v>
      </x:c>
      <x:c r="G3054" s="32" t="str">
        <x:v>307</x:v>
      </x:c>
      <x:c r="H3054" s="32" t="str">
        <x:v>307</x:v>
      </x:c>
      <x:c r="I3054" s="22" t="str">
        <x:v>其他林地</x:v>
      </x:c>
      <x:c r="J3054" s="22" t="str">
        <x:v>农业生态</x:v>
      </x:c>
      <x:c r="K3054" s="32" t="str">
        <x:v>203</x:v>
      </x:c>
      <x:c r="L3054" s="22" t="str">
        <x:v>村庄范围</x:v>
      </x:c>
      <x:c r="M3054" s="33" t="n">
        <x:v>62122.65999999999</x:v>
      </x:c>
      <x:c r="N3054" s="33" t="n">
        <x:v>6.212265999999999</x:v>
      </x:c>
      <x:c r="O3054" s="22" t="str">
        <x:v>公顷</x:v>
      </x:c>
      <x:c r="P3054" s="22" t="str">
        <x:v>未提供（单期横截面）</x:v>
      </x:c>
      <x:c r="Q3054" s="23" t="n">
        <x:v>6033</x:v>
      </x:c>
    </x:row>
    <x:row r="3055">
      <x:c r="A3055" s="30" t="n">
        <x:v>350600</x:v>
      </x:c>
      <x:c r="B3055" s="22" t="str">
        <x:v>漳州市</x:v>
      </x:c>
      <x:c r="C3055" s="31" t="n">
        <x:v>350681</x:v>
      </x:c>
      <x:c r="D3055" s="22" t="str">
        <x:v>龙海区</x:v>
      </x:c>
      <x:c r="E3055" s="22" t="str">
        <x:v>农用地</x:v>
      </x:c>
      <x:c r="F3055" s="22" t="str">
        <x:v>其他农用地</x:v>
      </x:c>
      <x:c r="G3055" s="32" t="str">
        <x:v>1006</x:v>
      </x:c>
      <x:c r="H3055" s="32" t="str">
        <x:v>1006</x:v>
      </x:c>
      <x:c r="I3055" s="22" t="str">
        <x:v>农村道路</x:v>
      </x:c>
      <x:c r="J3055" s="22" t="str">
        <x:v>农业生态</x:v>
      </x:c>
      <x:c r="K3055" s="32" t="str">
        <x:v>203</x:v>
      </x:c>
      <x:c r="L3055" s="22" t="str">
        <x:v>村庄范围</x:v>
      </x:c>
      <x:c r="M3055" s="33" t="n">
        <x:v>2727.75</x:v>
      </x:c>
      <x:c r="N3055" s="33" t="n">
        <x:v>0.272775</x:v>
      </x:c>
      <x:c r="O3055" s="22" t="str">
        <x:v>公顷</x:v>
      </x:c>
      <x:c r="P3055" s="22" t="str">
        <x:v>未提供（单期横截面）</x:v>
      </x:c>
      <x:c r="Q3055" s="23" t="n">
        <x:v>6034</x:v>
      </x:c>
    </x:row>
    <x:row r="3056">
      <x:c r="A3056" s="30" t="n">
        <x:v>350600</x:v>
      </x:c>
      <x:c r="B3056" s="22" t="str">
        <x:v>漳州市</x:v>
      </x:c>
      <x:c r="C3056" s="31" t="n">
        <x:v>350681</x:v>
      </x:c>
      <x:c r="D3056" s="22" t="str">
        <x:v>龙海区</x:v>
      </x:c>
      <x:c r="E3056" s="22" t="str">
        <x:v>农用地</x:v>
      </x:c>
      <x:c r="F3056" s="22" t="str">
        <x:v>水域及水利设施</x:v>
      </x:c>
      <x:c r="G3056" s="32" t="str">
        <x:v>1104</x:v>
      </x:c>
      <x:c r="H3056" s="32" t="str">
        <x:v>1104</x:v>
      </x:c>
      <x:c r="I3056" s="22" t="str">
        <x:v>坑塘水面</x:v>
      </x:c>
      <x:c r="J3056" s="22" t="str">
        <x:v>农业生态</x:v>
      </x:c>
      <x:c r="K3056" s="32" t="str">
        <x:v>203</x:v>
      </x:c>
      <x:c r="L3056" s="22" t="str">
        <x:v>村庄范围</x:v>
      </x:c>
      <x:c r="M3056" s="33" t="n">
        <x:v>343786.47</x:v>
      </x:c>
      <x:c r="N3056" s="33" t="n">
        <x:v>34.378646999999994</x:v>
      </x:c>
      <x:c r="O3056" s="22" t="str">
        <x:v>公顷</x:v>
      </x:c>
      <x:c r="P3056" s="22" t="str">
        <x:v>未提供（单期横截面）</x:v>
      </x:c>
      <x:c r="Q3056" s="23" t="n">
        <x:v>6035</x:v>
      </x:c>
    </x:row>
    <x:row r="3057">
      <x:c r="A3057" s="30" t="n">
        <x:v>350600</x:v>
      </x:c>
      <x:c r="B3057" s="22" t="str">
        <x:v>漳州市</x:v>
      </x:c>
      <x:c r="C3057" s="31" t="n">
        <x:v>350681</x:v>
      </x:c>
      <x:c r="D3057" s="22" t="str">
        <x:v>龙海区</x:v>
      </x:c>
      <x:c r="E3057" s="22" t="str">
        <x:v>农用地</x:v>
      </x:c>
      <x:c r="F3057" s="22" t="str">
        <x:v>水域及水利设施</x:v>
      </x:c>
      <x:c r="G3057" s="32" t="str">
        <x:v>1104A</x:v>
      </x:c>
      <x:c r="H3057" s="32" t="str">
        <x:v>1104</x:v>
      </x:c>
      <x:c r="I3057" s="22" t="str">
        <x:v>养殖坑塘</x:v>
      </x:c>
      <x:c r="J3057" s="22" t="str">
        <x:v>农业生态</x:v>
      </x:c>
      <x:c r="K3057" s="32" t="str">
        <x:v>203</x:v>
      </x:c>
      <x:c r="L3057" s="22" t="str">
        <x:v>村庄范围</x:v>
      </x:c>
      <x:c r="M3057" s="33" t="n">
        <x:v>96380.86</x:v>
      </x:c>
      <x:c r="N3057" s="33" t="n">
        <x:v>9.638086</x:v>
      </x:c>
      <x:c r="O3057" s="22" t="str">
        <x:v>公顷</x:v>
      </x:c>
      <x:c r="P3057" s="22" t="str">
        <x:v>未提供（单期横截面）</x:v>
      </x:c>
      <x:c r="Q3057" s="23" t="n">
        <x:v>6036</x:v>
      </x:c>
    </x:row>
    <x:row r="3058">
      <x:c r="A3058" s="30" t="n">
        <x:v>350600</x:v>
      </x:c>
      <x:c r="B3058" s="22" t="str">
        <x:v>漳州市</x:v>
      </x:c>
      <x:c r="C3058" s="31" t="n">
        <x:v>350681</x:v>
      </x:c>
      <x:c r="D3058" s="22" t="str">
        <x:v>龙海区</x:v>
      </x:c>
      <x:c r="E3058" s="22" t="str">
        <x:v>农用地</x:v>
      </x:c>
      <x:c r="F3058" s="22" t="str">
        <x:v>水域及水利设施</x:v>
      </x:c>
      <x:c r="G3058" s="32" t="str">
        <x:v>1104K</x:v>
      </x:c>
      <x:c r="H3058" s="32" t="str">
        <x:v>1104</x:v>
      </x:c>
      <x:c r="I3058" s="22" t="str">
        <x:v>可调整养殖坑塘</x:v>
      </x:c>
      <x:c r="J3058" s="22" t="str">
        <x:v>农业生态</x:v>
      </x:c>
      <x:c r="K3058" s="32" t="str">
        <x:v>203</x:v>
      </x:c>
      <x:c r="L3058" s="22" t="str">
        <x:v>村庄范围</x:v>
      </x:c>
      <x:c r="M3058" s="33" t="n">
        <x:v>1794.63</x:v>
      </x:c>
      <x:c r="N3058" s="33" t="n">
        <x:v>0.179463</x:v>
      </x:c>
      <x:c r="O3058" s="22" t="str">
        <x:v>公顷</x:v>
      </x:c>
      <x:c r="P3058" s="22" t="str">
        <x:v>未提供（单期横截面）</x:v>
      </x:c>
      <x:c r="Q3058" s="23" t="n">
        <x:v>6037</x:v>
      </x:c>
    </x:row>
    <x:row r="3059">
      <x:c r="A3059" s="30" t="n">
        <x:v>350600</x:v>
      </x:c>
      <x:c r="B3059" s="22" t="str">
        <x:v>漳州市</x:v>
      </x:c>
      <x:c r="C3059" s="31" t="n">
        <x:v>350681</x:v>
      </x:c>
      <x:c r="D3059" s="22" t="str">
        <x:v>龙海区</x:v>
      </x:c>
      <x:c r="E3059" s="22" t="str">
        <x:v>农用地</x:v>
      </x:c>
      <x:c r="F3059" s="22" t="str">
        <x:v>水域及水利设施</x:v>
      </x:c>
      <x:c r="G3059" s="32" t="str">
        <x:v>1107</x:v>
      </x:c>
      <x:c r="H3059" s="32" t="str">
        <x:v>1107</x:v>
      </x:c>
      <x:c r="I3059" s="22" t="str">
        <x:v>沟渠</x:v>
      </x:c>
      <x:c r="J3059" s="22" t="str">
        <x:v>农业生态</x:v>
      </x:c>
      <x:c r="K3059" s="32" t="str">
        <x:v>203</x:v>
      </x:c>
      <x:c r="L3059" s="22" t="str">
        <x:v>村庄范围</x:v>
      </x:c>
      <x:c r="M3059" s="33" t="n">
        <x:v>66482.15</x:v>
      </x:c>
      <x:c r="N3059" s="33" t="n">
        <x:v>6.6482149999999995</x:v>
      </x:c>
      <x:c r="O3059" s="22" t="str">
        <x:v>公顷</x:v>
      </x:c>
      <x:c r="P3059" s="22" t="str">
        <x:v>未提供（单期横截面）</x:v>
      </x:c>
      <x:c r="Q3059" s="23" t="n">
        <x:v>6038</x:v>
      </x:c>
    </x:row>
    <x:row r="3060">
      <x:c r="A3060" s="30" t="n">
        <x:v>350600</x:v>
      </x:c>
      <x:c r="B3060" s="22" t="str">
        <x:v>漳州市</x:v>
      </x:c>
      <x:c r="C3060" s="31" t="n">
        <x:v>350681</x:v>
      </x:c>
      <x:c r="D3060" s="22" t="str">
        <x:v>龙海区</x:v>
      </x:c>
      <x:c r="E3060" s="22" t="str">
        <x:v>农用地</x:v>
      </x:c>
      <x:c r="F3060" s="22" t="str">
        <x:v>其他农用地</x:v>
      </x:c>
      <x:c r="G3060" s="32" t="str">
        <x:v>1202</x:v>
      </x:c>
      <x:c r="H3060" s="32" t="str">
        <x:v>1202</x:v>
      </x:c>
      <x:c r="I3060" s="22" t="str">
        <x:v>设施农用地</x:v>
      </x:c>
      <x:c r="J3060" s="22" t="str">
        <x:v>农业生态</x:v>
      </x:c>
      <x:c r="K3060" s="32" t="str">
        <x:v>203</x:v>
      </x:c>
      <x:c r="L3060" s="22" t="str">
        <x:v>村庄范围</x:v>
      </x:c>
      <x:c r="M3060" s="33" t="n">
        <x:v>395319.4900000003</x:v>
      </x:c>
      <x:c r="N3060" s="33" t="n">
        <x:v>39.531949000000026</x:v>
      </x:c>
      <x:c r="O3060" s="22" t="str">
        <x:v>公顷</x:v>
      </x:c>
      <x:c r="P3060" s="22" t="str">
        <x:v>未提供（单期横截面）</x:v>
      </x:c>
      <x:c r="Q3060" s="23" t="n">
        <x:v>6039</x:v>
      </x:c>
    </x:row>
    <x:row r="3061">
      <x:c r="A3061" s="30" t="n">
        <x:v>350600</x:v>
      </x:c>
      <x:c r="B3061" s="22" t="str">
        <x:v>漳州市</x:v>
      </x:c>
      <x:c r="C3061" s="31" t="n">
        <x:v>350681</x:v>
      </x:c>
      <x:c r="D3061" s="22" t="str">
        <x:v>龙海区</x:v>
      </x:c>
      <x:c r="E3061" s="22" t="str">
        <x:v>未利用地</x:v>
      </x:c>
      <x:c r="F3061" s="22" t="str">
        <x:v>草地</x:v>
      </x:c>
      <x:c r="G3061" s="32" t="str">
        <x:v>404</x:v>
      </x:c>
      <x:c r="H3061" s="32" t="str">
        <x:v>404</x:v>
      </x:c>
      <x:c r="I3061" s="22" t="str">
        <x:v>其他草地</x:v>
      </x:c>
      <x:c r="J3061" s="22" t="str">
        <x:v>农业生态</x:v>
      </x:c>
      <x:c r="K3061" s="32" t="str"/>
      <x:c r="L3061" s="22" t="str">
        <x:v>不适用/未标注</x:v>
      </x:c>
      <x:c r="M3061" s="33" t="n">
        <x:v>21481324.20000002</x:v>
      </x:c>
      <x:c r="N3061" s="33" t="n">
        <x:v>2148.132420000002</x:v>
      </x:c>
      <x:c r="O3061" s="22" t="str">
        <x:v>公顷</x:v>
      </x:c>
      <x:c r="P3061" s="22" t="str">
        <x:v>未提供（单期横截面）</x:v>
      </x:c>
      <x:c r="Q3061" s="23" t="n">
        <x:v>6040</x:v>
      </x:c>
    </x:row>
    <x:row r="3062">
      <x:c r="A3062" s="30" t="n">
        <x:v>350600</x:v>
      </x:c>
      <x:c r="B3062" s="22" t="str">
        <x:v>漳州市</x:v>
      </x:c>
      <x:c r="C3062" s="31" t="n">
        <x:v>350681</x:v>
      </x:c>
      <x:c r="D3062" s="22" t="str">
        <x:v>龙海区</x:v>
      </x:c>
      <x:c r="E3062" s="22" t="str">
        <x:v>未利用地</x:v>
      </x:c>
      <x:c r="F3062" s="22" t="str">
        <x:v>水域及水利设施</x:v>
      </x:c>
      <x:c r="G3062" s="32" t="str">
        <x:v>1101</x:v>
      </x:c>
      <x:c r="H3062" s="32" t="str">
        <x:v>1101</x:v>
      </x:c>
      <x:c r="I3062" s="22" t="str">
        <x:v>河流水面</x:v>
      </x:c>
      <x:c r="J3062" s="22" t="str">
        <x:v>农业生态</x:v>
      </x:c>
      <x:c r="K3062" s="32" t="str"/>
      <x:c r="L3062" s="22" t="str">
        <x:v>不适用/未标注</x:v>
      </x:c>
      <x:c r="M3062" s="33" t="n">
        <x:v>65457353.61999997</x:v>
      </x:c>
      <x:c r="N3062" s="33" t="n">
        <x:v>6545.735361999997</x:v>
      </x:c>
      <x:c r="O3062" s="22" t="str">
        <x:v>公顷</x:v>
      </x:c>
      <x:c r="P3062" s="22" t="str">
        <x:v>未提供（单期横截面）</x:v>
      </x:c>
      <x:c r="Q3062" s="23" t="n">
        <x:v>6041</x:v>
      </x:c>
    </x:row>
    <x:row r="3063">
      <x:c r="A3063" s="30" t="n">
        <x:v>350600</x:v>
      </x:c>
      <x:c r="B3063" s="22" t="str">
        <x:v>漳州市</x:v>
      </x:c>
      <x:c r="C3063" s="31" t="n">
        <x:v>350681</x:v>
      </x:c>
      <x:c r="D3063" s="22" t="str">
        <x:v>龙海区</x:v>
      </x:c>
      <x:c r="E3063" s="22" t="str">
        <x:v>未利用地</x:v>
      </x:c>
      <x:c r="F3063" s="22" t="str">
        <x:v>水域及水利设施</x:v>
      </x:c>
      <x:c r="G3063" s="32" t="str">
        <x:v>1105</x:v>
      </x:c>
      <x:c r="H3063" s="32" t="str">
        <x:v>1105</x:v>
      </x:c>
      <x:c r="I3063" s="22" t="str">
        <x:v>沿海滩涂</x:v>
      </x:c>
      <x:c r="J3063" s="22" t="str">
        <x:v>农业生态</x:v>
      </x:c>
      <x:c r="K3063" s="32" t="str"/>
      <x:c r="L3063" s="22" t="str">
        <x:v>不适用/未标注</x:v>
      </x:c>
      <x:c r="M3063" s="33" t="n">
        <x:v>12647034.200000005</x:v>
      </x:c>
      <x:c r="N3063" s="33" t="n">
        <x:v>1264.7034200000005</x:v>
      </x:c>
      <x:c r="O3063" s="22" t="str">
        <x:v>公顷</x:v>
      </x:c>
      <x:c r="P3063" s="22" t="str">
        <x:v>未提供（单期横截面）</x:v>
      </x:c>
      <x:c r="Q3063" s="23" t="n">
        <x:v>6042</x:v>
      </x:c>
    </x:row>
    <x:row r="3064">
      <x:c r="A3064" s="30" t="n">
        <x:v>350600</x:v>
      </x:c>
      <x:c r="B3064" s="22" t="str">
        <x:v>漳州市</x:v>
      </x:c>
      <x:c r="C3064" s="31" t="n">
        <x:v>350681</x:v>
      </x:c>
      <x:c r="D3064" s="22" t="str">
        <x:v>龙海区</x:v>
      </x:c>
      <x:c r="E3064" s="22" t="str">
        <x:v>未利用地</x:v>
      </x:c>
      <x:c r="F3064" s="22" t="str">
        <x:v>水域及水利设施</x:v>
      </x:c>
      <x:c r="G3064" s="32" t="str">
        <x:v>1106</x:v>
      </x:c>
      <x:c r="H3064" s="32" t="str">
        <x:v>1106</x:v>
      </x:c>
      <x:c r="I3064" s="22" t="str">
        <x:v>内陆滩涂</x:v>
      </x:c>
      <x:c r="J3064" s="22" t="str">
        <x:v>农业生态</x:v>
      </x:c>
      <x:c r="K3064" s="32" t="str"/>
      <x:c r="L3064" s="22" t="str">
        <x:v>不适用/未标注</x:v>
      </x:c>
      <x:c r="M3064" s="33" t="n">
        <x:v>13448256.529999988</x:v>
      </x:c>
      <x:c r="N3064" s="33" t="n">
        <x:v>1344.8256529999987</x:v>
      </x:c>
      <x:c r="O3064" s="22" t="str">
        <x:v>公顷</x:v>
      </x:c>
      <x:c r="P3064" s="22" t="str">
        <x:v>未提供（单期横截面）</x:v>
      </x:c>
      <x:c r="Q3064" s="23" t="n">
        <x:v>6043</x:v>
      </x:c>
    </x:row>
    <x:row r="3065">
      <x:c r="A3065" s="30" t="n">
        <x:v>350600</x:v>
      </x:c>
      <x:c r="B3065" s="22" t="str">
        <x:v>漳州市</x:v>
      </x:c>
      <x:c r="C3065" s="31" t="n">
        <x:v>350681</x:v>
      </x:c>
      <x:c r="D3065" s="22" t="str">
        <x:v>龙海区</x:v>
      </x:c>
      <x:c r="E3065" s="22" t="str">
        <x:v>未利用地</x:v>
      </x:c>
      <x:c r="F3065" s="22" t="str">
        <x:v>未利用地</x:v>
      </x:c>
      <x:c r="G3065" s="32" t="str">
        <x:v>1206</x:v>
      </x:c>
      <x:c r="H3065" s="32" t="str">
        <x:v>1206</x:v>
      </x:c>
      <x:c r="I3065" s="22" t="str">
        <x:v>裸土地</x:v>
      </x:c>
      <x:c r="J3065" s="22" t="str">
        <x:v>未利用地</x:v>
      </x:c>
      <x:c r="K3065" s="32" t="str"/>
      <x:c r="L3065" s="22" t="str">
        <x:v>不适用/未标注</x:v>
      </x:c>
      <x:c r="M3065" s="33" t="n">
        <x:v>274688.28</x:v>
      </x:c>
      <x:c r="N3065" s="33" t="n">
        <x:v>27.468828000000002</x:v>
      </x:c>
      <x:c r="O3065" s="22" t="str">
        <x:v>公顷</x:v>
      </x:c>
      <x:c r="P3065" s="22" t="str">
        <x:v>未提供（单期横截面）</x:v>
      </x:c>
      <x:c r="Q3065" s="23" t="n">
        <x:v>6044</x:v>
      </x:c>
    </x:row>
    <x:row r="3066">
      <x:c r="A3066" s="30" t="n">
        <x:v>350600</x:v>
      </x:c>
      <x:c r="B3066" s="22" t="str">
        <x:v>漳州市</x:v>
      </x:c>
      <x:c r="C3066" s="31" t="n">
        <x:v>350681</x:v>
      </x:c>
      <x:c r="D3066" s="22" t="str">
        <x:v>龙海区</x:v>
      </x:c>
      <x:c r="E3066" s="22" t="str">
        <x:v>未利用地</x:v>
      </x:c>
      <x:c r="F3066" s="22" t="str">
        <x:v>未利用地</x:v>
      </x:c>
      <x:c r="G3066" s="32" t="str">
        <x:v>1207</x:v>
      </x:c>
      <x:c r="H3066" s="32" t="str">
        <x:v>1207</x:v>
      </x:c>
      <x:c r="I3066" s="22" t="str">
        <x:v>裸岩石砾地</x:v>
      </x:c>
      <x:c r="J3066" s="22" t="str">
        <x:v>未利用地</x:v>
      </x:c>
      <x:c r="K3066" s="32" t="str"/>
      <x:c r="L3066" s="22" t="str">
        <x:v>不适用/未标注</x:v>
      </x:c>
      <x:c r="M3066" s="33" t="n">
        <x:v>6761619.479999993</x:v>
      </x:c>
      <x:c r="N3066" s="33" t="n">
        <x:v>676.1619479999993</x:v>
      </x:c>
      <x:c r="O3066" s="22" t="str">
        <x:v>公顷</x:v>
      </x:c>
      <x:c r="P3066" s="22" t="str">
        <x:v>未提供（单期横截面）</x:v>
      </x:c>
      <x:c r="Q3066" s="23" t="n">
        <x:v>6045</x:v>
      </x:c>
    </x:row>
    <x:row r="3067">
      <x:c r="A3067" s="30" t="n">
        <x:v>350600</x:v>
      </x:c>
      <x:c r="B3067" s="22" t="str">
        <x:v>漳州市</x:v>
      </x:c>
      <x:c r="C3067" s="31" t="n">
        <x:v>350681</x:v>
      </x:c>
      <x:c r="D3067" s="22" t="str">
        <x:v>龙海区</x:v>
      </x:c>
      <x:c r="E3067" s="22" t="str">
        <x:v>未利用地</x:v>
      </x:c>
      <x:c r="F3067" s="22" t="str">
        <x:v>草地</x:v>
      </x:c>
      <x:c r="G3067" s="32" t="str">
        <x:v>404</x:v>
      </x:c>
      <x:c r="H3067" s="32" t="str">
        <x:v>404</x:v>
      </x:c>
      <x:c r="I3067" s="22" t="str">
        <x:v>其他草地</x:v>
      </x:c>
      <x:c r="J3067" s="22" t="str">
        <x:v>农业生态</x:v>
      </x:c>
      <x:c r="K3067" s="32" t="str">
        <x:v>201</x:v>
      </x:c>
      <x:c r="L3067" s="22" t="str">
        <x:v>城市范围</x:v>
      </x:c>
      <x:c r="M3067" s="33" t="n">
        <x:v>4349.35</x:v>
      </x:c>
      <x:c r="N3067" s="33" t="n">
        <x:v>0.434935</x:v>
      </x:c>
      <x:c r="O3067" s="22" t="str">
        <x:v>公顷</x:v>
      </x:c>
      <x:c r="P3067" s="22" t="str">
        <x:v>未提供（单期横截面）</x:v>
      </x:c>
      <x:c r="Q3067" s="23" t="n">
        <x:v>6046</x:v>
      </x:c>
    </x:row>
    <x:row r="3068">
      <x:c r="A3068" s="30" t="n">
        <x:v>350600</x:v>
      </x:c>
      <x:c r="B3068" s="22" t="str">
        <x:v>漳州市</x:v>
      </x:c>
      <x:c r="C3068" s="31" t="n">
        <x:v>350681</x:v>
      </x:c>
      <x:c r="D3068" s="22" t="str">
        <x:v>龙海区</x:v>
      </x:c>
      <x:c r="E3068" s="22" t="str">
        <x:v>未利用地</x:v>
      </x:c>
      <x:c r="F3068" s="22" t="str">
        <x:v>水域及水利设施</x:v>
      </x:c>
      <x:c r="G3068" s="32" t="str">
        <x:v>1101</x:v>
      </x:c>
      <x:c r="H3068" s="32" t="str">
        <x:v>1101</x:v>
      </x:c>
      <x:c r="I3068" s="22" t="str">
        <x:v>河流水面</x:v>
      </x:c>
      <x:c r="J3068" s="22" t="str">
        <x:v>农业生态</x:v>
      </x:c>
      <x:c r="K3068" s="32" t="str">
        <x:v>201</x:v>
      </x:c>
      <x:c r="L3068" s="22" t="str">
        <x:v>城市范围</x:v>
      </x:c>
      <x:c r="M3068" s="33" t="n">
        <x:v>27170.9</x:v>
      </x:c>
      <x:c r="N3068" s="33" t="n">
        <x:v>2.7170900000000002</x:v>
      </x:c>
      <x:c r="O3068" s="22" t="str">
        <x:v>公顷</x:v>
      </x:c>
      <x:c r="P3068" s="22" t="str">
        <x:v>未提供（单期横截面）</x:v>
      </x:c>
      <x:c r="Q3068" s="23" t="n">
        <x:v>6047</x:v>
      </x:c>
    </x:row>
    <x:row r="3069">
      <x:c r="A3069" s="30" t="n">
        <x:v>350600</x:v>
      </x:c>
      <x:c r="B3069" s="22" t="str">
        <x:v>漳州市</x:v>
      </x:c>
      <x:c r="C3069" s="31" t="n">
        <x:v>350681</x:v>
      </x:c>
      <x:c r="D3069" s="22" t="str">
        <x:v>龙海区</x:v>
      </x:c>
      <x:c r="E3069" s="22" t="str">
        <x:v>未利用地</x:v>
      </x:c>
      <x:c r="F3069" s="22" t="str">
        <x:v>草地</x:v>
      </x:c>
      <x:c r="G3069" s="32" t="str">
        <x:v>404</x:v>
      </x:c>
      <x:c r="H3069" s="32" t="str">
        <x:v>404</x:v>
      </x:c>
      <x:c r="I3069" s="22" t="str">
        <x:v>其他草地</x:v>
      </x:c>
      <x:c r="J3069" s="22" t="str">
        <x:v>农业生态</x:v>
      </x:c>
      <x:c r="K3069" s="32" t="str">
        <x:v>202</x:v>
      </x:c>
      <x:c r="L3069" s="22" t="str">
        <x:v>建制镇范围</x:v>
      </x:c>
      <x:c r="M3069" s="33" t="n">
        <x:v>1057400.5700000003</x:v>
      </x:c>
      <x:c r="N3069" s="33" t="n">
        <x:v>105.74005700000004</x:v>
      </x:c>
      <x:c r="O3069" s="22" t="str">
        <x:v>公顷</x:v>
      </x:c>
      <x:c r="P3069" s="22" t="str">
        <x:v>未提供（单期横截面）</x:v>
      </x:c>
      <x:c r="Q3069" s="23" t="n">
        <x:v>6048</x:v>
      </x:c>
    </x:row>
    <x:row r="3070">
      <x:c r="A3070" s="30" t="n">
        <x:v>350600</x:v>
      </x:c>
      <x:c r="B3070" s="22" t="str">
        <x:v>漳州市</x:v>
      </x:c>
      <x:c r="C3070" s="31" t="n">
        <x:v>350681</x:v>
      </x:c>
      <x:c r="D3070" s="22" t="str">
        <x:v>龙海区</x:v>
      </x:c>
      <x:c r="E3070" s="22" t="str">
        <x:v>未利用地</x:v>
      </x:c>
      <x:c r="F3070" s="22" t="str">
        <x:v>水域及水利设施</x:v>
      </x:c>
      <x:c r="G3070" s="32" t="str">
        <x:v>1101</x:v>
      </x:c>
      <x:c r="H3070" s="32" t="str">
        <x:v>1101</x:v>
      </x:c>
      <x:c r="I3070" s="22" t="str">
        <x:v>河流水面</x:v>
      </x:c>
      <x:c r="J3070" s="22" t="str">
        <x:v>农业生态</x:v>
      </x:c>
      <x:c r="K3070" s="32" t="str">
        <x:v>202</x:v>
      </x:c>
      <x:c r="L3070" s="22" t="str">
        <x:v>建制镇范围</x:v>
      </x:c>
      <x:c r="M3070" s="33" t="n">
        <x:v>392488.79999999993</x:v>
      </x:c>
      <x:c r="N3070" s="33" t="n">
        <x:v>39.24887999999999</x:v>
      </x:c>
      <x:c r="O3070" s="22" t="str">
        <x:v>公顷</x:v>
      </x:c>
      <x:c r="P3070" s="22" t="str">
        <x:v>未提供（单期横截面）</x:v>
      </x:c>
      <x:c r="Q3070" s="23" t="n">
        <x:v>6049</x:v>
      </x:c>
    </x:row>
    <x:row r="3071">
      <x:c r="A3071" s="30" t="n">
        <x:v>350600</x:v>
      </x:c>
      <x:c r="B3071" s="22" t="str">
        <x:v>漳州市</x:v>
      </x:c>
      <x:c r="C3071" s="31" t="n">
        <x:v>350681</x:v>
      </x:c>
      <x:c r="D3071" s="22" t="str">
        <x:v>龙海区</x:v>
      </x:c>
      <x:c r="E3071" s="22" t="str">
        <x:v>未利用地</x:v>
      </x:c>
      <x:c r="F3071" s="22" t="str">
        <x:v>水域及水利设施</x:v>
      </x:c>
      <x:c r="G3071" s="32" t="str">
        <x:v>1105</x:v>
      </x:c>
      <x:c r="H3071" s="32" t="str">
        <x:v>1105</x:v>
      </x:c>
      <x:c r="I3071" s="22" t="str">
        <x:v>沿海滩涂</x:v>
      </x:c>
      <x:c r="J3071" s="22" t="str">
        <x:v>农业生态</x:v>
      </x:c>
      <x:c r="K3071" s="32" t="str">
        <x:v>202</x:v>
      </x:c>
      <x:c r="L3071" s="22" t="str">
        <x:v>建制镇范围</x:v>
      </x:c>
      <x:c r="M3071" s="33" t="n">
        <x:v>43746.98</x:v>
      </x:c>
      <x:c r="N3071" s="33" t="n">
        <x:v>4.374698</x:v>
      </x:c>
      <x:c r="O3071" s="22" t="str">
        <x:v>公顷</x:v>
      </x:c>
      <x:c r="P3071" s="22" t="str">
        <x:v>未提供（单期横截面）</x:v>
      </x:c>
      <x:c r="Q3071" s="23" t="n">
        <x:v>6050</x:v>
      </x:c>
    </x:row>
    <x:row r="3072">
      <x:c r="A3072" s="30" t="n">
        <x:v>350600</x:v>
      </x:c>
      <x:c r="B3072" s="22" t="str">
        <x:v>漳州市</x:v>
      </x:c>
      <x:c r="C3072" s="31" t="n">
        <x:v>350681</x:v>
      </x:c>
      <x:c r="D3072" s="22" t="str">
        <x:v>龙海区</x:v>
      </x:c>
      <x:c r="E3072" s="22" t="str">
        <x:v>未利用地</x:v>
      </x:c>
      <x:c r="F3072" s="22" t="str">
        <x:v>水域及水利设施</x:v>
      </x:c>
      <x:c r="G3072" s="32" t="str">
        <x:v>1106</x:v>
      </x:c>
      <x:c r="H3072" s="32" t="str">
        <x:v>1106</x:v>
      </x:c>
      <x:c r="I3072" s="22" t="str">
        <x:v>内陆滩涂</x:v>
      </x:c>
      <x:c r="J3072" s="22" t="str">
        <x:v>农业生态</x:v>
      </x:c>
      <x:c r="K3072" s="32" t="str">
        <x:v>202</x:v>
      </x:c>
      <x:c r="L3072" s="22" t="str">
        <x:v>建制镇范围</x:v>
      </x:c>
      <x:c r="M3072" s="33" t="n">
        <x:v>662.03</x:v>
      </x:c>
      <x:c r="N3072" s="33" t="n">
        <x:v>0.066203</x:v>
      </x:c>
      <x:c r="O3072" s="22" t="str">
        <x:v>公顷</x:v>
      </x:c>
      <x:c r="P3072" s="22" t="str">
        <x:v>未提供（单期横截面）</x:v>
      </x:c>
      <x:c r="Q3072" s="23" t="n">
        <x:v>6051</x:v>
      </x:c>
    </x:row>
    <x:row r="3073">
      <x:c r="A3073" s="30" t="n">
        <x:v>350600</x:v>
      </x:c>
      <x:c r="B3073" s="22" t="str">
        <x:v>漳州市</x:v>
      </x:c>
      <x:c r="C3073" s="31" t="n">
        <x:v>350681</x:v>
      </x:c>
      <x:c r="D3073" s="22" t="str">
        <x:v>龙海区</x:v>
      </x:c>
      <x:c r="E3073" s="22" t="str">
        <x:v>未利用地</x:v>
      </x:c>
      <x:c r="F3073" s="22" t="str">
        <x:v>未利用地</x:v>
      </x:c>
      <x:c r="G3073" s="32" t="str">
        <x:v>1207</x:v>
      </x:c>
      <x:c r="H3073" s="32" t="str">
        <x:v>1207</x:v>
      </x:c>
      <x:c r="I3073" s="22" t="str">
        <x:v>裸岩石砾地</x:v>
      </x:c>
      <x:c r="J3073" s="22" t="str">
        <x:v>未利用地</x:v>
      </x:c>
      <x:c r="K3073" s="32" t="str">
        <x:v>202</x:v>
      </x:c>
      <x:c r="L3073" s="22" t="str">
        <x:v>建制镇范围</x:v>
      </x:c>
      <x:c r="M3073" s="33" t="n">
        <x:v>87828.79000000001</x:v>
      </x:c>
      <x:c r="N3073" s="33" t="n">
        <x:v>8.782879000000001</x:v>
      </x:c>
      <x:c r="O3073" s="22" t="str">
        <x:v>公顷</x:v>
      </x:c>
      <x:c r="P3073" s="22" t="str">
        <x:v>未提供（单期横截面）</x:v>
      </x:c>
      <x:c r="Q3073" s="23" t="n">
        <x:v>6052</x:v>
      </x:c>
    </x:row>
    <x:row r="3074">
      <x:c r="A3074" s="30" t="n">
        <x:v>350600</x:v>
      </x:c>
      <x:c r="B3074" s="22" t="str">
        <x:v>漳州市</x:v>
      </x:c>
      <x:c r="C3074" s="31" t="n">
        <x:v>350681</x:v>
      </x:c>
      <x:c r="D3074" s="22" t="str">
        <x:v>龙海区</x:v>
      </x:c>
      <x:c r="E3074" s="22" t="str">
        <x:v>未利用地</x:v>
      </x:c>
      <x:c r="F3074" s="22" t="str">
        <x:v>草地</x:v>
      </x:c>
      <x:c r="G3074" s="32" t="str">
        <x:v>404</x:v>
      </x:c>
      <x:c r="H3074" s="32" t="str">
        <x:v>404</x:v>
      </x:c>
      <x:c r="I3074" s="22" t="str">
        <x:v>其他草地</x:v>
      </x:c>
      <x:c r="J3074" s="22" t="str">
        <x:v>农业生态</x:v>
      </x:c>
      <x:c r="K3074" s="32" t="str">
        <x:v>203</x:v>
      </x:c>
      <x:c r="L3074" s="22" t="str">
        <x:v>村庄范围</x:v>
      </x:c>
      <x:c r="M3074" s="33" t="n">
        <x:v>127350.43000000001</x:v>
      </x:c>
      <x:c r="N3074" s="33" t="n">
        <x:v>12.735043000000001</x:v>
      </x:c>
      <x:c r="O3074" s="22" t="str">
        <x:v>公顷</x:v>
      </x:c>
      <x:c r="P3074" s="22" t="str">
        <x:v>未提供（单期横截面）</x:v>
      </x:c>
      <x:c r="Q3074" s="23" t="n">
        <x:v>6053</x:v>
      </x:c>
    </x:row>
    <x:row r="3075">
      <x:c r="A3075" s="34" t="n">
        <x:v>350600</x:v>
      </x:c>
      <x:c r="B3075" s="25" t="str">
        <x:v>漳州市</x:v>
      </x:c>
      <x:c r="C3075" s="35" t="n">
        <x:v>350681</x:v>
      </x:c>
      <x:c r="D3075" s="25" t="str">
        <x:v>龙海区</x:v>
      </x:c>
      <x:c r="E3075" s="25" t="str">
        <x:v>未利用地</x:v>
      </x:c>
      <x:c r="F3075" s="25" t="str">
        <x:v>水域及水利设施</x:v>
      </x:c>
      <x:c r="G3075" s="36" t="str">
        <x:v>1101</x:v>
      </x:c>
      <x:c r="H3075" s="36" t="str">
        <x:v>1101</x:v>
      </x:c>
      <x:c r="I3075" s="25" t="str">
        <x:v>河流水面</x:v>
      </x:c>
      <x:c r="J3075" s="25" t="str">
        <x:v>农业生态</x:v>
      </x:c>
      <x:c r="K3075" s="36" t="str">
        <x:v>203</x:v>
      </x:c>
      <x:c r="L3075" s="25" t="str">
        <x:v>村庄范围</x:v>
      </x:c>
      <x:c r="M3075" s="37" t="n">
        <x:v>179917.32</x:v>
      </x:c>
      <x:c r="N3075" s="37" t="n">
        <x:v>17.991732</x:v>
      </x:c>
      <x:c r="O3075" s="25" t="str">
        <x:v>公顷</x:v>
      </x:c>
      <x:c r="P3075" s="25" t="str">
        <x:v>未提供（单期横截面）</x:v>
      </x:c>
      <x:c r="Q3075" s="26" t="n">
        <x:v>6054</x:v>
      </x:c>
    </x:row>
  </x:sheetData>
  <x:pageMargins left="0.7" right="0.7" top="0.75" bottom="0.75" header="0.3" footer="0.3"/>
  <x:tableParts count="1">
    <x:tablePart xmlns:r="http://schemas.openxmlformats.org/officeDocument/2006/relationships" r:id="R304aefd94069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8" t="str">
        <x:v>地市编码</x:v>
      </x:c>
      <x:c r="B1" s="19" t="str">
        <x:v>城市</x:v>
      </x:c>
      <x:c r="C1" s="19" t="str">
        <x:v>区县编码</x:v>
      </x:c>
      <x:c r="D1" s="19" t="str">
        <x:v>区县</x:v>
      </x:c>
      <x:c r="E1" s="19" t="str">
        <x:v>行政区总面积_公顷</x:v>
      </x:c>
      <x:c r="F1" s="19" t="str">
        <x:v>农用地_公顷</x:v>
      </x:c>
      <x:c r="G1" s="19" t="str">
        <x:v>建设用地_公顷</x:v>
      </x:c>
      <x:c r="H1" s="19" t="str">
        <x:v>未利用地_公顷</x:v>
      </x:c>
      <x:c r="I1" s="19" t="str">
        <x:v>农用地占比</x:v>
      </x:c>
      <x:c r="J1" s="19" t="str">
        <x:v>建设用地开发强度</x:v>
      </x:c>
      <x:c r="K1" s="19" t="str">
        <x:v>未利用地占比</x:v>
      </x:c>
      <x:c r="L1" s="20" t="str">
        <x:v>闭合校验</x:v>
      </x:c>
    </x:row>
    <x:row r="2">
      <x:c r="A2" s="21" t="n">
        <x:v>350200</x:v>
      </x:c>
      <x:c r="B2" s="22" t="str">
        <x:v>厦门市</x:v>
      </x:c>
      <x:c r="C2" s="22" t="n">
        <x:v>350203</x:v>
      </x:c>
      <x:c r="D2" s="22" t="str">
        <x:v>思明区</x:v>
      </x:c>
      <x:c r="E2" s="33" t="n">
        <x:f>SUMIFS('标准化长表'!$N$2:$N$3075,'标准化长表'!$C$2:$C$3075,$C2)</x:f>
        <x:v>8372.883210000002</x:v>
      </x:c>
      <x:c r="F2" s="33" t="n">
        <x:f>SUMIFS('标准化长表'!$N$2:$N$3075,'标准化长表'!$C$2:$C$3075,$C2,'标准化长表'!$E$2:$E$3075,"农用地")</x:f>
        <x:v>2454.1501909999993</x:v>
      </x:c>
      <x:c r="G2" s="33" t="n">
        <x:f>SUMIFS('标准化长表'!$N$2:$N$3075,'标准化长表'!$C$2:$C$3075,$C2,'标准化长表'!$E$2:$E$3075,"建设用地")</x:f>
        <x:v>4754.056130000002</x:v>
      </x:c>
      <x:c r="H2" s="33" t="n">
        <x:f>SUMIFS('标准化长表'!$N$2:$N$3075,'标准化长表'!$C$2:$C$3075,$C2,'标准化长表'!$E$2:$E$3075,"未利用地")</x:f>
        <x:v>1164.6768889999998</x:v>
      </x:c>
      <x:c r="I2" s="40" t="n">
        <x:f>IFERROR(F2/E2,0)</x:f>
        <x:v>0.29310694171261453</x:v>
      </x:c>
      <x:c r="J2" s="40" t="n">
        <x:f>IFERROR(G2/E2,0)</x:f>
        <x:v>0.5677920031563417</x:v>
      </x:c>
      <x:c r="K2" s="40" t="n">
        <x:f>IFERROR(H2/E2,0)</x:f>
        <x:v>0.13910105513104362</x:v>
      </x:c>
      <x:c r="L2" s="41" t="n">
        <x:f>E2-SUM(F2:H2)</x:f>
        <x:v>0</x:v>
      </x:c>
    </x:row>
    <x:row r="3">
      <x:c r="A3" s="21" t="n">
        <x:v>350200</x:v>
      </x:c>
      <x:c r="B3" s="22" t="str">
        <x:v>厦门市</x:v>
      </x:c>
      <x:c r="C3" s="22" t="n">
        <x:v>350205</x:v>
      </x:c>
      <x:c r="D3" s="22" t="str">
        <x:v>海沧区</x:v>
      </x:c>
      <x:c r="E3" s="33" t="n">
        <x:f>SUMIFS('标准化长表'!$N$2:$N$3075,'标准化长表'!$C$2:$C$3075,$C3)</x:f>
        <x:v>18472.57033999999</x:v>
      </x:c>
      <x:c r="F3" s="33" t="n">
        <x:f>SUMIFS('标准化长表'!$N$2:$N$3075,'标准化长表'!$C$2:$C$3075,$C3,'标准化长表'!$E$2:$E$3075,"农用地")</x:f>
        <x:v>8540.709985999996</x:v>
      </x:c>
      <x:c r="G3" s="33" t="n">
        <x:f>SUMIFS('标准化长表'!$N$2:$N$3075,'标准化长表'!$C$2:$C$3075,$C3,'标准化长表'!$E$2:$E$3075,"建设用地")</x:f>
        <x:v>7933.324313</x:v>
      </x:c>
      <x:c r="H3" s="33" t="n">
        <x:f>SUMIFS('标准化长表'!$N$2:$N$3075,'标准化长表'!$C$2:$C$3075,$C3,'标准化长表'!$E$2:$E$3075,"未利用地")</x:f>
        <x:v>1998.5360410000003</x:v>
      </x:c>
      <x:c r="I3" s="40" t="n">
        <x:f>IFERROR(F3/E3,0)</x:f>
        <x:v>0.4623455116858416</x:v>
      </x:c>
      <x:c r="J3" s="40" t="n">
        <x:f>IFERROR(G3/E3,0)</x:f>
        <x:v>0.4294651024184436</x:v>
      </x:c>
      <x:c r="K3" s="40" t="n">
        <x:f>IFERROR(H3/E3,0)</x:f>
        <x:v>0.10818938589571511</x:v>
      </x:c>
      <x:c r="L3" s="41" t="n">
        <x:f>E3-SUM(F3:H3)</x:f>
        <x:v>-3.637978807091713e-12</x:v>
      </x:c>
    </x:row>
    <x:row r="4">
      <x:c r="A4" s="21" t="n">
        <x:v>350200</x:v>
      </x:c>
      <x:c r="B4" s="22" t="str">
        <x:v>厦门市</x:v>
      </x:c>
      <x:c r="C4" s="22" t="n">
        <x:v>350206</x:v>
      </x:c>
      <x:c r="D4" s="22" t="str">
        <x:v>湖里区</x:v>
      </x:c>
      <x:c r="E4" s="33" t="n">
        <x:f>SUMIFS('标准化长表'!$N$2:$N$3075,'标准化长表'!$C$2:$C$3075,$C4)</x:f>
        <x:v>7226.547140000001</x:v>
      </x:c>
      <x:c r="F4" s="33" t="n">
        <x:f>SUMIFS('标准化长表'!$N$2:$N$3075,'标准化长表'!$C$2:$C$3075,$C4,'标准化长表'!$E$2:$E$3075,"农用地")</x:f>
        <x:v>689.9176319999999</x:v>
      </x:c>
      <x:c r="G4" s="33" t="n">
        <x:f>SUMIFS('标准化长表'!$N$2:$N$3075,'标准化长表'!$C$2:$C$3075,$C4,'标准化长表'!$E$2:$E$3075,"建设用地")</x:f>
        <x:v>5866.296335</x:v>
      </x:c>
      <x:c r="H4" s="33" t="n">
        <x:f>SUMIFS('标准化长表'!$N$2:$N$3075,'标准化长表'!$C$2:$C$3075,$C4,'标准化长表'!$E$2:$E$3075,"未利用地")</x:f>
        <x:v>670.3331730000003</x:v>
      </x:c>
      <x:c r="I4" s="40" t="n">
        <x:f>IFERROR(F4/E4,0)</x:f>
        <x:v>0.09546988605127951</x:v>
      </x:c>
      <x:c r="J4" s="40" t="n">
        <x:f>IFERROR(G4/E4,0)</x:f>
        <x:v>0.8117702993355136</x:v>
      </x:c>
      <x:c r="K4" s="40" t="n">
        <x:f>IFERROR(H4/E4,0)</x:f>
        <x:v>0.09275981461320687</x:v>
      </x:c>
      <x:c r="L4" s="41" t="n">
        <x:f>E4-SUM(F4:H4)</x:f>
        <x:v>9.094947017729282e-13</x:v>
      </x:c>
    </x:row>
    <x:row r="5">
      <x:c r="A5" s="21" t="n">
        <x:v>350200</x:v>
      </x:c>
      <x:c r="B5" s="22" t="str">
        <x:v>厦门市</x:v>
      </x:c>
      <x:c r="C5" s="22" t="n">
        <x:v>350211</x:v>
      </x:c>
      <x:c r="D5" s="22" t="str">
        <x:v>集美区</x:v>
      </x:c>
      <x:c r="E5" s="33" t="n">
        <x:f>SUMIFS('标准化长表'!$N$2:$N$3075,'标准化长表'!$C$2:$C$3075,$C5)</x:f>
        <x:v>27344.446190000002</x:v>
      </x:c>
      <x:c r="F5" s="33" t="n">
        <x:f>SUMIFS('标准化长表'!$N$2:$N$3075,'标准化长表'!$C$2:$C$3075,$C5,'标准化长表'!$E$2:$E$3075,"农用地")</x:f>
        <x:v>14325.220737</x:v>
      </x:c>
      <x:c r="G5" s="33" t="n">
        <x:f>SUMIFS('标准化长表'!$N$2:$N$3075,'标准化长表'!$C$2:$C$3075,$C5,'标准化长表'!$E$2:$E$3075,"建设用地")</x:f>
        <x:v>10004.699344999999</x:v>
      </x:c>
      <x:c r="H5" s="33" t="n">
        <x:f>SUMIFS('标准化长表'!$N$2:$N$3075,'标准化长表'!$C$2:$C$3075,$C5,'标准化长表'!$E$2:$E$3075,"未利用地")</x:f>
        <x:v>3014.526108</x:v>
      </x:c>
      <x:c r="I5" s="40" t="n">
        <x:f>IFERROR(F5/E5,0)</x:f>
        <x:v>0.5238804486096633</x:v>
      </x:c>
      <x:c r="J5" s="40" t="n">
        <x:f>IFERROR(G5/E5,0)</x:f>
        <x:v>0.36587683200761867</x:v>
      </x:c>
      <x:c r="K5" s="40" t="n">
        <x:f>IFERROR(H5/E5,0)</x:f>
        <x:v>0.1102427193827179</x:v>
      </x:c>
      <x:c r="L5" s="41" t="n">
        <x:f>E5-SUM(F5:H5)</x:f>
        <x:v>7.275957614183426e-12</x:v>
      </x:c>
    </x:row>
    <x:row r="6">
      <x:c r="A6" s="21" t="n">
        <x:v>350200</x:v>
      </x:c>
      <x:c r="B6" s="22" t="str">
        <x:v>厦门市</x:v>
      </x:c>
      <x:c r="C6" s="22" t="n">
        <x:v>350212</x:v>
      </x:c>
      <x:c r="D6" s="22" t="str">
        <x:v>同安区</x:v>
      </x:c>
      <x:c r="E6" s="33" t="n">
        <x:f>SUMIFS('标准化长表'!$N$2:$N$3075,'标准化长表'!$C$2:$C$3075,$C6)</x:f>
        <x:v>66904.58129999999</x:v>
      </x:c>
      <x:c r="F6" s="33" t="n">
        <x:f>SUMIFS('标准化长表'!$N$2:$N$3075,'标准化长表'!$C$2:$C$3075,$C6,'标准化长表'!$E$2:$E$3075,"农用地")</x:f>
        <x:v>50302.649474999984</x:v>
      </x:c>
      <x:c r="G6" s="33" t="n">
        <x:f>SUMIFS('标准化长表'!$N$2:$N$3075,'标准化长表'!$C$2:$C$3075,$C6,'标准化长表'!$E$2:$E$3075,"建设用地")</x:f>
        <x:v>12971.44194800001</x:v>
      </x:c>
      <x:c r="H6" s="33" t="n">
        <x:f>SUMIFS('标准化长表'!$N$2:$N$3075,'标准化长表'!$C$2:$C$3075,$C6,'标准化长表'!$E$2:$E$3075,"未利用地")</x:f>
        <x:v>3630.4898770000013</x:v>
      </x:c>
      <x:c r="I6" s="40" t="n">
        <x:f>IFERROR(F6/E6,0)</x:f>
        <x:v>0.7518565768978214</x:v>
      </x:c>
      <x:c r="J6" s="40" t="n">
        <x:f>IFERROR(G6/E6,0)</x:f>
        <x:v>0.19387972685810698</x:v>
      </x:c>
      <x:c r="K6" s="40" t="n">
        <x:f>IFERROR(H6/E6,0)</x:f>
        <x:v>0.054263696244071735</x:v>
      </x:c>
      <x:c r="L6" s="41" t="n">
        <x:f>E6-SUM(F6:H6)</x:f>
        <x:v>0</x:v>
      </x:c>
    </x:row>
    <x:row r="7">
      <x:c r="A7" s="21" t="n">
        <x:v>350200</x:v>
      </x:c>
      <x:c r="B7" s="22" t="str">
        <x:v>厦门市</x:v>
      </x:c>
      <x:c r="C7" s="22" t="n">
        <x:v>350213</x:v>
      </x:c>
      <x:c r="D7" s="22" t="str">
        <x:v>翔安区</x:v>
      </x:c>
      <x:c r="E7" s="33" t="n">
        <x:f>SUMIFS('标准化长表'!$N$2:$N$3075,'标准化长表'!$C$2:$C$3075,$C7)</x:f>
        <x:v>41557.230369999976</x:v>
      </x:c>
      <x:c r="F7" s="33" t="n">
        <x:f>SUMIFS('标准化长表'!$N$2:$N$3075,'标准化长表'!$C$2:$C$3075,$C7,'标准化长表'!$E$2:$E$3075,"农用地")</x:f>
        <x:v>22699.275668999984</x:v>
      </x:c>
      <x:c r="G7" s="33" t="n">
        <x:f>SUMIFS('标准化长表'!$N$2:$N$3075,'标准化长表'!$C$2:$C$3075,$C7,'标准化长表'!$E$2:$E$3075,"建设用地")</x:f>
        <x:v>13016.955472</x:v>
      </x:c>
      <x:c r="H7" s="33" t="n">
        <x:f>SUMIFS('标准化长表'!$N$2:$N$3075,'标准化长表'!$C$2:$C$3075,$C7,'标准化长表'!$E$2:$E$3075,"未利用地")</x:f>
        <x:v>5840.999228999998</x:v>
      </x:c>
      <x:c r="I7" s="40" t="n">
        <x:f>IFERROR(F7/E7,0)</x:f>
        <x:v>0.5462172398617429</x:v>
      </x:c>
      <x:c r="J7" s="40" t="n">
        <x:f>IFERROR(G7/E7,0)</x:f>
        <x:v>0.31322961987853976</x:v>
      </x:c>
      <x:c r="K7" s="40" t="n">
        <x:f>IFERROR(H7/E7,0)</x:f>
        <x:v>0.1405531402597175</x:v>
      </x:c>
      <x:c r="L7" s="41" t="n">
        <x:f>E7-SUM(F7:H7)</x:f>
        <x:v>-7.275957614183426e-12</x:v>
      </x:c>
    </x:row>
    <x:row r="8">
      <x:c r="A8" s="21" t="n">
        <x:v>350500</x:v>
      </x:c>
      <x:c r="B8" s="22" t="str">
        <x:v>泉州市</x:v>
      </x:c>
      <x:c r="C8" s="22" t="n">
        <x:v>350502</x:v>
      </x:c>
      <x:c r="D8" s="22" t="str">
        <x:v>鲤城区</x:v>
      </x:c>
      <x:c r="E8" s="33" t="n">
        <x:f>SUMIFS('标准化长表'!$N$2:$N$3075,'标准化长表'!$C$2:$C$3075,$C8)</x:f>
        <x:v>5182.959770000005</x:v>
      </x:c>
      <x:c r="F8" s="33" t="n">
        <x:f>SUMIFS('标准化长表'!$N$2:$N$3075,'标准化长表'!$C$2:$C$3075,$C8,'标准化长表'!$E$2:$E$3075,"农用地")</x:f>
        <x:v>1511.600168</x:v>
      </x:c>
      <x:c r="G8" s="33" t="n">
        <x:f>SUMIFS('标准化长表'!$N$2:$N$3075,'标准化长表'!$C$2:$C$3075,$C8,'标准化长表'!$E$2:$E$3075,"建设用地")</x:f>
        <x:v>3300.159895000002</x:v>
      </x:c>
      <x:c r="H8" s="33" t="n">
        <x:f>SUMIFS('标准化长表'!$N$2:$N$3075,'标准化长表'!$C$2:$C$3075,$C8,'标准化长表'!$E$2:$E$3075,"未利用地")</x:f>
        <x:v>371.19970700000005</x:v>
      </x:c>
      <x:c r="I8" s="40" t="n">
        <x:f>IFERROR(F8/E8,0)</x:f>
        <x:v>0.2916480611617787</x:v>
      </x:c>
      <x:c r="J8" s="40" t="n">
        <x:f>IFERROR(G8/E8,0)</x:f>
        <x:v>0.6367326858491126</x:v>
      </x:c>
      <x:c r="K8" s="40" t="n">
        <x:f>IFERROR(H8/E8,0)</x:f>
        <x:v>0.07161925298910814</x:v>
      </x:c>
      <x:c r="L8" s="41" t="n">
        <x:f>E8-SUM(F8:H8)</x:f>
        <x:v>3.637978807091713e-12</x:v>
      </x:c>
    </x:row>
    <x:row r="9">
      <x:c r="A9" s="21" t="n">
        <x:v>350500</x:v>
      </x:c>
      <x:c r="B9" s="22" t="str">
        <x:v>泉州市</x:v>
      </x:c>
      <x:c r="C9" s="22" t="n">
        <x:v>350503</x:v>
      </x:c>
      <x:c r="D9" s="22" t="str">
        <x:v>丰泽区</x:v>
      </x:c>
      <x:c r="E9" s="33" t="n">
        <x:f>SUMIFS('标准化长表'!$N$2:$N$3075,'标准化长表'!$C$2:$C$3075,$C9)</x:f>
        <x:v>12924.69042</x:v>
      </x:c>
      <x:c r="F9" s="33" t="n">
        <x:f>SUMIFS('标准化长表'!$N$2:$N$3075,'标准化长表'!$C$2:$C$3075,$C9,'标准化长表'!$E$2:$E$3075,"农用地")</x:f>
        <x:v>4460.520955000002</x:v>
      </x:c>
      <x:c r="G9" s="33" t="n">
        <x:f>SUMIFS('标准化长表'!$N$2:$N$3075,'标准化长表'!$C$2:$C$3075,$C9,'标准化长表'!$E$2:$E$3075,"建设用地")</x:f>
        <x:v>6302.304267000002</x:v>
      </x:c>
      <x:c r="H9" s="33" t="n">
        <x:f>SUMIFS('标准化长表'!$N$2:$N$3075,'标准化长表'!$C$2:$C$3075,$C9,'标准化长表'!$E$2:$E$3075,"未利用地")</x:f>
        <x:v>2161.865198</x:v>
      </x:c>
      <x:c r="I9" s="40" t="n">
        <x:f>IFERROR(F9/E9,0)</x:f>
        <x:v>0.34511627049091065</x:v>
      </x:c>
      <x:c r="J9" s="40" t="n">
        <x:f>IFERROR(G9/E9,0)</x:f>
        <x:v>0.4876174254237961</x:v>
      </x:c>
      <x:c r="K9" s="40" t="n">
        <x:f>IFERROR(H9/E9,0)</x:f>
        <x:v>0.1672663040852935</x:v>
      </x:c>
      <x:c r="L9" s="41" t="n">
        <x:f>E9-SUM(F9:H9)</x:f>
        <x:v>-1.8189894035458565e-12</x:v>
      </x:c>
    </x:row>
    <x:row r="10">
      <x:c r="A10" s="21" t="n">
        <x:v>350500</x:v>
      </x:c>
      <x:c r="B10" s="22" t="str">
        <x:v>泉州市</x:v>
      </x:c>
      <x:c r="C10" s="22" t="n">
        <x:v>350504</x:v>
      </x:c>
      <x:c r="D10" s="22" t="str">
        <x:v>洛江区</x:v>
      </x:c>
      <x:c r="E10" s="33" t="n">
        <x:f>SUMIFS('标准化长表'!$N$2:$N$3075,'标准化长表'!$C$2:$C$3075,$C10)</x:f>
        <x:v>37481.583429999984</x:v>
      </x:c>
      <x:c r="F10" s="33" t="n">
        <x:f>SUMIFS('标准化长表'!$N$2:$N$3075,'标准化长表'!$C$2:$C$3075,$C10,'标准化长表'!$E$2:$E$3075,"农用地")</x:f>
        <x:v>31177.81833200001</x:v>
      </x:c>
      <x:c r="G10" s="33" t="n">
        <x:f>SUMIFS('标准化长表'!$N$2:$N$3075,'标准化长表'!$C$2:$C$3075,$C10,'标准化长表'!$E$2:$E$3075,"建设用地")</x:f>
        <x:v>5194.436958</x:v>
      </x:c>
      <x:c r="H10" s="33" t="n">
        <x:f>SUMIFS('标准化长表'!$N$2:$N$3075,'标准化长表'!$C$2:$C$3075,$C10,'标准化长表'!$E$2:$E$3075,"未利用地")</x:f>
        <x:v>1109.3281399999994</x:v>
      </x:c>
      <x:c r="I10" s="40" t="n">
        <x:f>IFERROR(F10/E10,0)</x:f>
        <x:v>0.8318170012808347</x:v>
      </x:c>
      <x:c r="J10" s="40" t="n">
        <x:f>IFERROR(G10/E10,0)</x:f>
        <x:v>0.1385863798337402</x:v>
      </x:c>
      <x:c r="K10" s="40" t="n">
        <x:f>IFERROR(H10/E10,0)</x:f>
        <x:v>0.029596618885425776</x:v>
      </x:c>
      <x:c r="L10" s="41" t="n">
        <x:f>E10-SUM(F10:H10)</x:f>
        <x:v>-2.1827872842550278e-11</x:v>
      </x:c>
    </x:row>
    <x:row r="11">
      <x:c r="A11" s="21" t="n">
        <x:v>350500</x:v>
      </x:c>
      <x:c r="B11" s="22" t="str">
        <x:v>泉州市</x:v>
      </x:c>
      <x:c r="C11" s="22" t="n">
        <x:v>350505</x:v>
      </x:c>
      <x:c r="D11" s="22" t="str">
        <x:v>泉港区</x:v>
      </x:c>
      <x:c r="E11" s="33" t="n">
        <x:f>SUMIFS('标准化长表'!$N$2:$N$3075,'标准化长表'!$C$2:$C$3075,$C11)</x:f>
        <x:v>34052.32772999998</x:v>
      </x:c>
      <x:c r="F11" s="33" t="n">
        <x:f>SUMIFS('标准化长表'!$N$2:$N$3075,'标准化长表'!$C$2:$C$3075,$C11,'标准化长表'!$E$2:$E$3075,"农用地")</x:f>
        <x:v>19343.796333999995</x:v>
      </x:c>
      <x:c r="G11" s="33" t="n">
        <x:f>SUMIFS('标准化长表'!$N$2:$N$3075,'标准化长表'!$C$2:$C$3075,$C11,'标准化长表'!$E$2:$E$3075,"建设用地")</x:f>
        <x:v>9513.566599999995</x:v>
      </x:c>
      <x:c r="H11" s="33" t="n">
        <x:f>SUMIFS('标准化长表'!$N$2:$N$3075,'标准化长表'!$C$2:$C$3075,$C11,'标准化长表'!$E$2:$E$3075,"未利用地")</x:f>
        <x:v>5194.964795999999</x:v>
      </x:c>
      <x:c r="I11" s="40" t="n">
        <x:f>IFERROR(F11/E11,0)</x:f>
        <x:v>0.5680609116468175</x:v>
      </x:c>
      <x:c r="J11" s="40" t="n">
        <x:f>IFERROR(G11/E11,0)</x:f>
        <x:v>0.27938080108451957</x:v>
      </x:c>
      <x:c r="K11" s="40" t="n">
        <x:f>IFERROR(H11/E11,0)</x:f>
        <x:v>0.15255828726866308</x:v>
      </x:c>
      <x:c r="L11" s="41" t="n">
        <x:f>E11-SUM(F11:H11)</x:f>
        <x:v>-7.275957614183426e-12</x:v>
      </x:c>
    </x:row>
    <x:row r="12">
      <x:c r="A12" s="21" t="n">
        <x:v>350500</x:v>
      </x:c>
      <x:c r="B12" s="22" t="str">
        <x:v>泉州市</x:v>
      </x:c>
      <x:c r="C12" s="22" t="n">
        <x:v>350521</x:v>
      </x:c>
      <x:c r="D12" s="22" t="str">
        <x:v>惠安县</x:v>
      </x:c>
      <x:c r="E12" s="33" t="n">
        <x:f>SUMIFS('标准化长表'!$N$2:$N$3075,'标准化长表'!$C$2:$C$3075,$C12)</x:f>
        <x:v>79275.52391000006</x:v>
      </x:c>
      <x:c r="F12" s="33" t="n">
        <x:f>SUMIFS('标准化长表'!$N$2:$N$3075,'标准化长表'!$C$2:$C$3075,$C12,'标准化长表'!$E$2:$E$3075,"农用地")</x:f>
        <x:v>45837.115156</x:v>
      </x:c>
      <x:c r="G12" s="33" t="n">
        <x:f>SUMIFS('标准化长表'!$N$2:$N$3075,'标准化长表'!$C$2:$C$3075,$C12,'标准化长表'!$E$2:$E$3075,"建设用地")</x:f>
        <x:v>23691.851318000015</x:v>
      </x:c>
      <x:c r="H12" s="33" t="n">
        <x:f>SUMIFS('标准化长表'!$N$2:$N$3075,'标准化长表'!$C$2:$C$3075,$C12,'标准化长表'!$E$2:$E$3075,"未利用地")</x:f>
        <x:v>9746.557436000003</x:v>
      </x:c>
      <x:c r="I12" s="40" t="n">
        <x:f>IFERROR(F12/E12,0)</x:f>
        <x:v>0.5782000912165269</x:v>
      </x:c>
      <x:c r="J12" s="40" t="n">
        <x:f>IFERROR(G12/E12,0)</x:f>
        <x:v>0.29885455370685293</x:v>
      </x:c>
      <x:c r="K12" s="40" t="n">
        <x:f>IFERROR(H12/E12,0)</x:f>
        <x:v>0.12294535507661958</x:v>
      </x:c>
      <x:c r="L12" s="41" t="n">
        <x:f>E12-SUM(F12:H12)</x:f>
        <x:v>4.3655745685100555e-11</x:v>
      </x:c>
    </x:row>
    <x:row r="13">
      <x:c r="A13" s="21" t="n">
        <x:v>350500</x:v>
      </x:c>
      <x:c r="B13" s="22" t="str">
        <x:v>泉州市</x:v>
      </x:c>
      <x:c r="C13" s="22" t="n">
        <x:v>350524</x:v>
      </x:c>
      <x:c r="D13" s="22" t="str">
        <x:v>安溪县</x:v>
      </x:c>
      <x:c r="E13" s="33" t="n">
        <x:f>SUMIFS('标准化长表'!$N$2:$N$3075,'标准化长表'!$C$2:$C$3075,$C13)</x:f>
        <x:v>299379.4583799993</x:v>
      </x:c>
      <x:c r="F13" s="33" t="n">
        <x:f>SUMIFS('标准化长表'!$N$2:$N$3075,'标准化长表'!$C$2:$C$3075,$C13,'标准化长表'!$E$2:$E$3075,"农用地")</x:f>
        <x:v>275001.97071999934</x:v>
      </x:c>
      <x:c r="G13" s="33" t="n">
        <x:f>SUMIFS('标准化长表'!$N$2:$N$3075,'标准化长表'!$C$2:$C$3075,$C13,'标准化长表'!$E$2:$E$3075,"建设用地")</x:f>
        <x:v>19498.94109000007</x:v>
      </x:c>
      <x:c r="H13" s="33" t="n">
        <x:f>SUMIFS('标准化长表'!$N$2:$N$3075,'标准化长表'!$C$2:$C$3075,$C13,'标准化长表'!$E$2:$E$3075,"未利用地")</x:f>
        <x:v>4878.546570000002</x:v>
      </x:c>
      <x:c r="I13" s="40" t="n">
        <x:f>IFERROR(F13/E13,0)</x:f>
        <x:v>0.9185732789019283</x:v>
      </x:c>
      <x:c r="J13" s="40" t="n">
        <x:f>IFERROR(G13/E13,0)</x:f>
        <x:v>0.06513119235204928</x:v>
      </x:c>
      <x:c r="K13" s="40" t="n">
        <x:f>IFERROR(H13/E13,0)</x:f>
        <x:v>0.016295528746022754</x:v>
      </x:c>
      <x:c r="L13" s="41" t="n">
        <x:f>E13-SUM(F13:H13)</x:f>
        <x:v>-1.1641532182693481e-10</x:v>
      </x:c>
    </x:row>
    <x:row r="14">
      <x:c r="A14" s="21" t="n">
        <x:v>350500</x:v>
      </x:c>
      <x:c r="B14" s="22" t="str">
        <x:v>泉州市</x:v>
      </x:c>
      <x:c r="C14" s="22" t="n">
        <x:v>350525</x:v>
      </x:c>
      <x:c r="D14" s="22" t="str">
        <x:v>永春县</x:v>
      </x:c>
      <x:c r="E14" s="33" t="n">
        <x:f>SUMIFS('标准化长表'!$N$2:$N$3075,'标准化长表'!$C$2:$C$3075,$C14)</x:f>
        <x:v>145543.9697799998</x:v>
      </x:c>
      <x:c r="F14" s="33" t="n">
        <x:f>SUMIFS('标准化长表'!$N$2:$N$3075,'标准化长表'!$C$2:$C$3075,$C14,'标准化长表'!$E$2:$E$3075,"农用地")</x:f>
        <x:v>132192.50946099978</x:v>
      </x:c>
      <x:c r="G14" s="33" t="n">
        <x:f>SUMIFS('标准化长表'!$N$2:$N$3075,'标准化长表'!$C$2:$C$3075,$C14,'标准化长表'!$E$2:$E$3075,"建设用地")</x:f>
        <x:v>9990.39586600001</x:v>
      </x:c>
      <x:c r="H14" s="33" t="n">
        <x:f>SUMIFS('标准化长表'!$N$2:$N$3075,'标准化长表'!$C$2:$C$3075,$C14,'标准化长表'!$E$2:$E$3075,"未利用地")</x:f>
        <x:v>3361.0644529999945</x:v>
      </x:c>
      <x:c r="I14" s="40" t="n">
        <x:f>IFERROR(F14/E14,0)</x:f>
        <x:v>0.9082651082062574</x:v>
      </x:c>
      <x:c r="J14" s="40" t="n">
        <x:f>IFERROR(G14/E14,0)</x:f>
        <x:v>0.06864177115067847</x:v>
      </x:c>
      <x:c r="K14" s="40" t="n">
        <x:f>IFERROR(H14/E14,0)</x:f>
        <x:v>0.023093120643063986</x:v>
      </x:c>
      <x:c r="L14" s="41" t="n">
        <x:f>E14-SUM(F14:H14)</x:f>
        <x:v>2.9103830456733704e-11</x:v>
      </x:c>
    </x:row>
    <x:row r="15">
      <x:c r="A15" s="21" t="n">
        <x:v>350500</x:v>
      </x:c>
      <x:c r="B15" s="22" t="str">
        <x:v>泉州市</x:v>
      </x:c>
      <x:c r="C15" s="22" t="n">
        <x:v>350526</x:v>
      </x:c>
      <x:c r="D15" s="22" t="str">
        <x:v>德化县</x:v>
      </x:c>
      <x:c r="E15" s="33" t="n">
        <x:f>SUMIFS('标准化长表'!$N$2:$N$3075,'标准化长表'!$C$2:$C$3075,$C15)</x:f>
        <x:v>220374.13023999962</x:v>
      </x:c>
      <x:c r="F15" s="33" t="n">
        <x:f>SUMIFS('标准化长表'!$N$2:$N$3075,'标准化长表'!$C$2:$C$3075,$C15,'标准化长表'!$E$2:$E$3075,"农用地")</x:f>
        <x:v>208638.4006499996</x:v>
      </x:c>
      <x:c r="G15" s="33" t="n">
        <x:f>SUMIFS('标准化长表'!$N$2:$N$3075,'标准化长表'!$C$2:$C$3075,$C15,'标准化长表'!$E$2:$E$3075,"建设用地")</x:f>
        <x:v>6976.888770000005</x:v>
      </x:c>
      <x:c r="H15" s="33" t="n">
        <x:f>SUMIFS('标准化长表'!$N$2:$N$3075,'标准化长表'!$C$2:$C$3075,$C15,'标准化长表'!$E$2:$E$3075,"未利用地")</x:f>
        <x:v>4758.840819999995</x:v>
      </x:c>
      <x:c r="I15" s="40" t="n">
        <x:f>IFERROR(F15/E15,0)</x:f>
        <x:v>0.946746337343593</x:v>
      </x:c>
      <x:c r="J15" s="40" t="n">
        <x:f>IFERROR(G15/E15,0)</x:f>
        <x:v>0.03165929123532688</x:v>
      </x:c>
      <x:c r="K15" s="40" t="n">
        <x:f>IFERROR(H15/E15,0)</x:f>
        <x:v>0.021594371421079932</x:v>
      </x:c>
      <x:c r="L15" s="41" t="n">
        <x:f>E15-SUM(F15:H15)</x:f>
        <x:v>5.820766091346741e-11</x:v>
      </x:c>
    </x:row>
    <x:row r="16">
      <x:c r="A16" s="21" t="n">
        <x:v>350500</x:v>
      </x:c>
      <x:c r="B16" s="22" t="str">
        <x:v>泉州市</x:v>
      </x:c>
      <x:c r="C16" s="22" t="n">
        <x:v>350581</x:v>
      </x:c>
      <x:c r="D16" s="22" t="str">
        <x:v>石狮市</x:v>
      </x:c>
      <x:c r="E16" s="33" t="n">
        <x:f>SUMIFS('标准化长表'!$N$2:$N$3075,'标准化长表'!$C$2:$C$3075,$C16)</x:f>
        <x:v>18802.015809999997</x:v>
      </x:c>
      <x:c r="F16" s="33" t="n">
        <x:f>SUMIFS('标准化长表'!$N$2:$N$3075,'标准化长表'!$C$2:$C$3075,$C16,'标准化长表'!$E$2:$E$3075,"农用地")</x:f>
        <x:v>5691.495477999999</x:v>
      </x:c>
      <x:c r="G16" s="33" t="n">
        <x:f>SUMIFS('标准化长表'!$N$2:$N$3075,'标准化长表'!$C$2:$C$3075,$C16,'标准化长表'!$E$2:$E$3075,"建设用地")</x:f>
        <x:v>9460.540619999998</x:v>
      </x:c>
      <x:c r="H16" s="33" t="n">
        <x:f>SUMIFS('标准化长表'!$N$2:$N$3075,'标准化长表'!$C$2:$C$3075,$C16,'标准化长表'!$E$2:$E$3075,"未利用地")</x:f>
        <x:v>3649.9797120000003</x:v>
      </x:c>
      <x:c r="I16" s="40" t="n">
        <x:f>IFERROR(F16/E16,0)</x:f>
        <x:v>0.3027066637702184</x:v>
      </x:c>
      <x:c r="J16" s="40" t="n">
        <x:f>IFERROR(G16/E16,0)</x:f>
        <x:v>0.5031662942740606</x:v>
      </x:c>
      <x:c r="K16" s="40" t="n">
        <x:f>IFERROR(H16/E16,0)</x:f>
        <x:v>0.19412704195572106</x:v>
      </x:c>
      <x:c r="L16" s="41" t="n">
        <x:f>E16-SUM(F16:H16)</x:f>
        <x:v>0</x:v>
      </x:c>
    </x:row>
    <x:row r="17">
      <x:c r="A17" s="21" t="n">
        <x:v>350500</x:v>
      </x:c>
      <x:c r="B17" s="22" t="str">
        <x:v>泉州市</x:v>
      </x:c>
      <x:c r="C17" s="22" t="n">
        <x:v>350582</x:v>
      </x:c>
      <x:c r="D17" s="22" t="str">
        <x:v>晋江市</x:v>
      </x:c>
      <x:c r="E17" s="33" t="n">
        <x:f>SUMIFS('标准化长表'!$N$2:$N$3075,'标准化长表'!$C$2:$C$3075,$C17)</x:f>
        <x:v>73403.35208000004</x:v>
      </x:c>
      <x:c r="F17" s="33" t="n">
        <x:f>SUMIFS('标准化长表'!$N$2:$N$3075,'标准化长表'!$C$2:$C$3075,$C17,'标准化长表'!$E$2:$E$3075,"农用地")</x:f>
        <x:v>27159.651629000073</x:v>
      </x:c>
      <x:c r="G17" s="33" t="n">
        <x:f>SUMIFS('标准化长表'!$N$2:$N$3075,'标准化长表'!$C$2:$C$3075,$C17,'标准化长表'!$E$2:$E$3075,"建设用地")</x:f>
        <x:v>35019.20438199994</x:v>
      </x:c>
      <x:c r="H17" s="33" t="n">
        <x:f>SUMIFS('标准化长表'!$N$2:$N$3075,'标准化长表'!$C$2:$C$3075,$C17,'标准化长表'!$E$2:$E$3075,"未利用地")</x:f>
        <x:v>11224.496068999995</x:v>
      </x:c>
      <x:c r="I17" s="40" t="n">
        <x:f>IFERROR(F17/E17,0)</x:f>
        <x:v>0.3700056040955679</x:v>
      </x:c>
      <x:c r="J17" s="40" t="n">
        <x:f>IFERROR(G17/E17,0)</x:f>
        <x:v>0.4770790895739147</x:v>
      </x:c>
      <x:c r="K17" s="40" t="n">
        <x:f>IFERROR(H17/E17,0)</x:f>
        <x:v>0.15291530633051695</x:v>
      </x:c>
      <x:c r="L17" s="41" t="n">
        <x:f>E17-SUM(F17:H17)</x:f>
        <x:v>2.9103830456733704e-11</x:v>
      </x:c>
    </x:row>
    <x:row r="18">
      <x:c r="A18" s="21" t="n">
        <x:v>350500</x:v>
      </x:c>
      <x:c r="B18" s="22" t="str">
        <x:v>泉州市</x:v>
      </x:c>
      <x:c r="C18" s="22" t="n">
        <x:v>350583</x:v>
      </x:c>
      <x:c r="D18" s="22" t="str">
        <x:v>南安市</x:v>
      </x:c>
      <x:c r="E18" s="33" t="n">
        <x:f>SUMIFS('标准化长表'!$N$2:$N$3075,'标准化长表'!$C$2:$C$3075,$C18)</x:f>
        <x:v>203099.82234000016</x:v>
      </x:c>
      <x:c r="F18" s="33" t="n">
        <x:f>SUMIFS('标准化长表'!$N$2:$N$3075,'标准化长表'!$C$2:$C$3075,$C18,'标准化长表'!$E$2:$E$3075,"农用地")</x:f>
        <x:v>155745.48237600012</x:v>
      </x:c>
      <x:c r="G18" s="33" t="n">
        <x:f>SUMIFS('标准化长表'!$N$2:$N$3075,'标准化长表'!$C$2:$C$3075,$C18,'标准化长表'!$E$2:$E$3075,"建设用地")</x:f>
        <x:v>39551.37394400006</x:v>
      </x:c>
      <x:c r="H18" s="33" t="n">
        <x:f>SUMIFS('标准化长表'!$N$2:$N$3075,'标准化长表'!$C$2:$C$3075,$C18,'标准化长表'!$E$2:$E$3075,"未利用地")</x:f>
        <x:v>7802.966020000004</x:v>
      </x:c>
      <x:c r="I18" s="40" t="n">
        <x:f>IFERROR(F18/E18,0)</x:f>
        <x:v>0.7668420414237177</x:v>
      </x:c>
      <x:c r="J18" s="40" t="n">
        <x:f>IFERROR(G18/E18,0)</x:f>
        <x:v>0.1947385944916727</x:v>
      </x:c>
      <x:c r="K18" s="40" t="n">
        <x:f>IFERROR(H18/E18,0)</x:f>
        <x:v>0.03841936408460966</x:v>
      </x:c>
      <x:c r="L18" s="41" t="n">
        <x:f>E18-SUM(F18:H18)</x:f>
        <x:v>0</x:v>
      </x:c>
    </x:row>
    <x:row r="19">
      <x:c r="A19" s="21" t="n">
        <x:v>350600</x:v>
      </x:c>
      <x:c r="B19" s="22" t="str">
        <x:v>漳州市</x:v>
      </x:c>
      <x:c r="C19" s="22" t="n">
        <x:v>350602</x:v>
      </x:c>
      <x:c r="D19" s="22" t="str">
        <x:v>芗城区</x:v>
      </x:c>
      <x:c r="E19" s="33" t="n">
        <x:f>SUMIFS('标准化长表'!$N$2:$N$3075,'标准化长表'!$C$2:$C$3075,$C19)</x:f>
        <x:v>25086.203909999997</x:v>
      </x:c>
      <x:c r="F19" s="33" t="n">
        <x:f>SUMIFS('标准化长表'!$N$2:$N$3075,'标准化长表'!$C$2:$C$3075,$C19,'标准化长表'!$E$2:$E$3075,"农用地")</x:f>
        <x:v>16303.130810999994</x:v>
      </x:c>
      <x:c r="G19" s="33" t="n">
        <x:f>SUMIFS('标准化长表'!$N$2:$N$3075,'标准化长表'!$C$2:$C$3075,$C19,'标准化长表'!$E$2:$E$3075,"建设用地")</x:f>
        <x:v>7397.810839999998</x:v>
      </x:c>
      <x:c r="H19" s="33" t="n">
        <x:f>SUMIFS('标准化长表'!$N$2:$N$3075,'标准化长表'!$C$2:$C$3075,$C19,'标准化长表'!$E$2:$E$3075,"未利用地")</x:f>
        <x:v>1385.2622590000008</x:v>
      </x:c>
      <x:c r="I19" s="40" t="n">
        <x:f>IFERROR(F19/E19,0)</x:f>
        <x:v>0.649884329629528</x:v>
      </x:c>
      <x:c r="J19" s="40" t="n">
        <x:f>IFERROR(G19/E19,0)</x:f>
        <x:v>0.29489558749265543</x:v>
      </x:c>
      <x:c r="K19" s="40" t="n">
        <x:f>IFERROR(H19/E19,0)</x:f>
        <x:v>0.055220082877816365</x:v>
      </x:c>
      <x:c r="L19" s="41" t="n">
        <x:f>E19-SUM(F19:H19)</x:f>
        <x:v>3.637978807091713e-12</x:v>
      </x:c>
    </x:row>
    <x:row r="20">
      <x:c r="A20" s="21" t="n">
        <x:v>350600</x:v>
      </x:c>
      <x:c r="B20" s="22" t="str">
        <x:v>漳州市</x:v>
      </x:c>
      <x:c r="C20" s="22" t="n">
        <x:v>350603</x:v>
      </x:c>
      <x:c r="D20" s="22" t="str">
        <x:v>龙文区</x:v>
      </x:c>
      <x:c r="E20" s="33" t="n">
        <x:f>SUMIFS('标准化长表'!$N$2:$N$3075,'标准化长表'!$C$2:$C$3075,$C20)</x:f>
        <x:v>12581.918939999987</x:v>
      </x:c>
      <x:c r="F20" s="33" t="n">
        <x:f>SUMIFS('标准化长表'!$N$2:$N$3075,'标准化长表'!$C$2:$C$3075,$C20,'标准化长表'!$E$2:$E$3075,"农用地")</x:f>
        <x:v>6214.940102999999</x:v>
      </x:c>
      <x:c r="G20" s="33" t="n">
        <x:f>SUMIFS('标准化长表'!$N$2:$N$3075,'标准化长表'!$C$2:$C$3075,$C20,'标准化长表'!$E$2:$E$3075,"建设用地")</x:f>
        <x:v>5196.536611999999</x:v>
      </x:c>
      <x:c r="H20" s="33" t="n">
        <x:f>SUMIFS('标准化长表'!$N$2:$N$3075,'标准化长表'!$C$2:$C$3075,$C20,'标准化长表'!$E$2:$E$3075,"未利用地")</x:f>
        <x:v>1170.4422250000005</x:v>
      </x:c>
      <x:c r="I20" s="40" t="n">
        <x:f>IFERROR(F20/E20,0)</x:f>
        <x:v>0.49395804667296683</x:v>
      </x:c>
      <x:c r="J20" s="40" t="n">
        <x:f>IFERROR(G20/E20,0)</x:f>
        <x:v>0.4130162208786257</x:v>
      </x:c>
      <x:c r="K20" s="40" t="n">
        <x:f>IFERROR(H20/E20,0)</x:f>
        <x:v>0.09302573244840835</x:v>
      </x:c>
      <x:c r="L20" s="41" t="n">
        <x:f>E20-SUM(F20:H20)</x:f>
        <x:v>-1.0913936421275139e-11</x:v>
      </x:c>
    </x:row>
    <x:row r="21">
      <x:c r="A21" s="21" t="n">
        <x:v>350600</x:v>
      </x:c>
      <x:c r="B21" s="22" t="str">
        <x:v>漳州市</x:v>
      </x:c>
      <x:c r="C21" s="22" t="n">
        <x:v>350622</x:v>
      </x:c>
      <x:c r="D21" s="22" t="str">
        <x:v>云霄县</x:v>
      </x:c>
      <x:c r="E21" s="33" t="n">
        <x:f>SUMIFS('标准化长表'!$N$2:$N$3075,'标准化长表'!$C$2:$C$3075,$C21)</x:f>
        <x:v>105308.33556999992</x:v>
      </x:c>
      <x:c r="F21" s="33" t="n">
        <x:f>SUMIFS('标准化长表'!$N$2:$N$3075,'标准化长表'!$C$2:$C$3075,$C21,'标准化长表'!$E$2:$E$3075,"农用地")</x:f>
        <x:v>92704.52348099995</x:v>
      </x:c>
      <x:c r="G21" s="33" t="n">
        <x:f>SUMIFS('标准化长表'!$N$2:$N$3075,'标准化长表'!$C$2:$C$3075,$C21,'标准化长表'!$E$2:$E$3075,"建设用地")</x:f>
        <x:v>6881.244743000003</x:v>
      </x:c>
      <x:c r="H21" s="33" t="n">
        <x:f>SUMIFS('标准化长表'!$N$2:$N$3075,'标准化长表'!$C$2:$C$3075,$C21,'标准化长表'!$E$2:$E$3075,"未利用地")</x:f>
        <x:v>5722.5673460000025</x:v>
      </x:c>
      <x:c r="I21" s="40" t="n">
        <x:f>IFERROR(F21/E21,0)</x:f>
        <x:v>0.8803151524446795</x:v>
      </x:c>
      <x:c r="J21" s="40" t="n">
        <x:f>IFERROR(G21/E21,0)</x:f>
        <x:v>0.0653437802976759</x:v>
      </x:c>
      <x:c r="K21" s="40" t="n">
        <x:f>IFERROR(H21/E21,0)</x:f>
        <x:v>0.05434106725764488</x:v>
      </x:c>
      <x:c r="L21" s="41" t="n">
        <x:f>E21-SUM(F21:H21)</x:f>
        <x:v>-2.9103830456733704e-11</x:v>
      </x:c>
    </x:row>
    <x:row r="22">
      <x:c r="A22" s="21" t="n">
        <x:v>350600</x:v>
      </x:c>
      <x:c r="B22" s="22" t="str">
        <x:v>漳州市</x:v>
      </x:c>
      <x:c r="C22" s="22" t="n">
        <x:v>350623</x:v>
      </x:c>
      <x:c r="D22" s="22" t="str">
        <x:v>漳浦县</x:v>
      </x:c>
      <x:c r="E22" s="33" t="n">
        <x:f>SUMIFS('标准化长表'!$N$2:$N$3075,'标准化长表'!$C$2:$C$3075,$C22)</x:f>
        <x:v>214883.98731000006</x:v>
      </x:c>
      <x:c r="F22" s="33" t="n">
        <x:f>SUMIFS('标准化长表'!$N$2:$N$3075,'标准化长表'!$C$2:$C$3075,$C22,'标准化长表'!$E$2:$E$3075,"农用地")</x:f>
        <x:v>171188.58790800013</x:v>
      </x:c>
      <x:c r="G22" s="33" t="n">
        <x:f>SUMIFS('标准化长表'!$N$2:$N$3075,'标准化长表'!$C$2:$C$3075,$C22,'标准化长表'!$E$2:$E$3075,"建设用地")</x:f>
        <x:v>22459.970655999965</x:v>
      </x:c>
      <x:c r="H22" s="33" t="n">
        <x:f>SUMIFS('标准化长表'!$N$2:$N$3075,'标准化长表'!$C$2:$C$3075,$C22,'标准化长表'!$E$2:$E$3075,"未利用地")</x:f>
        <x:v>21235.428745999994</x:v>
      </x:c>
      <x:c r="I22" s="40" t="n">
        <x:f>IFERROR(F22/E22,0)</x:f>
        <x:v>0.7966558609182767</x:v>
      </x:c>
      <x:c r="J22" s="40" t="n">
        <x:f>IFERROR(G22/E22,0)</x:f>
        <x:v>0.10452137889454895</x:v>
      </x:c>
      <x:c r="K22" s="40" t="n">
        <x:f>IFERROR(H22/E22,0)</x:f>
        <x:v>0.09882276018717455</x:v>
      </x:c>
      <x:c r="L22" s="41" t="n">
        <x:f>E22-SUM(F22:H22)</x:f>
        <x:v>-2.9103830456733704e-11</x:v>
      </x:c>
    </x:row>
    <x:row r="23">
      <x:c r="A23" s="21" t="n">
        <x:v>350600</x:v>
      </x:c>
      <x:c r="B23" s="22" t="str">
        <x:v>漳州市</x:v>
      </x:c>
      <x:c r="C23" s="22" t="n">
        <x:v>350624</x:v>
      </x:c>
      <x:c r="D23" s="22" t="str">
        <x:v>诏安县</x:v>
      </x:c>
      <x:c r="E23" s="33" t="n">
        <x:f>SUMIFS('标准化长表'!$N$2:$N$3075,'标准化长表'!$C$2:$C$3075,$C23)</x:f>
        <x:v>130048.18224000014</x:v>
      </x:c>
      <x:c r="F23" s="33" t="n">
        <x:f>SUMIFS('标准化长表'!$N$2:$N$3075,'标准化长表'!$C$2:$C$3075,$C23,'标准化长表'!$E$2:$E$3075,"农用地")</x:f>
        <x:v>114907.34047100015</x:v>
      </x:c>
      <x:c r="G23" s="33" t="n">
        <x:f>SUMIFS('标准化长表'!$N$2:$N$3075,'标准化长表'!$C$2:$C$3075,$C23,'标准化长表'!$E$2:$E$3075,"建设用地")</x:f>
        <x:v>8355.51696699999</x:v>
      </x:c>
      <x:c r="H23" s="33" t="n">
        <x:f>SUMIFS('标准化长表'!$N$2:$N$3075,'标准化长表'!$C$2:$C$3075,$C23,'标准化长表'!$E$2:$E$3075,"未利用地")</x:f>
        <x:v>6785.324801999998</x:v>
      </x:c>
      <x:c r="I23" s="40" t="n">
        <x:f>IFERROR(F23/E23,0)</x:f>
        <x:v>0.8835751372436871</x:v>
      </x:c>
      <x:c r="J23" s="40" t="n">
        <x:f>IFERROR(G23/E23,0)</x:f>
        <x:v>0.06424939451733455</x:v>
      </x:c>
      <x:c r="K23" s="40" t="n">
        <x:f>IFERROR(H23/E23,0)</x:f>
        <x:v>0.05217546823897837</x:v>
      </x:c>
      <x:c r="L23" s="41" t="n">
        <x:f>E23-SUM(F23:H23)</x:f>
        <x:v>0</x:v>
      </x:c>
    </x:row>
    <x:row r="24">
      <x:c r="A24" s="21" t="n">
        <x:v>350600</x:v>
      </x:c>
      <x:c r="B24" s="22" t="str">
        <x:v>漳州市</x:v>
      </x:c>
      <x:c r="C24" s="22" t="n">
        <x:v>350625</x:v>
      </x:c>
      <x:c r="D24" s="22" t="str">
        <x:v>长泰区</x:v>
      </x:c>
      <x:c r="E24" s="33" t="n">
        <x:f>SUMIFS('标准化长表'!$N$2:$N$3075,'标准化长表'!$C$2:$C$3075,$C24)</x:f>
        <x:v>90008.98374000001</x:v>
      </x:c>
      <x:c r="F24" s="33" t="n">
        <x:f>SUMIFS('标准化长表'!$N$2:$N$3075,'标准化长表'!$C$2:$C$3075,$C24,'标准化长表'!$E$2:$E$3075,"农用地")</x:f>
        <x:v>79094.684414</x:v>
      </x:c>
      <x:c r="G24" s="33" t="n">
        <x:f>SUMIFS('标准化长表'!$N$2:$N$3075,'标准化长表'!$C$2:$C$3075,$C24,'标准化长表'!$E$2:$E$3075,"建设用地")</x:f>
        <x:v>8236.588497000006</x:v>
      </x:c>
      <x:c r="H24" s="33" t="n">
        <x:f>SUMIFS('标准化长表'!$N$2:$N$3075,'标准化长表'!$C$2:$C$3075,$C24,'标准化长表'!$E$2:$E$3075,"未利用地")</x:f>
        <x:v>2677.7108289999983</x:v>
      </x:c>
      <x:c r="I24" s="40" t="n">
        <x:f>IFERROR(F24/E24,0)</x:f>
        <x:v>0.8787421113704932</x:v>
      </x:c>
      <x:c r="J24" s="40" t="n">
        <x:f>IFERROR(G24/E24,0)</x:f>
        <x:v>0.09150851564764045</x:v>
      </x:c>
      <x:c r="K24" s="40" t="n">
        <x:f>IFERROR(H24/E24,0)</x:f>
        <x:v>0.029749372981866286</x:v>
      </x:c>
      <x:c r="L24" s="41" t="n">
        <x:f>E24-SUM(F24:H24)</x:f>
        <x:v>0</x:v>
      </x:c>
    </x:row>
    <x:row r="25">
      <x:c r="A25" s="21" t="n">
        <x:v>350600</x:v>
      </x:c>
      <x:c r="B25" s="22" t="str">
        <x:v>漳州市</x:v>
      </x:c>
      <x:c r="C25" s="22" t="n">
        <x:v>350626</x:v>
      </x:c>
      <x:c r="D25" s="22" t="str">
        <x:v>东山县</x:v>
      </x:c>
      <x:c r="E25" s="33" t="n">
        <x:f>SUMIFS('标准化长表'!$N$2:$N$3075,'标准化长表'!$C$2:$C$3075,$C25)</x:f>
        <x:v>24340.42302</x:v>
      </x:c>
      <x:c r="F25" s="33" t="n">
        <x:f>SUMIFS('标准化长表'!$N$2:$N$3075,'标准化长表'!$C$2:$C$3075,$C25,'标准化长表'!$E$2:$E$3075,"农用地")</x:f>
        <x:v>16400.033344000007</x:v>
      </x:c>
      <x:c r="G25" s="33" t="n">
        <x:f>SUMIFS('标准化长表'!$N$2:$N$3075,'标准化长表'!$C$2:$C$3075,$C25,'标准化长表'!$E$2:$E$3075,"建设用地")</x:f>
        <x:v>5317.8266810000005</x:v>
      </x:c>
      <x:c r="H25" s="33" t="n">
        <x:f>SUMIFS('标准化长表'!$N$2:$N$3075,'标准化长表'!$C$2:$C$3075,$C25,'标准化长表'!$E$2:$E$3075,"未利用地")</x:f>
        <x:v>2622.562995</x:v>
      </x:c>
      <x:c r="I25" s="40" t="n">
        <x:f>IFERROR(F25/E25,0)</x:f>
        <x:v>0.6737776632117056</x:v>
      </x:c>
      <x:c r="J25" s="40" t="n">
        <x:f>IFERROR(G25/E25,0)</x:f>
        <x:v>0.21847716765770495</x:v>
      </x:c>
      <x:c r="K25" s="40" t="n">
        <x:f>IFERROR(H25/E25,0)</x:f>
        <x:v>0.10774516913058975</x:v>
      </x:c>
      <x:c r="L25" s="41" t="n">
        <x:f>E25-SUM(F25:H25)</x:f>
        <x:v>-1.0913936421275139e-11</x:v>
      </x:c>
    </x:row>
    <x:row r="26">
      <x:c r="A26" s="21" t="n">
        <x:v>350600</x:v>
      </x:c>
      <x:c r="B26" s="22" t="str">
        <x:v>漳州市</x:v>
      </x:c>
      <x:c r="C26" s="22" t="n">
        <x:v>350627</x:v>
      </x:c>
      <x:c r="D26" s="22" t="str">
        <x:v>南靖县</x:v>
      </x:c>
      <x:c r="E26" s="33" t="n">
        <x:f>SUMIFS('标准化长表'!$N$2:$N$3075,'标准化长表'!$C$2:$C$3075,$C26)</x:f>
        <x:v>196197.31088999985</x:v>
      </x:c>
      <x:c r="F26" s="33" t="n">
        <x:f>SUMIFS('标准化长表'!$N$2:$N$3075,'标准化长表'!$C$2:$C$3075,$C26,'标准化长表'!$E$2:$E$3075,"农用地")</x:f>
        <x:v>183066.53520599988</x:v>
      </x:c>
      <x:c r="G26" s="33" t="n">
        <x:f>SUMIFS('标准化长表'!$N$2:$N$3075,'标准化长表'!$C$2:$C$3075,$C26,'标准化长表'!$E$2:$E$3075,"建设用地")</x:f>
        <x:v>10155.956178000006</x:v>
      </x:c>
      <x:c r="H26" s="33" t="n">
        <x:f>SUMIFS('标准化长表'!$N$2:$N$3075,'标准化长表'!$C$2:$C$3075,$C26,'标准化长表'!$E$2:$E$3075,"未利用地")</x:f>
        <x:v>2974.8195059999975</x:v>
      </x:c>
      <x:c r="I26" s="40" t="n">
        <x:f>IFERROR(F26/E26,0)</x:f>
        <x:v>0.933073620507664</x:v>
      </x:c>
      <x:c r="J26" s="40" t="n">
        <x:f>IFERROR(G26/E26,0)</x:f>
        <x:v>0.051763992747556324</x:v>
      </x:c>
      <x:c r="K26" s="40" t="n">
        <x:f>IFERROR(H26/E26,0)</x:f>
        <x:v>0.015162386744779915</x:v>
      </x:c>
      <x:c r="L26" s="41" t="n">
        <x:f>E26-SUM(F26:H26)</x:f>
        <x:v>-2.9103830456733704e-11</x:v>
      </x:c>
    </x:row>
    <x:row r="27">
      <x:c r="A27" s="21" t="n">
        <x:v>350600</x:v>
      </x:c>
      <x:c r="B27" s="22" t="str">
        <x:v>漳州市</x:v>
      </x:c>
      <x:c r="C27" s="22" t="n">
        <x:v>350628</x:v>
      </x:c>
      <x:c r="D27" s="22" t="str">
        <x:v>平和县</x:v>
      </x:c>
      <x:c r="E27" s="33" t="n">
        <x:f>SUMIFS('标准化长表'!$N$2:$N$3075,'标准化长表'!$C$2:$C$3075,$C27)</x:f>
        <x:v>230953.8921099998</x:v>
      </x:c>
      <x:c r="F27" s="33" t="n">
        <x:f>SUMIFS('标准化长表'!$N$2:$N$3075,'标准化长表'!$C$2:$C$3075,$C27,'标准化长表'!$E$2:$E$3075,"农用地")</x:f>
        <x:v>219595.34548699978</x:v>
      </x:c>
      <x:c r="G27" s="33" t="n">
        <x:f>SUMIFS('标准化长表'!$N$2:$N$3075,'标准化长表'!$C$2:$C$3075,$C27,'标准化长表'!$E$2:$E$3075,"建设用地")</x:f>
        <x:v>8758.264321000004</x:v>
      </x:c>
      <x:c r="H27" s="33" t="n">
        <x:f>SUMIFS('标准化长表'!$N$2:$N$3075,'标准化长表'!$C$2:$C$3075,$C27,'标准化长表'!$E$2:$E$3075,"未利用地")</x:f>
        <x:v>2600.2823019999996</x:v>
      </x:c>
      <x:c r="I27" s="40" t="n">
        <x:f>IFERROR(F27/E27,0)</x:f>
        <x:v>0.9508189859056797</x:v>
      </x:c>
      <x:c r="J27" s="40" t="n">
        <x:f>IFERROR(G27/E27,0)</x:f>
        <x:v>0.03792213346562082</x:v>
      </x:c>
      <x:c r="K27" s="40" t="n">
        <x:f>IFERROR(H27/E27,0)</x:f>
        <x:v>0.011258880628699364</x:v>
      </x:c>
      <x:c r="L27" s="41" t="n">
        <x:f>E27-SUM(F27:H27)</x:f>
        <x:v>2.9103830456733704e-11</x:v>
      </x:c>
    </x:row>
    <x:row r="28">
      <x:c r="A28" s="21" t="n">
        <x:v>350600</x:v>
      </x:c>
      <x:c r="B28" s="22" t="str">
        <x:v>漳州市</x:v>
      </x:c>
      <x:c r="C28" s="22" t="n">
        <x:v>350629</x:v>
      </x:c>
      <x:c r="D28" s="22" t="str">
        <x:v>华安县</x:v>
      </x:c>
      <x:c r="E28" s="33" t="n">
        <x:f>SUMIFS('标准化长表'!$N$2:$N$3075,'标准化长表'!$C$2:$C$3075,$C28)</x:f>
        <x:v>127760.83967000022</x:v>
      </x:c>
      <x:c r="F28" s="33" t="n">
        <x:f>SUMIFS('标准化长表'!$N$2:$N$3075,'标准化长表'!$C$2:$C$3075,$C28,'标准化长表'!$E$2:$E$3075,"农用地")</x:f>
        <x:v>119773.53258000022</x:v>
      </x:c>
      <x:c r="G28" s="33" t="n">
        <x:f>SUMIFS('标准化长表'!$N$2:$N$3075,'标准化长表'!$C$2:$C$3075,$C28,'标准化长表'!$E$2:$E$3075,"建设用地")</x:f>
        <x:v>4976.498838999998</x:v>
      </x:c>
      <x:c r="H28" s="33" t="n">
        <x:f>SUMIFS('标准化长表'!$N$2:$N$3075,'标准化长表'!$C$2:$C$3075,$C28,'标准化长表'!$E$2:$E$3075,"未利用地")</x:f>
        <x:v>3010.8082510000017</x:v>
      </x:c>
      <x:c r="I28" s="40" t="n">
        <x:f>IFERROR(F28/E28,0)</x:f>
        <x:v>0.9374823528819096</x:v>
      </x:c>
      <x:c r="J28" s="40" t="n">
        <x:f>IFERROR(G28/E28,0)</x:f>
        <x:v>0.03895167605233374</x:v>
      </x:c>
      <x:c r="K28" s="40" t="n">
        <x:f>IFERROR(H28/E28,0)</x:f>
        <x:v>0.023565971065756666</x:v>
      </x:c>
      <x:c r="L28" s="41" t="n">
        <x:f>E28-SUM(F28:H28)</x:f>
        <x:v>1.4551915228366852e-11</x:v>
      </x:c>
    </x:row>
    <x:row r="29">
      <x:c r="A29" s="24" t="n">
        <x:v>350600</x:v>
      </x:c>
      <x:c r="B29" s="25" t="str">
        <x:v>漳州市</x:v>
      </x:c>
      <x:c r="C29" s="25" t="n">
        <x:v>350681</x:v>
      </x:c>
      <x:c r="D29" s="25" t="str">
        <x:v>龙海区</x:v>
      </x:c>
      <x:c r="E29" s="37" t="n">
        <x:f>SUMIFS('标准化长表'!$N$2:$N$3075,'标准化长表'!$C$2:$C$3075,$C29)</x:f>
        <x:v>131983.11397999994</x:v>
      </x:c>
      <x:c r="F29" s="37" t="n">
        <x:f>SUMIFS('标准化长表'!$N$2:$N$3075,'标准化长表'!$C$2:$C$3075,$C29,'标准化长表'!$E$2:$E$3075,"农用地")</x:f>
        <x:v>95350.27335799993</x:v>
      </x:c>
      <x:c r="G29" s="37" t="n">
        <x:f>SUMIFS('标准化长表'!$N$2:$N$3075,'标准化长表'!$C$2:$C$3075,$C29,'标准化长表'!$E$2:$E$3075,"建设用地")</x:f>
        <x:v>24433.721474000024</x:v>
      </x:c>
      <x:c r="H29" s="37" t="n">
        <x:f>SUMIFS('标准化长表'!$N$2:$N$3075,'标准化长表'!$C$2:$C$3075,$C29,'标准化长表'!$E$2:$E$3075,"未利用地")</x:f>
        <x:v>12199.119147999996</x:v>
      </x:c>
      <x:c r="I29" s="42" t="n">
        <x:f>IFERROR(F29/E29,0)</x:f>
        <x:v>0.7224429738220061</x:v>
      </x:c>
      <x:c r="J29" s="42" t="n">
        <x:f>IFERROR(G29/E29,0)</x:f>
        <x:v>0.1851276329008466</x:v>
      </x:c>
      <x:c r="K29" s="42" t="n">
        <x:f>IFERROR(H29/E29,0)</x:f>
        <x:v>0.09242939327714748</x:v>
      </x:c>
      <x:c r="L29" s="43" t="n">
        <x:f>E29-SUM(F29:H29)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434906fb9846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8" t="str">
        <x:v>地市编码</x:v>
      </x:c>
      <x:c r="B1" s="19" t="str">
        <x:v>城市</x:v>
      </x:c>
      <x:c r="C1" s="19" t="str">
        <x:v>行政区总面积_公顷</x:v>
      </x:c>
      <x:c r="D1" s="19" t="str">
        <x:v>农用地_公顷</x:v>
      </x:c>
      <x:c r="E1" s="19" t="str">
        <x:v>建设用地_公顷</x:v>
      </x:c>
      <x:c r="F1" s="19" t="str">
        <x:v>未利用地_公顷</x:v>
      </x:c>
      <x:c r="G1" s="19" t="str">
        <x:v>农用地占比</x:v>
      </x:c>
      <x:c r="H1" s="19" t="str">
        <x:v>建设用地开发强度</x:v>
      </x:c>
      <x:c r="I1" s="19" t="str">
        <x:v>未利用地占比</x:v>
      </x:c>
      <x:c r="J1" s="20" t="str">
        <x:v>闭合校验</x:v>
      </x:c>
    </x:row>
    <x:row r="2">
      <x:c r="A2" s="21" t="n">
        <x:v>350200</x:v>
      </x:c>
      <x:c r="B2" s="22" t="str">
        <x:v>厦门市</x:v>
      </x:c>
      <x:c r="C2" s="33" t="n">
        <x:f>SUMIFS('标准化长表'!$N$2:$N$3075,'标准化长表'!$A$2:$A$3075,$A2)</x:f>
        <x:v>169878.25855000003</x:v>
      </x:c>
      <x:c r="D2" s="33" t="n">
        <x:f>SUMIFS('标准化长表'!$N$2:$N$3075,'标准化长表'!$A$2:$A$3075,$A2,'标准化长表'!$E$2:$E$3075,"农用地")</x:f>
        <x:v>99011.92368999988</x:v>
      </x:c>
      <x:c r="E2" s="33" t="n">
        <x:f>SUMIFS('标准化长表'!$N$2:$N$3075,'标准化长表'!$A$2:$A$3075,$A2,'标准化长表'!$E$2:$E$3075,"建设用地")</x:f>
        <x:v>54546.77354300003</x:v>
      </x:c>
      <x:c r="F2" s="33" t="n">
        <x:f>SUMIFS('标准化长表'!$N$2:$N$3075,'标准化长表'!$A$2:$A$3075,$A2,'标准化长表'!$E$2:$E$3075,"未利用地")</x:f>
        <x:v>16319.561317000005</x:v>
      </x:c>
      <x:c r="G2" s="40" t="n">
        <x:f>IFERROR(D2/C2,0)</x:f>
        <x:v>0.5828404678451412</x:v>
      </x:c>
      <x:c r="H2" s="40" t="n">
        <x:f>IFERROR(E2/C2,0)</x:f>
        <x:v>0.32109331711182665</x:v>
      </x:c>
      <x:c r="I2" s="40" t="n">
        <x:f>IFERROR(F2/C2,0)</x:f>
        <x:v>0.09606621504303149</x:v>
      </x:c>
      <x:c r="J2" s="41" t="n">
        <x:f>C2-SUM(D2:F2)</x:f>
        <x:v>1.1641532182693481e-10</x:v>
      </x:c>
    </x:row>
    <x:row r="3">
      <x:c r="A3" s="21" t="n">
        <x:v>350500</x:v>
      </x:c>
      <x:c r="B3" s="22" t="str">
        <x:v>泉州市</x:v>
      </x:c>
      <x:c r="C3" s="33" t="n">
        <x:f>SUMIFS('标准化长表'!$N$2:$N$3075,'标准化长表'!$A$2:$A$3075,$A3)</x:f>
        <x:v>1129519.8338900004</x:v>
      </x:c>
      <x:c r="D3" s="33" t="n">
        <x:f>SUMIFS('标准化长表'!$N$2:$N$3075,'标准化长表'!$A$2:$A$3075,$A3,'标准化长表'!$E$2:$E$3075,"农用地")</x:f>
        <x:v>906760.361258999</x:v>
      </x:c>
      <x:c r="E3" s="33" t="n">
        <x:f>SUMIFS('标准化长表'!$N$2:$N$3075,'标准化长表'!$A$2:$A$3075,$A3,'标准化长表'!$E$2:$E$3075,"建设用地")</x:f>
        <x:v>168499.66371000008</x:v>
      </x:c>
      <x:c r="F3" s="33" t="n">
        <x:f>SUMIFS('标准化长表'!$N$2:$N$3075,'标准化长表'!$A$2:$A$3075,$A3,'标准化长表'!$E$2:$E$3075,"未利用地")</x:f>
        <x:v>54259.80892099998</x:v>
      </x:c>
      <x:c r="G3" s="40" t="n">
        <x:f>IFERROR(D3/C3,0)</x:f>
        <x:v>0.8027839211429951</x:v>
      </x:c>
      <x:c r="H3" s="40" t="n">
        <x:f>IFERROR(E3/C3,0)</x:f>
        <x:v>0.14917813627910992</x:v>
      </x:c>
      <x:c r="I3" s="40" t="n">
        <x:f>IFERROR(F3/C3,0)</x:f>
        <x:v>0.0480379425778938</x:v>
      </x:c>
      <x:c r="J3" s="41" t="n">
        <x:f>C3-SUM(D3:F3)</x:f>
        <x:v>1.3969838619232178e-9</x:v>
      </x:c>
    </x:row>
    <x:row r="4">
      <x:c r="A4" s="24" t="n">
        <x:v>350600</x:v>
      </x:c>
      <x:c r="B4" s="25" t="str">
        <x:v>漳州市</x:v>
      </x:c>
      <x:c r="C4" s="37" t="n">
        <x:f>SUMIFS('标准化长表'!$N$2:$N$3075,'标准化长表'!$A$2:$A$3075,$A4)</x:f>
        <x:v>1289153.19138</x:v>
      </x:c>
      <x:c r="D4" s="37" t="n">
        <x:f>SUMIFS('标准化长表'!$N$2:$N$3075,'标准化长表'!$A$2:$A$3075,$A4,'标准化长表'!$E$2:$E$3075,"农用地")</x:f>
        <x:v>1114598.9271630007</x:v>
      </x:c>
      <x:c r="E4" s="37" t="n">
        <x:f>SUMIFS('标准化长表'!$N$2:$N$3075,'标准化长表'!$A$2:$A$3075,$A4,'标准化长表'!$E$2:$E$3075,"建设用地")</x:f>
        <x:v>112169.93580800004</x:v>
      </x:c>
      <x:c r="F4" s="37" t="n">
        <x:f>SUMIFS('标准化长表'!$N$2:$N$3075,'标准化长表'!$A$2:$A$3075,$A4,'标准化长表'!$E$2:$E$3075,"未利用地")</x:f>
        <x:v>62384.328409000016</x:v>
      </x:c>
      <x:c r="G4" s="42" t="n">
        <x:f>IFERROR(D4/C4,0)</x:f>
        <x:v>0.8645977333150421</x:v>
      </x:c>
      <x:c r="H4" s="42" t="n">
        <x:f>IFERROR(E4/C4,0)</x:f>
        <x:v>0.08701055588895953</x:v>
      </x:c>
      <x:c r="I4" s="42" t="n">
        <x:f>IFERROR(F4/C4,0)</x:f>
        <x:v>0.048391710795998924</x:v>
      </x:c>
      <x:c r="J4" s="43" t="n">
        <x:f>C4-SUM(D4:F4)</x:f>
        <x:v>-9.313225746154785e-10</x:v>
      </x:c>
    </x:row>
  </x:sheetData>
  <x:pageMargins left="0.7" right="0.7" top="0.75" bottom="0.75" header="0.3" footer="0.3"/>
  <x:tableParts count="1">
    <x:tablePart xmlns:r="http://schemas.openxmlformats.org/officeDocument/2006/relationships" r:id="R422b164853af48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>
      <x:c r="A1" s="18" t="str">
        <x:v>地市编码</x:v>
      </x:c>
      <x:c r="B1" s="19" t="str">
        <x:v>城市</x:v>
      </x:c>
      <x:c r="C1" s="19" t="str">
        <x:v>区县编码</x:v>
      </x:c>
      <x:c r="D1" s="19" t="str">
        <x:v>区县</x:v>
      </x:c>
      <x:c r="E1" s="19" t="str">
        <x:v>行政区总面积_公顷</x:v>
      </x:c>
      <x:c r="F1" s="19" t="str">
        <x:v>建设用地_公顷</x:v>
      </x:c>
      <x:c r="G1" s="19" t="str">
        <x:v>开发强度</x:v>
      </x:c>
      <x:c r="H1" s="19" t="str">
        <x:v>农用地占比</x:v>
      </x:c>
      <x:c r="I1" s="19" t="str">
        <x:v>未利用地占比</x:v>
      </x:c>
      <x:c r="J1" s="19" t="str">
        <x:v>城镇住宅_公顷</x:v>
      </x:c>
      <x:c r="K1" s="19" t="str">
        <x:v>农村宅基地_公顷</x:v>
      </x:c>
      <x:c r="L1" s="19" t="str">
        <x:v>城镇住宅占建设用地</x:v>
      </x:c>
      <x:c r="M1" s="19" t="str">
        <x:v>农村宅基地占建设用地</x:v>
      </x:c>
      <x:c r="N1" s="19" t="str">
        <x:v>城乡居住结构比</x:v>
      </x:c>
      <x:c r="O1" s="19" t="str">
        <x:v>工业_公顷</x:v>
      </x:c>
      <x:c r="P1" s="19" t="str">
        <x:v>物流仓储_公顷</x:v>
      </x:c>
      <x:c r="Q1" s="19" t="str">
        <x:v>工业及仓储占建设用地</x:v>
      </x:c>
      <x:c r="R1" s="19" t="str">
        <x:v>产业开发密度</x:v>
      </x:c>
      <x:c r="S1" s="19" t="str">
        <x:v>商业服务_公顷</x:v>
      </x:c>
      <x:c r="T1" s="19" t="str">
        <x:v>商业服务占建设用地</x:v>
      </x:c>
      <x:c r="U1" s="19" t="str">
        <x:v>公共服务_公顷</x:v>
      </x:c>
      <x:c r="V1" s="19" t="str">
        <x:v>公共服务占建设用地</x:v>
      </x:c>
      <x:c r="W1" s="19" t="str">
        <x:v>中心功能指数</x:v>
      </x:c>
      <x:c r="X1" s="19" t="str">
        <x:v>交通门户_公顷</x:v>
      </x:c>
      <x:c r="Y1" s="19" t="str">
        <x:v>交通门户指数</x:v>
      </x:c>
      <x:c r="Z1" s="19" t="str">
        <x:v>公路_公顷</x:v>
      </x:c>
      <x:c r="AA1" s="19" t="str">
        <x:v>公路占建设用地</x:v>
      </x:c>
      <x:c r="AB1" s="19" t="str">
        <x:v>港口码头_公顷</x:v>
      </x:c>
      <x:c r="AC1" s="19" t="str">
        <x:v>港口码头占建设用地</x:v>
      </x:c>
      <x:c r="AD1" s="19" t="str">
        <x:v>采矿_公顷</x:v>
      </x:c>
      <x:c r="AE1" s="19" t="str">
        <x:v>采矿占建设用地</x:v>
      </x:c>
      <x:c r="AF1" s="19" t="str">
        <x:v>公共空间_公顷</x:v>
      </x:c>
      <x:c r="AG1" s="19" t="str">
        <x:v>公共空间占建设用地</x:v>
      </x:c>
      <x:c r="AH1" s="20" t="str">
        <x:v>建设用地混合度</x:v>
      </x:c>
    </x:row>
    <x:row r="2">
      <x:c r="A2" s="21" t="n">
        <x:v>350200</x:v>
      </x:c>
      <x:c r="B2" s="22" t="str">
        <x:v>厦门市</x:v>
      </x:c>
      <x:c r="C2" s="22" t="n">
        <x:v>350203</x:v>
      </x:c>
      <x:c r="D2" s="22" t="str">
        <x:v>思明区</x:v>
      </x:c>
      <x:c r="E2" s="33" t="n">
        <x:f>SUMIFS('标准化长表'!$N$2:$N$3075,'标准化长表'!$C$2:$C$3075,$C2)</x:f>
        <x:v>8372.883210000002</x:v>
      </x:c>
      <x:c r="F2" s="33" t="n">
        <x:f>SUMIFS('标准化长表'!$N$2:$N$3075,'标准化长表'!$C$2:$C$3075,$C2,'标准化长表'!$E$2:$E$3075,"建设用地")</x:f>
        <x:v>4754.056130000002</x:v>
      </x:c>
      <x:c r="G2" s="40" t="n">
        <x:f>IFERROR(F2/E2,0)</x:f>
        <x:v>0.5677920031563417</x:v>
      </x:c>
      <x:c r="H2" s="40" t="n">
        <x:f>IFERROR(SUMIFS('标准化长表'!$N$2:$N$3075,'标准化长表'!$C$2:$C$3075,$C2,'标准化长表'!$E$2:$E$3075,"农用地")/E2,0)</x:f>
        <x:v>0.29310694171261453</x:v>
      </x:c>
      <x:c r="I2" s="40" t="n">
        <x:f>IFERROR(SUMIFS('标准化长表'!$N$2:$N$3075,'标准化长表'!$C$2:$C$3075,$C2,'标准化长表'!$E$2:$E$3075,"未利用地")/E2,0)</x:f>
        <x:v>0.13910105513104362</x:v>
      </x:c>
      <x:c r="J2" s="33" t="n">
        <x:f>SUMIFS('标准化长表'!$N$2:$N$3075,'标准化长表'!$C$2:$C$3075,$C2,'标准化长表'!$I$2:$I$3075,"城镇住宅用地")</x:f>
        <x:v>1636.0015019999998</x:v>
      </x:c>
      <x:c r="K2" s="33" t="n">
        <x:f>SUMIFS('标准化长表'!$N$2:$N$3075,'标准化长表'!$C$2:$C$3075,$C2,'标准化长表'!$I$2:$I$3075,"农村宅基地")</x:f>
        <x:v>196.29372700000013</x:v>
      </x:c>
      <x:c r="L2" s="40" t="n">
        <x:f>IFERROR(J2/F2,0)</x:f>
        <x:v>0.3441275107536434</x:v>
      </x:c>
      <x:c r="M2" s="40" t="n">
        <x:f>IFERROR(K2/F2,0)</x:f>
        <x:v>0.0412897369388022</x:v>
      </x:c>
      <x:c r="N2" s="46" t="n">
        <x:f>IFERROR(J2/K2,0)</x:f>
        <x:v>8.334456362938173</x:v>
      </x:c>
      <x:c r="O2" s="33" t="n">
        <x:f>SUMIFS('标准化长表'!$N$2:$N$3075,'标准化长表'!$C$2:$C$3075,$C2,'标准化长表'!$I$2:$I$3075,"工业用地")</x:f>
        <x:v>116.63186599999999</x:v>
      </x:c>
      <x:c r="P2" s="33" t="n">
        <x:f>SUMIFS('标准化长表'!$N$2:$N$3075,'标准化长表'!$C$2:$C$3075,$C2,'标准化长表'!$I$2:$I$3075,"物流仓储用地")</x:f>
        <x:v>12.912112</x:v>
      </x:c>
      <x:c r="Q2" s="40" t="n">
        <x:f>IFERROR((O2+P2)/F2,0)</x:f>
        <x:v>0.02724914777142102</x:v>
      </x:c>
      <x:c r="R2" s="40" t="n">
        <x:f>IFERROR((O2+P2)/E2,0)</x:f>
        <x:v>0.015471848197438305</x:v>
      </x:c>
      <x:c r="S2" s="33" t="n">
        <x:f>SUMIFS('标准化长表'!$N$2:$N$3075,'标准化长表'!$C$2:$C$3075,$C2,'标准化长表'!$I$2:$I$3075,"商业服务业设施用地")</x:f>
        <x:v>717.563393</x:v>
      </x:c>
      <x:c r="T2" s="40" t="n">
        <x:f>IFERROR(S2/F2,0)</x:f>
        <x:v>0.15093708895691976</x:v>
      </x:c>
      <x:c r="U2" s="33" t="n">
        <x:f>SUMIFS('标准化长表'!$N$2:$N$3075,'标准化长表'!$C$2:$C$3075,$C2,'标准化长表'!$I$2:$I$3075,"机关团体新闻出版用地")+SUMIFS('标准化长表'!$N$2:$N$3075,'标准化长表'!$C$2:$C$3075,$C2,'标准化长表'!$I$2:$I$3075,"科教文卫用地")+SUMIFS('标准化长表'!$N$2:$N$3075,'标准化长表'!$C$2:$C$3075,$C2,'标准化长表'!$I$2:$I$3075,"高教用地")</x:f>
        <x:v>578.9903769999999</x:v>
      </x:c>
      <x:c r="V2" s="40" t="n">
        <x:f>IFERROR(U2/F2,0)</x:f>
        <x:v>0.12178871287327431</x:v>
      </x:c>
      <x:c r="W2" s="40" t="n">
        <x:f>IFERROR((S2+U2+SUMIFS('标准化长表'!$N$2:$N$3075,'标准化长表'!$C$2:$C$3075,$C2,'标准化长表'!$I$2:$I$3075,"公园与绿地")+SUMIFS('标准化长表'!$N$2:$N$3075,'标准化长表'!$C$2:$C$3075,$C2,'标准化长表'!$I$2:$I$3075,"广场用地"))/F2,0)</x:f>
        <x:v>0.3007547935703484</x:v>
      </x:c>
      <x:c r="X2" s="33" t="n">
        <x:f>SUMIFS('标准化长表'!$N$2:$N$3075,'标准化长表'!$C$2:$C$3075,$C2,'标准化长表'!$I$2:$I$3075,"铁路用地")+SUMIFS('标准化长表'!$N$2:$N$3075,'标准化长表'!$C$2:$C$3075,$C2,'标准化长表'!$I$2:$I$3075,"轨道交通用地")+SUMIFS('标准化长表'!$N$2:$N$3075,'标准化长表'!$C$2:$C$3075,$C2,'标准化长表'!$I$2:$I$3075,"机场用地")+SUMIFS('标准化长表'!$N$2:$N$3075,'标准化长表'!$C$2:$C$3075,$C2,'标准化长表'!$I$2:$I$3075,"港口码头用地")+SUMIFS('标准化长表'!$N$2:$N$3075,'标准化长表'!$C$2:$C$3075,$C2,'标准化长表'!$I$2:$I$3075,"交通服务场站用地")+SUMIFS('标准化长表'!$N$2:$N$3075,'标准化长表'!$C$2:$C$3075,$C2,'标准化长表'!$I$2:$I$3075,"物流仓储用地")</x:f>
        <x:v>176.99705000000003</x:v>
      </x:c>
      <x:c r="Y2" s="40" t="n">
        <x:f>IFERROR(X2/F2,0)</x:f>
        <x:v>0.037230744686222284</x:v>
      </x:c>
      <x:c r="Z2" s="33" t="n">
        <x:f>SUMIFS('标准化长表'!$N$2:$N$3075,'标准化长表'!$C$2:$C$3075,$C2,'标准化长表'!$I$2:$I$3075,"公路用地")</x:f>
        <x:v>20.340069</x:v>
      </x:c>
      <x:c r="AA2" s="40" t="n">
        <x:f>IFERROR(Z2/F2,0)</x:f>
        <x:v>0.0042784663125128046</x:v>
      </x:c>
      <x:c r="AB2" s="33" t="n">
        <x:f>SUMIFS('标准化长表'!$N$2:$N$3075,'标准化长表'!$C$2:$C$3075,$C2,'标准化长表'!$I$2:$I$3075,"港口码头用地")</x:f>
        <x:v>11.965470000000002</x:v>
      </x:c>
      <x:c r="AC2" s="40" t="n">
        <x:f>IFERROR(AB2/F2,0)</x:f>
        <x:v>0.0025168970817347077</x:v>
      </x:c>
      <x:c r="AD2" s="33" t="n">
        <x:f>SUMIFS('标准化长表'!$N$2:$N$3075,'标准化长表'!$C$2:$C$3075,$C2,'标准化长表'!$I$2:$I$3075,"采矿用地")</x:f>
        <x:v>2.319384</x:v>
      </x:c>
      <x:c r="AE2" s="40" t="n">
        <x:f>IFERROR(AD2/F2,0)</x:f>
        <x:v>0.00048787476137771203</x:v>
      </x:c>
      <x:c r="AF2" s="33" t="n">
        <x:f>SUMIFS('标准化长表'!$N$2:$N$3075,'标准化长表'!$C$2:$C$3075,$C2,'标准化长表'!$I$2:$I$3075,"公园与绿地")+SUMIFS('标准化长表'!$N$2:$N$3075,'标准化长表'!$C$2:$C$3075,$C2,'标准化长表'!$I$2:$I$3075,"广场用地")</x:f>
        <x:v>133.25139999999996</x:v>
      </x:c>
      <x:c r="AG2" s="40" t="n">
        <x:f>IFERROR(AF2/F2,0)</x:f>
        <x:v>0.0280289917401543</x:v>
      </x:c>
      <x:c r="AH2" s="47" t="n">
        <x:f>IFERROR((IF(SUMIFS('标准化长表'!$N$2:$N$3075,'标准化长表'!$C$2:$C$3075,$C2,'标准化长表'!$J$2:$J$3075,"居住功能",'标准化长表'!$E$2:$E$3075,"建设用地")=0,0,-(SUMIFS('标准化长表'!$N$2:$N$3075,'标准化长表'!$C$2:$C$3075,$C2,'标准化长表'!$J$2:$J$3075,"居住功能",'标准化长表'!$E$2:$E$3075,"建设用地")/F2)*LN(SUMIFS('标准化长表'!$N$2:$N$3075,'标准化长表'!$C$2:$C$3075,$C2,'标准化长表'!$J$2:$J$3075,"居住功能",'标准化长表'!$E$2:$E$3075,"建设用地")/F2))+IF(SUMIFS('标准化长表'!$N$2:$N$3075,'标准化长表'!$C$2:$C$3075,$C2,'标准化长表'!$J$2:$J$3075,"产业功能",'标准化长表'!$E$2:$E$3075,"建设用地")=0,0,-(SUMIFS('标准化长表'!$N$2:$N$3075,'标准化长表'!$C$2:$C$3075,$C2,'标准化长表'!$J$2:$J$3075,"产业功能",'标准化长表'!$E$2:$E$3075,"建设用地")/F2)*LN(SUMIFS('标准化长表'!$N$2:$N$3075,'标准化长表'!$C$2:$C$3075,$C2,'标准化长表'!$J$2:$J$3075,"产业功能",'标准化长表'!$E$2:$E$3075,"建设用地")/F2))+IF(SUMIFS('标准化长表'!$N$2:$N$3075,'标准化长表'!$C$2:$C$3075,$C2,'标准化长表'!$J$2:$J$3075,"商业服务",'标准化长表'!$E$2:$E$3075,"建设用地")=0,0,-(SUMIFS('标准化长表'!$N$2:$N$3075,'标准化长表'!$C$2:$C$3075,$C2,'标准化长表'!$J$2:$J$3075,"商业服务",'标准化长表'!$E$2:$E$3075,"建设用地")/F2)*LN(SUMIFS('标准化长表'!$N$2:$N$3075,'标准化长表'!$C$2:$C$3075,$C2,'标准化长表'!$J$2:$J$3075,"商业服务",'标准化长表'!$E$2:$E$3075,"建设用地")/F2))+IF(SUMIFS('标准化长表'!$N$2:$N$3075,'标准化长表'!$C$2:$C$3075,$C2,'标准化长表'!$J$2:$J$3075,"公共服务",'标准化长表'!$E$2:$E$3075,"建设用地")=0,0,-(SUMIFS('标准化长表'!$N$2:$N$3075,'标准化长表'!$C$2:$C$3075,$C2,'标准化长表'!$J$2:$J$3075,"公共服务",'标准化长表'!$E$2:$E$3075,"建设用地")/F2)*LN(SUMIFS('标准化长表'!$N$2:$N$3075,'标准化长表'!$C$2:$C$3075,$C2,'标准化长表'!$J$2:$J$3075,"公共服务",'标准化长表'!$E$2:$E$3075,"建设用地")/F2))+IF(SUMIFS('标准化长表'!$N$2:$N$3075,'标准化长表'!$C$2:$C$3075,$C2,'标准化长表'!$J$2:$J$3075,"交通门户",'标准化长表'!$E$2:$E$3075,"建设用地")=0,0,-(SUMIFS('标准化长表'!$N$2:$N$3075,'标准化长表'!$C$2:$C$3075,$C2,'标准化长表'!$J$2:$J$3075,"交通门户",'标准化长表'!$E$2:$E$3075,"建设用地")/F2)*LN(SUMIFS('标准化长表'!$N$2:$N$3075,'标准化长表'!$C$2:$C$3075,$C2,'标准化长表'!$J$2:$J$3075,"交通门户",'标准化长表'!$E$2:$E$3075,"建设用地")/F2))+IF(SUMIFS('标准化长表'!$N$2:$N$3075,'标准化长表'!$C$2:$C$3075,$C2,'标准化长表'!$J$2:$J$3075,"公共空间",'标准化长表'!$E$2:$E$3075,"建设用地")=0,0,-(SUMIFS('标准化长表'!$N$2:$N$3075,'标准化长表'!$C$2:$C$3075,$C2,'标准化长表'!$J$2:$J$3075,"公共空间",'标准化长表'!$E$2:$E$3075,"建设用地")/F2)*LN(SUMIFS('标准化长表'!$N$2:$N$3075,'标准化长表'!$C$2:$C$3075,$C2,'标准化长表'!$J$2:$J$3075,"公共空间",'标准化长表'!$E$2:$E$3075,"建设用地")/F2))+IF(SUMIFS('标准化长表'!$N$2:$N$3075,'标准化长表'!$C$2:$C$3075,$C2,'标准化长表'!$J$2:$J$3075,"其他建设",'标准化长表'!$E$2:$E$3075,"建设用地")=0,0,-(SUMIFS('标准化长表'!$N$2:$N$3075,'标准化长表'!$C$2:$C$3075,$C2,'标准化长表'!$J$2:$J$3075,"其他建设",'标准化长表'!$E$2:$E$3075,"建设用地")/F2)*LN(SUMIFS('标准化长表'!$N$2:$N$3075,'标准化长表'!$C$2:$C$3075,$C2,'标准化长表'!$J$2:$J$3075,"其他建设",'标准化长表'!$E$2:$E$3075,"建设用地")/F2)))/LN(7),0)</x:f>
        <x:v>0.843502323973026</x:v>
      </x:c>
    </x:row>
    <x:row r="3">
      <x:c r="A3" s="21" t="n">
        <x:v>350200</x:v>
      </x:c>
      <x:c r="B3" s="22" t="str">
        <x:v>厦门市</x:v>
      </x:c>
      <x:c r="C3" s="22" t="n">
        <x:v>350205</x:v>
      </x:c>
      <x:c r="D3" s="22" t="str">
        <x:v>海沧区</x:v>
      </x:c>
      <x:c r="E3" s="33" t="n">
        <x:f>SUMIFS('标准化长表'!$N$2:$N$3075,'标准化长表'!$C$2:$C$3075,$C3)</x:f>
        <x:v>18472.57033999999</x:v>
      </x:c>
      <x:c r="F3" s="33" t="n">
        <x:f>SUMIFS('标准化长表'!$N$2:$N$3075,'标准化长表'!$C$2:$C$3075,$C3,'标准化长表'!$E$2:$E$3075,"建设用地")</x:f>
        <x:v>7933.324313</x:v>
      </x:c>
      <x:c r="G3" s="40" t="n">
        <x:f>IFERROR(F3/E3,0)</x:f>
        <x:v>0.4294651024184436</x:v>
      </x:c>
      <x:c r="H3" s="40" t="n">
        <x:f>IFERROR(SUMIFS('标准化长表'!$N$2:$N$3075,'标准化长表'!$C$2:$C$3075,$C3,'标准化长表'!$E$2:$E$3075,"农用地")/E3,0)</x:f>
        <x:v>0.4623455116858416</x:v>
      </x:c>
      <x:c r="I3" s="40" t="n">
        <x:f>IFERROR(SUMIFS('标准化长表'!$N$2:$N$3075,'标准化长表'!$C$2:$C$3075,$C3,'标准化长表'!$E$2:$E$3075,"未利用地")/E3,0)</x:f>
        <x:v>0.10818938589571511</x:v>
      </x:c>
      <x:c r="J3" s="33" t="n">
        <x:f>SUMIFS('标准化长表'!$N$2:$N$3075,'标准化长表'!$C$2:$C$3075,$C3,'标准化长表'!$I$2:$I$3075,"城镇住宅用地")</x:f>
        <x:v>693.6564719999998</x:v>
      </x:c>
      <x:c r="K3" s="33" t="n">
        <x:f>SUMIFS('标准化长表'!$N$2:$N$3075,'标准化长表'!$C$2:$C$3075,$C3,'标准化长表'!$I$2:$I$3075,"农村宅基地")</x:f>
        <x:v>1088.7609120000004</x:v>
      </x:c>
      <x:c r="L3" s="40" t="n">
        <x:f>IFERROR(J3/F3,0)</x:f>
        <x:v>0.08743578916386092</x:v>
      </x:c>
      <x:c r="M3" s="40" t="n">
        <x:f>IFERROR(K3/F3,0)</x:f>
        <x:v>0.13723892646313404</x:v>
      </x:c>
      <x:c r="N3" s="46" t="n">
        <x:f>IFERROR(J3/K3,0)</x:f>
        <x:v>0.6371063328548293</x:v>
      </x:c>
      <x:c r="O3" s="33" t="n">
        <x:f>SUMIFS('标准化长表'!$N$2:$N$3075,'标准化长表'!$C$2:$C$3075,$C3,'标准化长表'!$I$2:$I$3075,"工业用地")</x:f>
        <x:v>1888.3013969999995</x:v>
      </x:c>
      <x:c r="P3" s="33" t="n">
        <x:f>SUMIFS('标准化长表'!$N$2:$N$3075,'标准化长表'!$C$2:$C$3075,$C3,'标准化长表'!$I$2:$I$3075,"物流仓储用地")</x:f>
        <x:v>491.6992390000001</x:v>
      </x:c>
      <x:c r="Q3" s="40" t="n">
        <x:f>IFERROR((O3+P3)/F3,0)</x:f>
        <x:v>0.3000004212735882</x:v>
      </x:c>
      <x:c r="R3" s="40" t="n">
        <x:f>IFERROR((O3+P3)/E3,0)</x:f>
        <x:v>0.12883971164783778</x:v>
      </x:c>
      <x:c r="S3" s="33" t="n">
        <x:f>SUMIFS('标准化长表'!$N$2:$N$3075,'标准化长表'!$C$2:$C$3075,$C3,'标准化长表'!$I$2:$I$3075,"商业服务业设施用地")</x:f>
        <x:v>383.00256999999993</x:v>
      </x:c>
      <x:c r="T3" s="40" t="n">
        <x:f>IFERROR(S3/F3,0)</x:f>
        <x:v>0.04827768976649423</x:v>
      </x:c>
      <x:c r="U3" s="33" t="n">
        <x:f>SUMIFS('标准化长表'!$N$2:$N$3075,'标准化长表'!$C$2:$C$3075,$C3,'标准化长表'!$I$2:$I$3075,"机关团体新闻出版用地")+SUMIFS('标准化长表'!$N$2:$N$3075,'标准化长表'!$C$2:$C$3075,$C3,'标准化长表'!$I$2:$I$3075,"科教文卫用地")+SUMIFS('标准化长表'!$N$2:$N$3075,'标准化长表'!$C$2:$C$3075,$C3,'标准化长表'!$I$2:$I$3075,"高教用地")</x:f>
        <x:v>362.347505</x:v>
      </x:c>
      <x:c r="V3" s="40" t="n">
        <x:f>IFERROR(U3/F3,0)</x:f>
        <x:v>0.04567410718432834</x:v>
      </x:c>
      <x:c r="W3" s="40" t="n">
        <x:f>IFERROR((S3+U3+SUMIFS('标准化长表'!$N$2:$N$3075,'标准化长表'!$C$2:$C$3075,$C3,'标准化长表'!$I$2:$I$3075,"公园与绿地")+SUMIFS('标准化长表'!$N$2:$N$3075,'标准化长表'!$C$2:$C$3075,$C3,'标准化长表'!$I$2:$I$3075,"广场用地"))/F3,0)</x:f>
        <x:v>0.11898218448642413</x:v>
      </x:c>
      <x:c r="X3" s="33" t="n">
        <x:f>SUMIFS('标准化长表'!$N$2:$N$3075,'标准化长表'!$C$2:$C$3075,$C3,'标准化长表'!$I$2:$I$3075,"铁路用地")+SUMIFS('标准化长表'!$N$2:$N$3075,'标准化长表'!$C$2:$C$3075,$C3,'标准化长表'!$I$2:$I$3075,"轨道交通用地")+SUMIFS('标准化长表'!$N$2:$N$3075,'标准化长表'!$C$2:$C$3075,$C3,'标准化长表'!$I$2:$I$3075,"机场用地")+SUMIFS('标准化长表'!$N$2:$N$3075,'标准化长表'!$C$2:$C$3075,$C3,'标准化长表'!$I$2:$I$3075,"港口码头用地")+SUMIFS('标准化长表'!$N$2:$N$3075,'标准化长表'!$C$2:$C$3075,$C3,'标准化长表'!$I$2:$I$3075,"交通服务场站用地")+SUMIFS('标准化长表'!$N$2:$N$3075,'标准化长表'!$C$2:$C$3075,$C3,'标准化长表'!$I$2:$I$3075,"物流仓储用地")</x:f>
        <x:v>1391.4659820000002</x:v>
      </x:c>
      <x:c r="Y3" s="40" t="n">
        <x:f>IFERROR(X3/F3,0)</x:f>
        <x:v>0.17539507110781596</x:v>
      </x:c>
      <x:c r="Z3" s="33" t="n">
        <x:f>SUMIFS('标准化长表'!$N$2:$N$3075,'标准化长表'!$C$2:$C$3075,$C3,'标准化长表'!$I$2:$I$3075,"公路用地")</x:f>
        <x:v>1036.3508319999994</x:v>
      </x:c>
      <x:c r="AA3" s="40" t="n">
        <x:f>IFERROR(Z3/F3,0)</x:f>
        <x:v>0.1306326063465949</x:v>
      </x:c>
      <x:c r="AB3" s="33" t="n">
        <x:f>SUMIFS('标准化长表'!$N$2:$N$3075,'标准化长表'!$C$2:$C$3075,$C3,'标准化长表'!$I$2:$I$3075,"港口码头用地")</x:f>
        <x:v>471.65585400000003</x:v>
      </x:c>
      <x:c r="AC3" s="40" t="n">
        <x:f>IFERROR(AB3/F3,0)</x:f>
        <x:v>0.059452486169904555</x:v>
      </x:c>
      <x:c r="AD3" s="33" t="n">
        <x:f>SUMIFS('标准化长表'!$N$2:$N$3075,'标准化长表'!$C$2:$C$3075,$C3,'标准化长表'!$I$2:$I$3075,"采矿用地")</x:f>
        <x:v>81.142642</x:v>
      </x:c>
      <x:c r="AE3" s="40" t="n">
        <x:f>IFERROR(AD3/F3,0)</x:f>
        <x:v>0.010228075747141083</x:v>
      </x:c>
      <x:c r="AF3" s="33" t="n">
        <x:f>SUMIFS('标准化长表'!$N$2:$N$3075,'标准化长表'!$C$2:$C$3075,$C3,'标准化长表'!$I$2:$I$3075,"公园与绿地")+SUMIFS('标准化长表'!$N$2:$N$3075,'标准化长表'!$C$2:$C$3075,$C3,'标准化长表'!$I$2:$I$3075,"广场用地")</x:f>
        <x:v>198.574182</x:v>
      </x:c>
      <x:c r="AG3" s="40" t="n">
        <x:f>IFERROR(AF3/F3,0)</x:f>
        <x:v>0.02503038753560156</x:v>
      </x:c>
      <x:c r="AH3" s="47" t="n">
        <x:f>IFERROR((IF(SUMIFS('标准化长表'!$N$2:$N$3075,'标准化长表'!$C$2:$C$3075,$C3,'标准化长表'!$J$2:$J$3075,"居住功能",'标准化长表'!$E$2:$E$3075,"建设用地")=0,0,-(SUMIFS('标准化长表'!$N$2:$N$3075,'标准化长表'!$C$2:$C$3075,$C3,'标准化长表'!$J$2:$J$3075,"居住功能",'标准化长表'!$E$2:$E$3075,"建设用地")/F3)*LN(SUMIFS('标准化长表'!$N$2:$N$3075,'标准化长表'!$C$2:$C$3075,$C3,'标准化长表'!$J$2:$J$3075,"居住功能",'标准化长表'!$E$2:$E$3075,"建设用地")/F3))+IF(SUMIFS('标准化长表'!$N$2:$N$3075,'标准化长表'!$C$2:$C$3075,$C3,'标准化长表'!$J$2:$J$3075,"产业功能",'标准化长表'!$E$2:$E$3075,"建设用地")=0,0,-(SUMIFS('标准化长表'!$N$2:$N$3075,'标准化长表'!$C$2:$C$3075,$C3,'标准化长表'!$J$2:$J$3075,"产业功能",'标准化长表'!$E$2:$E$3075,"建设用地")/F3)*LN(SUMIFS('标准化长表'!$N$2:$N$3075,'标准化长表'!$C$2:$C$3075,$C3,'标准化长表'!$J$2:$J$3075,"产业功能",'标准化长表'!$E$2:$E$3075,"建设用地")/F3))+IF(SUMIFS('标准化长表'!$N$2:$N$3075,'标准化长表'!$C$2:$C$3075,$C3,'标准化长表'!$J$2:$J$3075,"商业服务",'标准化长表'!$E$2:$E$3075,"建设用地")=0,0,-(SUMIFS('标准化长表'!$N$2:$N$3075,'标准化长表'!$C$2:$C$3075,$C3,'标准化长表'!$J$2:$J$3075,"商业服务",'标准化长表'!$E$2:$E$3075,"建设用地")/F3)*LN(SUMIFS('标准化长表'!$N$2:$N$3075,'标准化长表'!$C$2:$C$3075,$C3,'标准化长表'!$J$2:$J$3075,"商业服务",'标准化长表'!$E$2:$E$3075,"建设用地")/F3))+IF(SUMIFS('标准化长表'!$N$2:$N$3075,'标准化长表'!$C$2:$C$3075,$C3,'标准化长表'!$J$2:$J$3075,"公共服务",'标准化长表'!$E$2:$E$3075,"建设用地")=0,0,-(SUMIFS('标准化长表'!$N$2:$N$3075,'标准化长表'!$C$2:$C$3075,$C3,'标准化长表'!$J$2:$J$3075,"公共服务",'标准化长表'!$E$2:$E$3075,"建设用地")/F3)*LN(SUMIFS('标准化长表'!$N$2:$N$3075,'标准化长表'!$C$2:$C$3075,$C3,'标准化长表'!$J$2:$J$3075,"公共服务",'标准化长表'!$E$2:$E$3075,"建设用地")/F3))+IF(SUMIFS('标准化长表'!$N$2:$N$3075,'标准化长表'!$C$2:$C$3075,$C3,'标准化长表'!$J$2:$J$3075,"交通门户",'标准化长表'!$E$2:$E$3075,"建设用地")=0,0,-(SUMIFS('标准化长表'!$N$2:$N$3075,'标准化长表'!$C$2:$C$3075,$C3,'标准化长表'!$J$2:$J$3075,"交通门户",'标准化长表'!$E$2:$E$3075,"建设用地")/F3)*LN(SUMIFS('标准化长表'!$N$2:$N$3075,'标准化长表'!$C$2:$C$3075,$C3,'标准化长表'!$J$2:$J$3075,"交通门户",'标准化长表'!$E$2:$E$3075,"建设用地")/F3))+IF(SUMIFS('标准化长表'!$N$2:$N$3075,'标准化长表'!$C$2:$C$3075,$C3,'标准化长表'!$J$2:$J$3075,"公共空间",'标准化长表'!$E$2:$E$3075,"建设用地")=0,0,-(SUMIFS('标准化长表'!$N$2:$N$3075,'标准化长表'!$C$2:$C$3075,$C3,'标准化长表'!$J$2:$J$3075,"公共空间",'标准化长表'!$E$2:$E$3075,"建设用地")/F3)*LN(SUMIFS('标准化长表'!$N$2:$N$3075,'标准化长表'!$C$2:$C$3075,$C3,'标准化长表'!$J$2:$J$3075,"公共空间",'标准化长表'!$E$2:$E$3075,"建设用地")/F3))+IF(SUMIFS('标准化长表'!$N$2:$N$3075,'标准化长表'!$C$2:$C$3075,$C3,'标准化长表'!$J$2:$J$3075,"其他建设",'标准化长表'!$E$2:$E$3075,"建设用地")=0,0,-(SUMIFS('标准化长表'!$N$2:$N$3075,'标准化长表'!$C$2:$C$3075,$C3,'标准化长表'!$J$2:$J$3075,"其他建设",'标准化长表'!$E$2:$E$3075,"建设用地")/F3)*LN(SUMIFS('标准化长表'!$N$2:$N$3075,'标准化长表'!$C$2:$C$3075,$C3,'标准化长表'!$J$2:$J$3075,"其他建设",'标准化长表'!$E$2:$E$3075,"建设用地")/F3)))/LN(7),0)</x:f>
        <x:v>0.7952992166568987</x:v>
      </x:c>
    </x:row>
    <x:row r="4">
      <x:c r="A4" s="21" t="n">
        <x:v>350200</x:v>
      </x:c>
      <x:c r="B4" s="22" t="str">
        <x:v>厦门市</x:v>
      </x:c>
      <x:c r="C4" s="22" t="n">
        <x:v>350206</x:v>
      </x:c>
      <x:c r="D4" s="22" t="str">
        <x:v>湖里区</x:v>
      </x:c>
      <x:c r="E4" s="33" t="n">
        <x:f>SUMIFS('标准化长表'!$N$2:$N$3075,'标准化长表'!$C$2:$C$3075,$C4)</x:f>
        <x:v>7226.547140000001</x:v>
      </x:c>
      <x:c r="F4" s="33" t="n">
        <x:f>SUMIFS('标准化长表'!$N$2:$N$3075,'标准化长表'!$C$2:$C$3075,$C4,'标准化长表'!$E$2:$E$3075,"建设用地")</x:f>
        <x:v>5866.296335</x:v>
      </x:c>
      <x:c r="G4" s="40" t="n">
        <x:f>IFERROR(F4/E4,0)</x:f>
        <x:v>0.8117702993355136</x:v>
      </x:c>
      <x:c r="H4" s="40" t="n">
        <x:f>IFERROR(SUMIFS('标准化长表'!$N$2:$N$3075,'标准化长表'!$C$2:$C$3075,$C4,'标准化长表'!$E$2:$E$3075,"农用地")/E4,0)</x:f>
        <x:v>0.09546988605127951</x:v>
      </x:c>
      <x:c r="I4" s="40" t="n">
        <x:f>IFERROR(SUMIFS('标准化长表'!$N$2:$N$3075,'标准化长表'!$C$2:$C$3075,$C4,'标准化长表'!$E$2:$E$3075,"未利用地")/E4,0)</x:f>
        <x:v>0.09275981461320687</x:v>
      </x:c>
      <x:c r="J4" s="33" t="n">
        <x:f>SUMIFS('标准化长表'!$N$2:$N$3075,'标准化长表'!$C$2:$C$3075,$C4,'标准化长表'!$I$2:$I$3075,"城镇住宅用地")</x:f>
        <x:v>990.5660180000002</x:v>
      </x:c>
      <x:c r="K4" s="33" t="n">
        <x:f>SUMIFS('标准化长表'!$N$2:$N$3075,'标准化长表'!$C$2:$C$3075,$C4,'标准化长表'!$I$2:$I$3075,"农村宅基地")</x:f>
        <x:v>573.0874530000001</x:v>
      </x:c>
      <x:c r="L4" s="40" t="n">
        <x:f>IFERROR(J4/F4,0)</x:f>
        <x:v>0.16885713939986297</x:v>
      </x:c>
      <x:c r="M4" s="40" t="n">
        <x:f>IFERROR(K4/F4,0)</x:f>
        <x:v>0.0976915280567735</x:v>
      </x:c>
      <x:c r="N4" s="46" t="n">
        <x:f>IFERROR(J4/K4,0)</x:f>
        <x:v>1.7284727013557564</x:v>
      </x:c>
      <x:c r="O4" s="33" t="n">
        <x:f>SUMIFS('标准化长表'!$N$2:$N$3075,'标准化长表'!$C$2:$C$3075,$C4,'标准化长表'!$I$2:$I$3075,"工业用地")</x:f>
        <x:v>550.7388840000001</x:v>
      </x:c>
      <x:c r="P4" s="33" t="n">
        <x:f>SUMIFS('标准化长表'!$N$2:$N$3075,'标准化长表'!$C$2:$C$3075,$C4,'标准化长表'!$I$2:$I$3075,"物流仓储用地")</x:f>
        <x:v>303.53556699999996</x:v>
      </x:c>
      <x:c r="Q4" s="40" t="n">
        <x:f>IFERROR((O4+P4)/F4,0)</x:f>
        <x:v>0.14562415572209583</x:v>
      </x:c>
      <x:c r="R4" s="40" t="n">
        <x:f>IFERROR((O4+P4)/E4,0)</x:f>
        <x:v>0.11821336448100717</x:v>
      </x:c>
      <x:c r="S4" s="33" t="n">
        <x:f>SUMIFS('标准化长表'!$N$2:$N$3075,'标准化长表'!$C$2:$C$3075,$C4,'标准化长表'!$I$2:$I$3075,"商业服务业设施用地")</x:f>
        <x:v>691.0391929999994</x:v>
      </x:c>
      <x:c r="T4" s="40" t="n">
        <x:f>IFERROR(S4/F4,0)</x:f>
        <x:v>0.11779820751247463</x:v>
      </x:c>
      <x:c r="U4" s="33" t="n">
        <x:f>SUMIFS('标准化长表'!$N$2:$N$3075,'标准化长表'!$C$2:$C$3075,$C4,'标准化长表'!$I$2:$I$3075,"机关团体新闻出版用地")+SUMIFS('标准化长表'!$N$2:$N$3075,'标准化长表'!$C$2:$C$3075,$C4,'标准化长表'!$I$2:$I$3075,"科教文卫用地")+SUMIFS('标准化长表'!$N$2:$N$3075,'标准化长表'!$C$2:$C$3075,$C4,'标准化长表'!$I$2:$I$3075,"高教用地")</x:f>
        <x:v>353.86059800000004</x:v>
      </x:c>
      <x:c r="V4" s="40" t="n">
        <x:f>IFERROR(U4/F4,0)</x:f>
        <x:v>0.06032095512951956</x:v>
      </x:c>
      <x:c r="W4" s="40" t="n">
        <x:f>IFERROR((S4+U4+SUMIFS('标准化长表'!$N$2:$N$3075,'标准化长表'!$C$2:$C$3075,$C4,'标准化长表'!$I$2:$I$3075,"公园与绿地")+SUMIFS('标准化长表'!$N$2:$N$3075,'标准化长表'!$C$2:$C$3075,$C4,'标准化长表'!$I$2:$I$3075,"广场用地"))/F4,0)</x:f>
        <x:v>0.21386349024251936</x:v>
      </x:c>
      <x:c r="X4" s="33" t="n">
        <x:f>SUMIFS('标准化长表'!$N$2:$N$3075,'标准化长表'!$C$2:$C$3075,$C4,'标准化长表'!$I$2:$I$3075,"铁路用地")+SUMIFS('标准化长表'!$N$2:$N$3075,'标准化长表'!$C$2:$C$3075,$C4,'标准化长表'!$I$2:$I$3075,"轨道交通用地")+SUMIFS('标准化长表'!$N$2:$N$3075,'标准化长表'!$C$2:$C$3075,$C4,'标准化长表'!$I$2:$I$3075,"机场用地")+SUMIFS('标准化长表'!$N$2:$N$3075,'标准化长表'!$C$2:$C$3075,$C4,'标准化长表'!$I$2:$I$3075,"港口码头用地")+SUMIFS('标准化长表'!$N$2:$N$3075,'标准化长表'!$C$2:$C$3075,$C4,'标准化长表'!$I$2:$I$3075,"交通服务场站用地")+SUMIFS('标准化长表'!$N$2:$N$3075,'标准化长表'!$C$2:$C$3075,$C4,'标准化长表'!$I$2:$I$3075,"物流仓储用地")</x:f>
        <x:v>1145.670669</x:v>
      </x:c>
      <x:c r="Y4" s="40" t="n">
        <x:f>IFERROR(X4/F4,0)</x:f>
        <x:v>0.19529710119903107</x:v>
      </x:c>
      <x:c r="Z4" s="33" t="n">
        <x:f>SUMIFS('标准化长表'!$N$2:$N$3075,'标准化长表'!$C$2:$C$3075,$C4,'标准化长表'!$I$2:$I$3075,"公路用地")</x:f>
        <x:v>53.58711099999999</x:v>
      </x:c>
      <x:c r="AA4" s="40" t="n">
        <x:f>IFERROR(Z4/F4,0)</x:f>
        <x:v>0.009134743275801459</x:v>
      </x:c>
      <x:c r="AB4" s="33" t="n">
        <x:f>SUMIFS('标准化长表'!$N$2:$N$3075,'标准化长表'!$C$2:$C$3075,$C4,'标准化长表'!$I$2:$I$3075,"港口码头用地")</x:f>
        <x:v>212.357606</x:v>
      </x:c>
      <x:c r="AC4" s="40" t="n">
        <x:f>IFERROR(AB4/F4,0)</x:f>
        <x:v>0.03619960429428255</x:v>
      </x:c>
      <x:c r="AD4" s="33" t="n">
        <x:f>SUMIFS('标准化长表'!$N$2:$N$3075,'标准化长表'!$C$2:$C$3075,$C4,'标准化长表'!$I$2:$I$3075,"采矿用地")</x:f>
        <x:v>0.21462399999999998</x:v>
      </x:c>
      <x:c r="AE4" s="40" t="n">
        <x:f>IFERROR(AD4/F4,0)</x:f>
        <x:v>0.00003658594584107384</x:v>
      </x:c>
      <x:c r="AF4" s="33" t="n">
        <x:f>SUMIFS('标准化长表'!$N$2:$N$3075,'标准化长表'!$C$2:$C$3075,$C4,'标准化长表'!$I$2:$I$3075,"公园与绿地")+SUMIFS('标准化长表'!$N$2:$N$3075,'标准化长表'!$C$2:$C$3075,$C4,'标准化长表'!$I$2:$I$3075,"广场用地")</x:f>
        <x:v>209.68681800000007</x:v>
      </x:c>
      <x:c r="AG4" s="40" t="n">
        <x:f>IFERROR(AF4/F4,0)</x:f>
        <x:v>0.03574432760052516</x:v>
      </x:c>
      <x:c r="AH4" s="47" t="n">
        <x:f>IFERROR((IF(SUMIFS('标准化长表'!$N$2:$N$3075,'标准化长表'!$C$2:$C$3075,$C4,'标准化长表'!$J$2:$J$3075,"居住功能",'标准化长表'!$E$2:$E$3075,"建设用地")=0,0,-(SUMIFS('标准化长表'!$N$2:$N$3075,'标准化长表'!$C$2:$C$3075,$C4,'标准化长表'!$J$2:$J$3075,"居住功能",'标准化长表'!$E$2:$E$3075,"建设用地")/F4)*LN(SUMIFS('标准化长表'!$N$2:$N$3075,'标准化长表'!$C$2:$C$3075,$C4,'标准化长表'!$J$2:$J$3075,"居住功能",'标准化长表'!$E$2:$E$3075,"建设用地")/F4))+IF(SUMIFS('标准化长表'!$N$2:$N$3075,'标准化长表'!$C$2:$C$3075,$C4,'标准化长表'!$J$2:$J$3075,"产业功能",'标准化长表'!$E$2:$E$3075,"建设用地")=0,0,-(SUMIFS('标准化长表'!$N$2:$N$3075,'标准化长表'!$C$2:$C$3075,$C4,'标准化长表'!$J$2:$J$3075,"产业功能",'标准化长表'!$E$2:$E$3075,"建设用地")/F4)*LN(SUMIFS('标准化长表'!$N$2:$N$3075,'标准化长表'!$C$2:$C$3075,$C4,'标准化长表'!$J$2:$J$3075,"产业功能",'标准化长表'!$E$2:$E$3075,"建设用地")/F4))+IF(SUMIFS('标准化长表'!$N$2:$N$3075,'标准化长表'!$C$2:$C$3075,$C4,'标准化长表'!$J$2:$J$3075,"商业服务",'标准化长表'!$E$2:$E$3075,"建设用地")=0,0,-(SUMIFS('标准化长表'!$N$2:$N$3075,'标准化长表'!$C$2:$C$3075,$C4,'标准化长表'!$J$2:$J$3075,"商业服务",'标准化长表'!$E$2:$E$3075,"建设用地")/F4)*LN(SUMIFS('标准化长表'!$N$2:$N$3075,'标准化长表'!$C$2:$C$3075,$C4,'标准化长表'!$J$2:$J$3075,"商业服务",'标准化长表'!$E$2:$E$3075,"建设用地")/F4))+IF(SUMIFS('标准化长表'!$N$2:$N$3075,'标准化长表'!$C$2:$C$3075,$C4,'标准化长表'!$J$2:$J$3075,"公共服务",'标准化长表'!$E$2:$E$3075,"建设用地")=0,0,-(SUMIFS('标准化长表'!$N$2:$N$3075,'标准化长表'!$C$2:$C$3075,$C4,'标准化长表'!$J$2:$J$3075,"公共服务",'标准化长表'!$E$2:$E$3075,"建设用地")/F4)*LN(SUMIFS('标准化长表'!$N$2:$N$3075,'标准化长表'!$C$2:$C$3075,$C4,'标准化长表'!$J$2:$J$3075,"公共服务",'标准化长表'!$E$2:$E$3075,"建设用地")/F4))+IF(SUMIFS('标准化长表'!$N$2:$N$3075,'标准化长表'!$C$2:$C$3075,$C4,'标准化长表'!$J$2:$J$3075,"交通门户",'标准化长表'!$E$2:$E$3075,"建设用地")=0,0,-(SUMIFS('标准化长表'!$N$2:$N$3075,'标准化长表'!$C$2:$C$3075,$C4,'标准化长表'!$J$2:$J$3075,"交通门户",'标准化长表'!$E$2:$E$3075,"建设用地")/F4)*LN(SUMIFS('标准化长表'!$N$2:$N$3075,'标准化长表'!$C$2:$C$3075,$C4,'标准化长表'!$J$2:$J$3075,"交通门户",'标准化长表'!$E$2:$E$3075,"建设用地")/F4))+IF(SUMIFS('标准化长表'!$N$2:$N$3075,'标准化长表'!$C$2:$C$3075,$C4,'标准化长表'!$J$2:$J$3075,"公共空间",'标准化长表'!$E$2:$E$3075,"建设用地")=0,0,-(SUMIFS('标准化长表'!$N$2:$N$3075,'标准化长表'!$C$2:$C$3075,$C4,'标准化长表'!$J$2:$J$3075,"公共空间",'标准化长表'!$E$2:$E$3075,"建设用地")/F4)*LN(SUMIFS('标准化长表'!$N$2:$N$3075,'标准化长表'!$C$2:$C$3075,$C4,'标准化长表'!$J$2:$J$3075,"公共空间",'标准化长表'!$E$2:$E$3075,"建设用地")/F4))+IF(SUMIFS('标准化长表'!$N$2:$N$3075,'标准化长表'!$C$2:$C$3075,$C4,'标准化长表'!$J$2:$J$3075,"其他建设",'标准化长表'!$E$2:$E$3075,"建设用地")=0,0,-(SUMIFS('标准化长表'!$N$2:$N$3075,'标准化长表'!$C$2:$C$3075,$C4,'标准化长表'!$J$2:$J$3075,"其他建设",'标准化长表'!$E$2:$E$3075,"建设用地")/F4)*LN(SUMIFS('标准化长表'!$N$2:$N$3075,'标准化长表'!$C$2:$C$3075,$C4,'标准化长表'!$J$2:$J$3075,"其他建设",'标准化长表'!$E$2:$E$3075,"建设用地")/F4)))/LN(7),0)</x:f>
        <x:v>0.8570412487606671</x:v>
      </x:c>
    </x:row>
    <x:row r="5">
      <x:c r="A5" s="21" t="n">
        <x:v>350200</x:v>
      </x:c>
      <x:c r="B5" s="22" t="str">
        <x:v>厦门市</x:v>
      </x:c>
      <x:c r="C5" s="22" t="n">
        <x:v>350211</x:v>
      </x:c>
      <x:c r="D5" s="22" t="str">
        <x:v>集美区</x:v>
      </x:c>
      <x:c r="E5" s="33" t="n">
        <x:f>SUMIFS('标准化长表'!$N$2:$N$3075,'标准化长表'!$C$2:$C$3075,$C5)</x:f>
        <x:v>27344.446190000002</x:v>
      </x:c>
      <x:c r="F5" s="33" t="n">
        <x:f>SUMIFS('标准化长表'!$N$2:$N$3075,'标准化长表'!$C$2:$C$3075,$C5,'标准化长表'!$E$2:$E$3075,"建设用地")</x:f>
        <x:v>10004.699344999999</x:v>
      </x:c>
      <x:c r="G5" s="40" t="n">
        <x:f>IFERROR(F5/E5,0)</x:f>
        <x:v>0.36587683200761867</x:v>
      </x:c>
      <x:c r="H5" s="40" t="n">
        <x:f>IFERROR(SUMIFS('标准化长表'!$N$2:$N$3075,'标准化长表'!$C$2:$C$3075,$C5,'标准化长表'!$E$2:$E$3075,"农用地")/E5,0)</x:f>
        <x:v>0.5238804486096633</x:v>
      </x:c>
      <x:c r="I5" s="40" t="n">
        <x:f>IFERROR(SUMIFS('标准化长表'!$N$2:$N$3075,'标准化长表'!$C$2:$C$3075,$C5,'标准化长表'!$E$2:$E$3075,"未利用地")/E5,0)</x:f>
        <x:v>0.1102427193827179</x:v>
      </x:c>
      <x:c r="J5" s="33" t="n">
        <x:f>SUMIFS('标准化长表'!$N$2:$N$3075,'标准化长表'!$C$2:$C$3075,$C5,'标准化长表'!$I$2:$I$3075,"城镇住宅用地")</x:f>
        <x:v>982.680103</x:v>
      </x:c>
      <x:c r="K5" s="33" t="n">
        <x:f>SUMIFS('标准化长表'!$N$2:$N$3075,'标准化长表'!$C$2:$C$3075,$C5,'标准化长表'!$I$2:$I$3075,"农村宅基地")</x:f>
        <x:v>1690.8428340000003</x:v>
      </x:c>
      <x:c r="L5" s="40" t="n">
        <x:f>IFERROR(J5/F5,0)</x:f>
        <x:v>0.0982218524628738</x:v>
      </x:c>
      <x:c r="M5" s="40" t="n">
        <x:f>IFERROR(K5/F5,0)</x:f>
        <x:v>0.16900486218459176</x:v>
      </x:c>
      <x:c r="N5" s="46" t="n">
        <x:f>IFERROR(J5/K5,0)</x:f>
        <x:v>0.5811776726020651</x:v>
      </x:c>
      <x:c r="O5" s="33" t="n">
        <x:f>SUMIFS('标准化长表'!$N$2:$N$3075,'标准化长表'!$C$2:$C$3075,$C5,'标准化长表'!$I$2:$I$3075,"工业用地")</x:f>
        <x:v>1940.3119160000003</x:v>
      </x:c>
      <x:c r="P5" s="33" t="n">
        <x:f>SUMIFS('标准化长表'!$N$2:$N$3075,'标准化长表'!$C$2:$C$3075,$C5,'标准化长表'!$I$2:$I$3075,"物流仓储用地")</x:f>
        <x:v>173.03057699999997</x:v>
      </x:c>
      <x:c r="Q5" s="40" t="n">
        <x:f>IFERROR((O5+P5)/F5,0)</x:f>
        <x:v>0.21123498269402521</x:v>
      </x:c>
      <x:c r="R5" s="40" t="n">
        <x:f>IFERROR((O5+P5)/E5,0)</x:f>
        <x:v>0.0772859862772741</x:v>
      </x:c>
      <x:c r="S5" s="33" t="n">
        <x:f>SUMIFS('标准化长表'!$N$2:$N$3075,'标准化长表'!$C$2:$C$3075,$C5,'标准化长表'!$I$2:$I$3075,"商业服务业设施用地")</x:f>
        <x:v>587.5009570000003</x:v>
      </x:c>
      <x:c r="T5" s="40" t="n">
        <x:f>IFERROR(S5/F5,0)</x:f>
        <x:v>0.05872249997133726</x:v>
      </x:c>
      <x:c r="U5" s="33" t="n">
        <x:f>SUMIFS('标准化长表'!$N$2:$N$3075,'标准化长表'!$C$2:$C$3075,$C5,'标准化长表'!$I$2:$I$3075,"机关团体新闻出版用地")+SUMIFS('标准化长表'!$N$2:$N$3075,'标准化长表'!$C$2:$C$3075,$C5,'标准化长表'!$I$2:$I$3075,"科教文卫用地")+SUMIFS('标准化长表'!$N$2:$N$3075,'标准化长表'!$C$2:$C$3075,$C5,'标准化长表'!$I$2:$I$3075,"高教用地")</x:f>
        <x:v>1035.853661</x:v>
      </x:c>
      <x:c r="V5" s="40" t="n">
        <x:f>IFERROR(U5/F5,0)</x:f>
        <x:v>0.10353671062765957</x:v>
      </x:c>
      <x:c r="W5" s="40" t="n">
        <x:f>IFERROR((S5+U5+SUMIFS('标准化长表'!$N$2:$N$3075,'标准化长表'!$C$2:$C$3075,$C5,'标准化长表'!$I$2:$I$3075,"公园与绿地")+SUMIFS('标准化长表'!$N$2:$N$3075,'标准化长表'!$C$2:$C$3075,$C5,'标准化长表'!$I$2:$I$3075,"广场用地"))/F5,0)</x:f>
        <x:v>0.21142004252802468</x:v>
      </x:c>
      <x:c r="X5" s="33" t="n">
        <x:f>SUMIFS('标准化长表'!$N$2:$N$3075,'标准化长表'!$C$2:$C$3075,$C5,'标准化长表'!$I$2:$I$3075,"铁路用地")+SUMIFS('标准化长表'!$N$2:$N$3075,'标准化长表'!$C$2:$C$3075,$C5,'标准化长表'!$I$2:$I$3075,"轨道交通用地")+SUMIFS('标准化长表'!$N$2:$N$3075,'标准化长表'!$C$2:$C$3075,$C5,'标准化长表'!$I$2:$I$3075,"机场用地")+SUMIFS('标准化长表'!$N$2:$N$3075,'标准化长表'!$C$2:$C$3075,$C5,'标准化长表'!$I$2:$I$3075,"港口码头用地")+SUMIFS('标准化长表'!$N$2:$N$3075,'标准化长表'!$C$2:$C$3075,$C5,'标准化长表'!$I$2:$I$3075,"交通服务场站用地")+SUMIFS('标准化长表'!$N$2:$N$3075,'标准化长表'!$C$2:$C$3075,$C5,'标准化长表'!$I$2:$I$3075,"物流仓储用地")</x:f>
        <x:v>644.901987</x:v>
      </x:c>
      <x:c r="Y5" s="40" t="n">
        <x:f>IFERROR(X5/F5,0)</x:f>
        <x:v>0.0644599067659439</x:v>
      </x:c>
      <x:c r="Z5" s="33" t="n">
        <x:f>SUMIFS('标准化长表'!$N$2:$N$3075,'标准化长表'!$C$2:$C$3075,$C5,'标准化长表'!$I$2:$I$3075,"公路用地")</x:f>
        <x:v>1202.4508860000008</x:v>
      </x:c>
      <x:c r="AA5" s="40" t="n">
        <x:f>IFERROR(Z5/F5,0)</x:f>
        <x:v>0.12018860782667536</x:v>
      </x:c>
      <x:c r="AB5" s="33" t="n">
        <x:f>SUMIFS('标准化长表'!$N$2:$N$3075,'标准化长表'!$C$2:$C$3075,$C5,'标准化长表'!$I$2:$I$3075,"港口码头用地")</x:f>
        <x:v>0.453891</x:v>
      </x:c>
      <x:c r="AC5" s="40" t="n">
        <x:f>IFERROR(AB5/F5,0)</x:f>
        <x:v>0.00004536778011493558</x:v>
      </x:c>
      <x:c r="AD5" s="33" t="n">
        <x:f>SUMIFS('标准化长表'!$N$2:$N$3075,'标准化长表'!$C$2:$C$3075,$C5,'标准化长表'!$I$2:$I$3075,"采矿用地")</x:f>
        <x:v>36.446255</x:v>
      </x:c>
      <x:c r="AE5" s="40" t="n">
        <x:f>IFERROR(AD5/F5,0)</x:f>
        <x:v>0.0036429135692332996</x:v>
      </x:c>
      <x:c r="AF5" s="33" t="n">
        <x:f>SUMIFS('标准化长表'!$N$2:$N$3075,'标准化长表'!$C$2:$C$3075,$C5,'标准化长表'!$I$2:$I$3075,"公园与绿地")+SUMIFS('标准化长表'!$N$2:$N$3075,'标准化长表'!$C$2:$C$3075,$C5,'标准化长表'!$I$2:$I$3075,"广场用地")</x:f>
        <x:v>491.839343</x:v>
      </x:c>
      <x:c r="AG5" s="40" t="n">
        <x:f>IFERROR(AF5/F5,0)</x:f>
        <x:v>0.04916083192902785</x:v>
      </x:c>
      <x:c r="AH5" s="47" t="n">
        <x:f>IFERROR((IF(SUMIFS('标准化长表'!$N$2:$N$3075,'标准化长表'!$C$2:$C$3075,$C5,'标准化长表'!$J$2:$J$3075,"居住功能",'标准化长表'!$E$2:$E$3075,"建设用地")=0,0,-(SUMIFS('标准化长表'!$N$2:$N$3075,'标准化长表'!$C$2:$C$3075,$C5,'标准化长表'!$J$2:$J$3075,"居住功能",'标准化长表'!$E$2:$E$3075,"建设用地")/F5)*LN(SUMIFS('标准化长表'!$N$2:$N$3075,'标准化长表'!$C$2:$C$3075,$C5,'标准化长表'!$J$2:$J$3075,"居住功能",'标准化长表'!$E$2:$E$3075,"建设用地")/F5))+IF(SUMIFS('标准化长表'!$N$2:$N$3075,'标准化长表'!$C$2:$C$3075,$C5,'标准化长表'!$J$2:$J$3075,"产业功能",'标准化长表'!$E$2:$E$3075,"建设用地")=0,0,-(SUMIFS('标准化长表'!$N$2:$N$3075,'标准化长表'!$C$2:$C$3075,$C5,'标准化长表'!$J$2:$J$3075,"产业功能",'标准化长表'!$E$2:$E$3075,"建设用地")/F5)*LN(SUMIFS('标准化长表'!$N$2:$N$3075,'标准化长表'!$C$2:$C$3075,$C5,'标准化长表'!$J$2:$J$3075,"产业功能",'标准化长表'!$E$2:$E$3075,"建设用地")/F5))+IF(SUMIFS('标准化长表'!$N$2:$N$3075,'标准化长表'!$C$2:$C$3075,$C5,'标准化长表'!$J$2:$J$3075,"商业服务",'标准化长表'!$E$2:$E$3075,"建设用地")=0,0,-(SUMIFS('标准化长表'!$N$2:$N$3075,'标准化长表'!$C$2:$C$3075,$C5,'标准化长表'!$J$2:$J$3075,"商业服务",'标准化长表'!$E$2:$E$3075,"建设用地")/F5)*LN(SUMIFS('标准化长表'!$N$2:$N$3075,'标准化长表'!$C$2:$C$3075,$C5,'标准化长表'!$J$2:$J$3075,"商业服务",'标准化长表'!$E$2:$E$3075,"建设用地")/F5))+IF(SUMIFS('标准化长表'!$N$2:$N$3075,'标准化长表'!$C$2:$C$3075,$C5,'标准化长表'!$J$2:$J$3075,"公共服务",'标准化长表'!$E$2:$E$3075,"建设用地")=0,0,-(SUMIFS('标准化长表'!$N$2:$N$3075,'标准化长表'!$C$2:$C$3075,$C5,'标准化长表'!$J$2:$J$3075,"公共服务",'标准化长表'!$E$2:$E$3075,"建设用地")/F5)*LN(SUMIFS('标准化长表'!$N$2:$N$3075,'标准化长表'!$C$2:$C$3075,$C5,'标准化长表'!$J$2:$J$3075,"公共服务",'标准化长表'!$E$2:$E$3075,"建设用地")/F5))+IF(SUMIFS('标准化长表'!$N$2:$N$3075,'标准化长表'!$C$2:$C$3075,$C5,'标准化长表'!$J$2:$J$3075,"交通门户",'标准化长表'!$E$2:$E$3075,"建设用地")=0,0,-(SUMIFS('标准化长表'!$N$2:$N$3075,'标准化长表'!$C$2:$C$3075,$C5,'标准化长表'!$J$2:$J$3075,"交通门户",'标准化长表'!$E$2:$E$3075,"建设用地")/F5)*LN(SUMIFS('标准化长表'!$N$2:$N$3075,'标准化长表'!$C$2:$C$3075,$C5,'标准化长表'!$J$2:$J$3075,"交通门户",'标准化长表'!$E$2:$E$3075,"建设用地")/F5))+IF(SUMIFS('标准化长表'!$N$2:$N$3075,'标准化长表'!$C$2:$C$3075,$C5,'标准化长表'!$J$2:$J$3075,"公共空间",'标准化长表'!$E$2:$E$3075,"建设用地")=0,0,-(SUMIFS('标准化长表'!$N$2:$N$3075,'标准化长表'!$C$2:$C$3075,$C5,'标准化长表'!$J$2:$J$3075,"公共空间",'标准化长表'!$E$2:$E$3075,"建设用地")/F5)*LN(SUMIFS('标准化长表'!$N$2:$N$3075,'标准化长表'!$C$2:$C$3075,$C5,'标准化长表'!$J$2:$J$3075,"公共空间",'标准化长表'!$E$2:$E$3075,"建设用地")/F5))+IF(SUMIFS('标准化长表'!$N$2:$N$3075,'标准化长表'!$C$2:$C$3075,$C5,'标准化长表'!$J$2:$J$3075,"其他建设",'标准化长表'!$E$2:$E$3075,"建设用地")=0,0,-(SUMIFS('标准化长表'!$N$2:$N$3075,'标准化长表'!$C$2:$C$3075,$C5,'标准化长表'!$J$2:$J$3075,"其他建设",'标准化长表'!$E$2:$E$3075,"建设用地")/F5)*LN(SUMIFS('标准化长表'!$N$2:$N$3075,'标准化长表'!$C$2:$C$3075,$C5,'标准化长表'!$J$2:$J$3075,"其他建设",'标准化长表'!$E$2:$E$3075,"建设用地")/F5)))/LN(7),0)</x:f>
        <x:v>0.8966435329277583</x:v>
      </x:c>
    </x:row>
    <x:row r="6">
      <x:c r="A6" s="21" t="n">
        <x:v>350200</x:v>
      </x:c>
      <x:c r="B6" s="22" t="str">
        <x:v>厦门市</x:v>
      </x:c>
      <x:c r="C6" s="22" t="n">
        <x:v>350212</x:v>
      </x:c>
      <x:c r="D6" s="22" t="str">
        <x:v>同安区</x:v>
      </x:c>
      <x:c r="E6" s="33" t="n">
        <x:f>SUMIFS('标准化长表'!$N$2:$N$3075,'标准化长表'!$C$2:$C$3075,$C6)</x:f>
        <x:v>66904.58129999999</x:v>
      </x:c>
      <x:c r="F6" s="33" t="n">
        <x:f>SUMIFS('标准化长表'!$N$2:$N$3075,'标准化长表'!$C$2:$C$3075,$C6,'标准化长表'!$E$2:$E$3075,"建设用地")</x:f>
        <x:v>12971.44194800001</x:v>
      </x:c>
      <x:c r="G6" s="40" t="n">
        <x:f>IFERROR(F6/E6,0)</x:f>
        <x:v>0.19387972685810698</x:v>
      </x:c>
      <x:c r="H6" s="40" t="n">
        <x:f>IFERROR(SUMIFS('标准化长表'!$N$2:$N$3075,'标准化长表'!$C$2:$C$3075,$C6,'标准化长表'!$E$2:$E$3075,"农用地")/E6,0)</x:f>
        <x:v>0.7518565768978214</x:v>
      </x:c>
      <x:c r="I6" s="40" t="n">
        <x:f>IFERROR(SUMIFS('标准化长表'!$N$2:$N$3075,'标准化长表'!$C$2:$C$3075,$C6,'标准化长表'!$E$2:$E$3075,"未利用地")/E6,0)</x:f>
        <x:v>0.054263696244071735</x:v>
      </x:c>
      <x:c r="J6" s="33" t="n">
        <x:f>SUMIFS('标准化长表'!$N$2:$N$3075,'标准化长表'!$C$2:$C$3075,$C6,'标准化长表'!$I$2:$I$3075,"城镇住宅用地")</x:f>
        <x:v>1083.9456390000005</x:v>
      </x:c>
      <x:c r="K6" s="33" t="n">
        <x:f>SUMIFS('标准化长表'!$N$2:$N$3075,'标准化长表'!$C$2:$C$3075,$C6,'标准化长表'!$I$2:$I$3075,"农村宅基地")</x:f>
        <x:v>3863.242071000009</x:v>
      </x:c>
      <x:c r="L6" s="40" t="n">
        <x:f>IFERROR(J6/F6,0)</x:f>
        <x:v>0.08356400493833514</x:v>
      </x:c>
      <x:c r="M6" s="40" t="n">
        <x:f>IFERROR(K6/F6,0)</x:f>
        <x:v>0.29782672477639693</x:v>
      </x:c>
      <x:c r="N6" s="46" t="n">
        <x:f>IFERROR(J6/K6,0)</x:f>
        <x:v>0.2805792697115194</x:v>
      </x:c>
      <x:c r="O6" s="33" t="n">
        <x:f>SUMIFS('标准化长表'!$N$2:$N$3075,'标准化长表'!$C$2:$C$3075,$C6,'标准化长表'!$I$2:$I$3075,"工业用地")</x:f>
        <x:v>2916.485613000003</x:v>
      </x:c>
      <x:c r="P6" s="33" t="n">
        <x:f>SUMIFS('标准化长表'!$N$2:$N$3075,'标准化长表'!$C$2:$C$3075,$C6,'标准化长表'!$I$2:$I$3075,"物流仓储用地")</x:f>
        <x:v>146.640599</x:v>
      </x:c>
      <x:c r="Q6" s="40" t="n">
        <x:f>IFERROR((O6+P6)/F6,0)</x:f>
        <x:v>0.2361438477140383</x:v>
      </x:c>
      <x:c r="R6" s="40" t="n">
        <x:f>IFERROR((O6+P6)/E6,0)</x:f>
        <x:v>0.045783504694020156</x:v>
      </x:c>
      <x:c r="S6" s="33" t="n">
        <x:f>SUMIFS('标准化长表'!$N$2:$N$3075,'标准化长表'!$C$2:$C$3075,$C6,'标准化长表'!$I$2:$I$3075,"商业服务业设施用地")</x:f>
        <x:v>566.7247740000001</x:v>
      </x:c>
      <x:c r="T6" s="40" t="n">
        <x:f>IFERROR(S6/F6,0)</x:f>
        <x:v>0.04369019082626971</x:v>
      </x:c>
      <x:c r="U6" s="33" t="n">
        <x:f>SUMIFS('标准化长表'!$N$2:$N$3075,'标准化长表'!$C$2:$C$3075,$C6,'标准化长表'!$I$2:$I$3075,"机关团体新闻出版用地")+SUMIFS('标准化长表'!$N$2:$N$3075,'标准化长表'!$C$2:$C$3075,$C6,'标准化长表'!$I$2:$I$3075,"科教文卫用地")+SUMIFS('标准化长表'!$N$2:$N$3075,'标准化长表'!$C$2:$C$3075,$C6,'标准化长表'!$I$2:$I$3075,"高教用地")</x:f>
        <x:v>468.6056299999999</x:v>
      </x:c>
      <x:c r="V6" s="40" t="n">
        <x:f>IFERROR(U6/F6,0)</x:f>
        <x:v>0.03612594743734342</x:v>
      </x:c>
      <x:c r="W6" s="40" t="n">
        <x:f>IFERROR((S6+U6+SUMIFS('标准化长表'!$N$2:$N$3075,'标准化长表'!$C$2:$C$3075,$C6,'标准化长表'!$I$2:$I$3075,"公园与绿地")+SUMIFS('标准化长表'!$N$2:$N$3075,'标准化长表'!$C$2:$C$3075,$C6,'标准化长表'!$I$2:$I$3075,"广场用地"))/F6,0)</x:f>
        <x:v>0.09690258739459605</x:v>
      </x:c>
      <x:c r="X6" s="33" t="n">
        <x:f>SUMIFS('标准化长表'!$N$2:$N$3075,'标准化长表'!$C$2:$C$3075,$C6,'标准化长表'!$I$2:$I$3075,"铁路用地")+SUMIFS('标准化长表'!$N$2:$N$3075,'标准化长表'!$C$2:$C$3075,$C6,'标准化长表'!$I$2:$I$3075,"轨道交通用地")+SUMIFS('标准化长表'!$N$2:$N$3075,'标准化长表'!$C$2:$C$3075,$C6,'标准化长表'!$I$2:$I$3075,"机场用地")+SUMIFS('标准化长表'!$N$2:$N$3075,'标准化长表'!$C$2:$C$3075,$C6,'标准化长表'!$I$2:$I$3075,"港口码头用地")+SUMIFS('标准化长表'!$N$2:$N$3075,'标准化长表'!$C$2:$C$3075,$C6,'标准化长表'!$I$2:$I$3075,"交通服务场站用地")+SUMIFS('标准化长表'!$N$2:$N$3075,'标准化长表'!$C$2:$C$3075,$C6,'标准化长表'!$I$2:$I$3075,"物流仓储用地")</x:f>
        <x:v>532.5197400000002</x:v>
      </x:c>
      <x:c r="Y6" s="40" t="n">
        <x:f>IFERROR(X6/F6,0)</x:f>
        <x:v>0.041053241585227634</x:v>
      </x:c>
      <x:c r="Z6" s="33" t="n">
        <x:f>SUMIFS('标准化长表'!$N$2:$N$3075,'标准化长表'!$C$2:$C$3075,$C6,'标准化长表'!$I$2:$I$3075,"公路用地")</x:f>
        <x:v>1518.1301900000008</x:v>
      </x:c>
      <x:c r="AA6" s="40" t="n">
        <x:f>IFERROR(Z6/F6,0)</x:f>
        <x:v>0.1170363477002703</x:v>
      </x:c>
      <x:c r="AB6" s="33" t="n">
        <x:f>SUMIFS('标准化长表'!$N$2:$N$3075,'标准化长表'!$C$2:$C$3075,$C6,'标准化长表'!$I$2:$I$3075,"港口码头用地")</x:f>
        <x:v>0</x:v>
      </x:c>
      <x:c r="AC6" s="40" t="n">
        <x:f>IFERROR(AB6/F6,0)</x:f>
        <x:v>0</x:v>
      </x:c>
      <x:c r="AD6" s="33" t="n">
        <x:f>SUMIFS('标准化长表'!$N$2:$N$3075,'标准化长表'!$C$2:$C$3075,$C6,'标准化长表'!$I$2:$I$3075,"采矿用地")</x:f>
        <x:v>229.38575100000008</x:v>
      </x:c>
      <x:c r="AE6" s="40" t="n">
        <x:f>IFERROR(AD6/F6,0)</x:f>
        <x:v>0.01768390529900708</x:v>
      </x:c>
      <x:c r="AF6" s="33" t="n">
        <x:f>SUMIFS('标准化长表'!$N$2:$N$3075,'标准化长表'!$C$2:$C$3075,$C6,'标准化长表'!$I$2:$I$3075,"公园与绿地")+SUMIFS('标准化长表'!$N$2:$N$3075,'标准化长表'!$C$2:$C$3075,$C6,'标准化长表'!$I$2:$I$3075,"广场用地")</x:f>
        <x:v>221.63588300000004</x:v>
      </x:c>
      <x:c r="AG6" s="40" t="n">
        <x:f>IFERROR(AF6/F6,0)</x:f>
        <x:v>0.01708644913098291</x:v>
      </x:c>
      <x:c r="AH6" s="47" t="n">
        <x:f>IFERROR((IF(SUMIFS('标准化长表'!$N$2:$N$3075,'标准化长表'!$C$2:$C$3075,$C6,'标准化长表'!$J$2:$J$3075,"居住功能",'标准化长表'!$E$2:$E$3075,"建设用地")=0,0,-(SUMIFS('标准化长表'!$N$2:$N$3075,'标准化长表'!$C$2:$C$3075,$C6,'标准化长表'!$J$2:$J$3075,"居住功能",'标准化长表'!$E$2:$E$3075,"建设用地")/F6)*LN(SUMIFS('标准化长表'!$N$2:$N$3075,'标准化长表'!$C$2:$C$3075,$C6,'标准化长表'!$J$2:$J$3075,"居住功能",'标准化长表'!$E$2:$E$3075,"建设用地")/F6))+IF(SUMIFS('标准化长表'!$N$2:$N$3075,'标准化长表'!$C$2:$C$3075,$C6,'标准化长表'!$J$2:$J$3075,"产业功能",'标准化长表'!$E$2:$E$3075,"建设用地")=0,0,-(SUMIFS('标准化长表'!$N$2:$N$3075,'标准化长表'!$C$2:$C$3075,$C6,'标准化长表'!$J$2:$J$3075,"产业功能",'标准化长表'!$E$2:$E$3075,"建设用地")/F6)*LN(SUMIFS('标准化长表'!$N$2:$N$3075,'标准化长表'!$C$2:$C$3075,$C6,'标准化长表'!$J$2:$J$3075,"产业功能",'标准化长表'!$E$2:$E$3075,"建设用地")/F6))+IF(SUMIFS('标准化长表'!$N$2:$N$3075,'标准化长表'!$C$2:$C$3075,$C6,'标准化长表'!$J$2:$J$3075,"商业服务",'标准化长表'!$E$2:$E$3075,"建设用地")=0,0,-(SUMIFS('标准化长表'!$N$2:$N$3075,'标准化长表'!$C$2:$C$3075,$C6,'标准化长表'!$J$2:$J$3075,"商业服务",'标准化长表'!$E$2:$E$3075,"建设用地")/F6)*LN(SUMIFS('标准化长表'!$N$2:$N$3075,'标准化长表'!$C$2:$C$3075,$C6,'标准化长表'!$J$2:$J$3075,"商业服务",'标准化长表'!$E$2:$E$3075,"建设用地")/F6))+IF(SUMIFS('标准化长表'!$N$2:$N$3075,'标准化长表'!$C$2:$C$3075,$C6,'标准化长表'!$J$2:$J$3075,"公共服务",'标准化长表'!$E$2:$E$3075,"建设用地")=0,0,-(SUMIFS('标准化长表'!$N$2:$N$3075,'标准化长表'!$C$2:$C$3075,$C6,'标准化长表'!$J$2:$J$3075,"公共服务",'标准化长表'!$E$2:$E$3075,"建设用地")/F6)*LN(SUMIFS('标准化长表'!$N$2:$N$3075,'标准化长表'!$C$2:$C$3075,$C6,'标准化长表'!$J$2:$J$3075,"公共服务",'标准化长表'!$E$2:$E$3075,"建设用地")/F6))+IF(SUMIFS('标准化长表'!$N$2:$N$3075,'标准化长表'!$C$2:$C$3075,$C6,'标准化长表'!$J$2:$J$3075,"交通门户",'标准化长表'!$E$2:$E$3075,"建设用地")=0,0,-(SUMIFS('标准化长表'!$N$2:$N$3075,'标准化长表'!$C$2:$C$3075,$C6,'标准化长表'!$J$2:$J$3075,"交通门户",'标准化长表'!$E$2:$E$3075,"建设用地")/F6)*LN(SUMIFS('标准化长表'!$N$2:$N$3075,'标准化长表'!$C$2:$C$3075,$C6,'标准化长表'!$J$2:$J$3075,"交通门户",'标准化长表'!$E$2:$E$3075,"建设用地")/F6))+IF(SUMIFS('标准化长表'!$N$2:$N$3075,'标准化长表'!$C$2:$C$3075,$C6,'标准化长表'!$J$2:$J$3075,"公共空间",'标准化长表'!$E$2:$E$3075,"建设用地")=0,0,-(SUMIFS('标准化长表'!$N$2:$N$3075,'标准化长表'!$C$2:$C$3075,$C6,'标准化长表'!$J$2:$J$3075,"公共空间",'标准化长表'!$E$2:$E$3075,"建设用地")/F6)*LN(SUMIFS('标准化长表'!$N$2:$N$3075,'标准化长表'!$C$2:$C$3075,$C6,'标准化长表'!$J$2:$J$3075,"公共空间",'标准化长表'!$E$2:$E$3075,"建设用地")/F6))+IF(SUMIFS('标准化长表'!$N$2:$N$3075,'标准化长表'!$C$2:$C$3075,$C6,'标准化长表'!$J$2:$J$3075,"其他建设",'标准化长表'!$E$2:$E$3075,"建设用地")=0,0,-(SUMIFS('标准化长表'!$N$2:$N$3075,'标准化长表'!$C$2:$C$3075,$C6,'标准化长表'!$J$2:$J$3075,"其他建设",'标准化长表'!$E$2:$E$3075,"建设用地")/F6)*LN(SUMIFS('标准化长表'!$N$2:$N$3075,'标准化长表'!$C$2:$C$3075,$C6,'标准化长表'!$J$2:$J$3075,"其他建设",'标准化长表'!$E$2:$E$3075,"建设用地")/F6)))/LN(7),0)</x:f>
        <x:v>0.7824435070521978</x:v>
      </x:c>
    </x:row>
    <x:row r="7">
      <x:c r="A7" s="21" t="n">
        <x:v>350200</x:v>
      </x:c>
      <x:c r="B7" s="22" t="str">
        <x:v>厦门市</x:v>
      </x:c>
      <x:c r="C7" s="22" t="n">
        <x:v>350213</x:v>
      </x:c>
      <x:c r="D7" s="22" t="str">
        <x:v>翔安区</x:v>
      </x:c>
      <x:c r="E7" s="33" t="n">
        <x:f>SUMIFS('标准化长表'!$N$2:$N$3075,'标准化长表'!$C$2:$C$3075,$C7)</x:f>
        <x:v>41557.230369999976</x:v>
      </x:c>
      <x:c r="F7" s="33" t="n">
        <x:f>SUMIFS('标准化长表'!$N$2:$N$3075,'标准化长表'!$C$2:$C$3075,$C7,'标准化长表'!$E$2:$E$3075,"建设用地")</x:f>
        <x:v>13016.955472</x:v>
      </x:c>
      <x:c r="G7" s="40" t="n">
        <x:f>IFERROR(F7/E7,0)</x:f>
        <x:v>0.31322961987853976</x:v>
      </x:c>
      <x:c r="H7" s="40" t="n">
        <x:f>IFERROR(SUMIFS('标准化长表'!$N$2:$N$3075,'标准化长表'!$C$2:$C$3075,$C7,'标准化长表'!$E$2:$E$3075,"农用地")/E7,0)</x:f>
        <x:v>0.5462172398617429</x:v>
      </x:c>
      <x:c r="I7" s="40" t="n">
        <x:f>IFERROR(SUMIFS('标准化长表'!$N$2:$N$3075,'标准化长表'!$C$2:$C$3075,$C7,'标准化长表'!$E$2:$E$3075,"未利用地")/E7,0)</x:f>
        <x:v>0.1405531402597175</x:v>
      </x:c>
      <x:c r="J7" s="33" t="n">
        <x:f>SUMIFS('标准化长表'!$N$2:$N$3075,'标准化长表'!$C$2:$C$3075,$C7,'标准化长表'!$I$2:$I$3075,"城镇住宅用地")</x:f>
        <x:v>846.6093179999998</x:v>
      </x:c>
      <x:c r="K7" s="33" t="n">
        <x:f>SUMIFS('标准化长表'!$N$2:$N$3075,'标准化长表'!$C$2:$C$3075,$C7,'标准化长表'!$I$2:$I$3075,"农村宅基地")</x:f>
        <x:v>3338.064617999999</x:v>
      </x:c>
      <x:c r="L7" s="40" t="n">
        <x:f>IFERROR(J7/F7,0)</x:f>
        <x:v>0.06503896551087471</x:v>
      </x:c>
      <x:c r="M7" s="40" t="n">
        <x:f>IFERROR(K7/F7,0)</x:f>
        <x:v>0.2564397354804133</x:v>
      </x:c>
      <x:c r="N7" s="46" t="n">
        <x:f>IFERROR(J7/K7,0)</x:f>
        <x:v>0.2536228068907922</x:v>
      </x:c>
      <x:c r="O7" s="33" t="n">
        <x:f>SUMIFS('标准化长表'!$N$2:$N$3075,'标准化长表'!$C$2:$C$3075,$C7,'标准化长表'!$I$2:$I$3075,"工业用地")</x:f>
        <x:v>1823.8345339999996</x:v>
      </x:c>
      <x:c r="P7" s="33" t="n">
        <x:f>SUMIFS('标准化长表'!$N$2:$N$3075,'标准化长表'!$C$2:$C$3075,$C7,'标准化长表'!$I$2:$I$3075,"物流仓储用地")</x:f>
        <x:v>59.52631500000001</x:v>
      </x:c>
      <x:c r="Q7" s="40" t="n">
        <x:f>IFERROR((O7+P7)/F7,0)</x:f>
        <x:v>0.14468520331433762</x:v>
      </x:c>
      <x:c r="R7" s="40" t="n">
        <x:f>IFERROR((O7+P7)/E7,0)</x:f>
        <x:v>0.045319691236199215</x:v>
      </x:c>
      <x:c r="S7" s="33" t="n">
        <x:f>SUMIFS('标准化长表'!$N$2:$N$3075,'标准化长表'!$C$2:$C$3075,$C7,'标准化长表'!$I$2:$I$3075,"商业服务业设施用地")</x:f>
        <x:v>234.37165200000007</x:v>
      </x:c>
      <x:c r="T7" s="40" t="n">
        <x:f>IFERROR(S7/F7,0)</x:f>
        <x:v>0.018005105149521562</x:v>
      </x:c>
      <x:c r="U7" s="33" t="n">
        <x:f>SUMIFS('标准化长表'!$N$2:$N$3075,'标准化长表'!$C$2:$C$3075,$C7,'标准化长表'!$I$2:$I$3075,"机关团体新闻出版用地")+SUMIFS('标准化长表'!$N$2:$N$3075,'标准化长表'!$C$2:$C$3075,$C7,'标准化长表'!$I$2:$I$3075,"科教文卫用地")+SUMIFS('标准化长表'!$N$2:$N$3075,'标准化长表'!$C$2:$C$3075,$C7,'标准化长表'!$I$2:$I$3075,"高教用地")</x:f>
        <x:v>745.4713749999999</x:v>
      </x:c>
      <x:c r="V7" s="40" t="n">
        <x:f>IFERROR(U7/F7,0)</x:f>
        <x:v>0.05726925751597899</x:v>
      </x:c>
      <x:c r="W7" s="40" t="n">
        <x:f>IFERROR((S7+U7+SUMIFS('标准化长表'!$N$2:$N$3075,'标准化长表'!$C$2:$C$3075,$C7,'标准化长表'!$I$2:$I$3075,"公园与绿地")+SUMIFS('标准化长表'!$N$2:$N$3075,'标准化长表'!$C$2:$C$3075,$C7,'标准化长表'!$I$2:$I$3075,"广场用地"))/F7,0)</x:f>
        <x:v>0.08846024513772723</x:v>
      </x:c>
      <x:c r="X7" s="33" t="n">
        <x:f>SUMIFS('标准化长表'!$N$2:$N$3075,'标准化长表'!$C$2:$C$3075,$C7,'标准化长表'!$I$2:$I$3075,"铁路用地")+SUMIFS('标准化长表'!$N$2:$N$3075,'标准化长表'!$C$2:$C$3075,$C7,'标准化长表'!$I$2:$I$3075,"轨道交通用地")+SUMIFS('标准化长表'!$N$2:$N$3075,'标准化长表'!$C$2:$C$3075,$C7,'标准化长表'!$I$2:$I$3075,"机场用地")+SUMIFS('标准化长表'!$N$2:$N$3075,'标准化长表'!$C$2:$C$3075,$C7,'标准化长表'!$I$2:$I$3075,"港口码头用地")+SUMIFS('标准化长表'!$N$2:$N$3075,'标准化长表'!$C$2:$C$3075,$C7,'标准化长表'!$I$2:$I$3075,"交通服务场站用地")+SUMIFS('标准化长表'!$N$2:$N$3075,'标准化长表'!$C$2:$C$3075,$C7,'标准化长表'!$I$2:$I$3075,"物流仓储用地")</x:f>
        <x:v>1441.4419930000001</x:v>
      </x:c>
      <x:c r="Y7" s="40" t="n">
        <x:f>IFERROR(X7/F7,0)</x:f>
        <x:v>0.11073572434818575</x:v>
      </x:c>
      <x:c r="Z7" s="33" t="n">
        <x:f>SUMIFS('标准化长表'!$N$2:$N$3075,'标准化长表'!$C$2:$C$3075,$C7,'标准化长表'!$I$2:$I$3075,"公路用地")</x:f>
        <x:v>1909.0169770000023</x:v>
      </x:c>
      <x:c r="AA7" s="40" t="n">
        <x:f>IFERROR(Z7/F7,0)</x:f>
        <x:v>0.14665618094080257</x:v>
      </x:c>
      <x:c r="AB7" s="33" t="n">
        <x:f>SUMIFS('标准化长表'!$N$2:$N$3075,'标准化长表'!$C$2:$C$3075,$C7,'标准化长表'!$I$2:$I$3075,"港口码头用地")</x:f>
        <x:v>93.946875</x:v>
      </x:c>
      <x:c r="AC7" s="40" t="n">
        <x:f>IFERROR(AB7/F7,0)</x:f>
        <x:v>0.007217269445384794</x:v>
      </x:c>
      <x:c r="AD7" s="33" t="n">
        <x:f>SUMIFS('标准化长表'!$N$2:$N$3075,'标准化长表'!$C$2:$C$3075,$C7,'标准化长表'!$I$2:$I$3075,"采矿用地")</x:f>
        <x:v>1083.2692220000001</x:v>
      </x:c>
      <x:c r="AE7" s="40" t="n">
        <x:f>IFERROR(AD7/F7,0)</x:f>
        <x:v>0.0832198607677622</x:v>
      </x:c>
      <x:c r="AF7" s="33" t="n">
        <x:f>SUMIFS('标准化长表'!$N$2:$N$3075,'标准化长表'!$C$2:$C$3075,$C7,'标准化长表'!$I$2:$I$3075,"公园与绿地")+SUMIFS('标准化长表'!$N$2:$N$3075,'标准化长表'!$C$2:$C$3075,$C7,'标准化长表'!$I$2:$I$3075,"广场用地")</x:f>
        <x:v>171.640045</x:v>
      </x:c>
      <x:c r="AG7" s="40" t="n">
        <x:f>IFERROR(AF7/F7,0)</x:f>
        <x:v>0.01318588247222668</x:v>
      </x:c>
      <x:c r="AH7" s="47" t="n">
        <x:f>IFERROR((IF(SUMIFS('标准化长表'!$N$2:$N$3075,'标准化长表'!$C$2:$C$3075,$C7,'标准化长表'!$J$2:$J$3075,"居住功能",'标准化长表'!$E$2:$E$3075,"建设用地")=0,0,-(SUMIFS('标准化长表'!$N$2:$N$3075,'标准化长表'!$C$2:$C$3075,$C7,'标准化长表'!$J$2:$J$3075,"居住功能",'标准化长表'!$E$2:$E$3075,"建设用地")/F7)*LN(SUMIFS('标准化长表'!$N$2:$N$3075,'标准化长表'!$C$2:$C$3075,$C7,'标准化长表'!$J$2:$J$3075,"居住功能",'标准化长表'!$E$2:$E$3075,"建设用地")/F7))+IF(SUMIFS('标准化长表'!$N$2:$N$3075,'标准化长表'!$C$2:$C$3075,$C7,'标准化长表'!$J$2:$J$3075,"产业功能",'标准化长表'!$E$2:$E$3075,"建设用地")=0,0,-(SUMIFS('标准化长表'!$N$2:$N$3075,'标准化长表'!$C$2:$C$3075,$C7,'标准化长表'!$J$2:$J$3075,"产业功能",'标准化长表'!$E$2:$E$3075,"建设用地")/F7)*LN(SUMIFS('标准化长表'!$N$2:$N$3075,'标准化长表'!$C$2:$C$3075,$C7,'标准化长表'!$J$2:$J$3075,"产业功能",'标准化长表'!$E$2:$E$3075,"建设用地")/F7))+IF(SUMIFS('标准化长表'!$N$2:$N$3075,'标准化长表'!$C$2:$C$3075,$C7,'标准化长表'!$J$2:$J$3075,"商业服务",'标准化长表'!$E$2:$E$3075,"建设用地")=0,0,-(SUMIFS('标准化长表'!$N$2:$N$3075,'标准化长表'!$C$2:$C$3075,$C7,'标准化长表'!$J$2:$J$3075,"商业服务",'标准化长表'!$E$2:$E$3075,"建设用地")/F7)*LN(SUMIFS('标准化长表'!$N$2:$N$3075,'标准化长表'!$C$2:$C$3075,$C7,'标准化长表'!$J$2:$J$3075,"商业服务",'标准化长表'!$E$2:$E$3075,"建设用地")/F7))+IF(SUMIFS('标准化长表'!$N$2:$N$3075,'标准化长表'!$C$2:$C$3075,$C7,'标准化长表'!$J$2:$J$3075,"公共服务",'标准化长表'!$E$2:$E$3075,"建设用地")=0,0,-(SUMIFS('标准化长表'!$N$2:$N$3075,'标准化长表'!$C$2:$C$3075,$C7,'标准化长表'!$J$2:$J$3075,"公共服务",'标准化长表'!$E$2:$E$3075,"建设用地")/F7)*LN(SUMIFS('标准化长表'!$N$2:$N$3075,'标准化长表'!$C$2:$C$3075,$C7,'标准化长表'!$J$2:$J$3075,"公共服务",'标准化长表'!$E$2:$E$3075,"建设用地")/F7))+IF(SUMIFS('标准化长表'!$N$2:$N$3075,'标准化长表'!$C$2:$C$3075,$C7,'标准化长表'!$J$2:$J$3075,"交通门户",'标准化长表'!$E$2:$E$3075,"建设用地")=0,0,-(SUMIFS('标准化长表'!$N$2:$N$3075,'标准化长表'!$C$2:$C$3075,$C7,'标准化长表'!$J$2:$J$3075,"交通门户",'标准化长表'!$E$2:$E$3075,"建设用地")/F7)*LN(SUMIFS('标准化长表'!$N$2:$N$3075,'标准化长表'!$C$2:$C$3075,$C7,'标准化长表'!$J$2:$J$3075,"交通门户",'标准化长表'!$E$2:$E$3075,"建设用地")/F7))+IF(SUMIFS('标准化长表'!$N$2:$N$3075,'标准化长表'!$C$2:$C$3075,$C7,'标准化长表'!$J$2:$J$3075,"公共空间",'标准化长表'!$E$2:$E$3075,"建设用地")=0,0,-(SUMIFS('标准化长表'!$N$2:$N$3075,'标准化长表'!$C$2:$C$3075,$C7,'标准化长表'!$J$2:$J$3075,"公共空间",'标准化长表'!$E$2:$E$3075,"建设用地")/F7)*LN(SUMIFS('标准化长表'!$N$2:$N$3075,'标准化长表'!$C$2:$C$3075,$C7,'标准化长表'!$J$2:$J$3075,"公共空间",'标准化长表'!$E$2:$E$3075,"建设用地")/F7))+IF(SUMIFS('标准化长表'!$N$2:$N$3075,'标准化长表'!$C$2:$C$3075,$C7,'标准化长表'!$J$2:$J$3075,"其他建设",'标准化长表'!$E$2:$E$3075,"建设用地")=0,0,-(SUMIFS('标准化长表'!$N$2:$N$3075,'标准化长表'!$C$2:$C$3075,$C7,'标准化长表'!$J$2:$J$3075,"其他建设",'标准化长表'!$E$2:$E$3075,"建设用地")/F7)*LN(SUMIFS('标准化长表'!$N$2:$N$3075,'标准化长表'!$C$2:$C$3075,$C7,'标准化长表'!$J$2:$J$3075,"其他建设",'标准化长表'!$E$2:$E$3075,"建设用地")/F7)))/LN(7),0)</x:f>
        <x:v>0.795096452288826</x:v>
      </x:c>
    </x:row>
    <x:row r="8">
      <x:c r="A8" s="21" t="n">
        <x:v>350500</x:v>
      </x:c>
      <x:c r="B8" s="22" t="str">
        <x:v>泉州市</x:v>
      </x:c>
      <x:c r="C8" s="22" t="n">
        <x:v>350502</x:v>
      </x:c>
      <x:c r="D8" s="22" t="str">
        <x:v>鲤城区</x:v>
      </x:c>
      <x:c r="E8" s="33" t="n">
        <x:f>SUMIFS('标准化长表'!$N$2:$N$3075,'标准化长表'!$C$2:$C$3075,$C8)</x:f>
        <x:v>5182.959770000005</x:v>
      </x:c>
      <x:c r="F8" s="33" t="n">
        <x:f>SUMIFS('标准化长表'!$N$2:$N$3075,'标准化长表'!$C$2:$C$3075,$C8,'标准化长表'!$E$2:$E$3075,"建设用地")</x:f>
        <x:v>3300.159895000002</x:v>
      </x:c>
      <x:c r="G8" s="40" t="n">
        <x:f>IFERROR(F8/E8,0)</x:f>
        <x:v>0.6367326858491126</x:v>
      </x:c>
      <x:c r="H8" s="40" t="n">
        <x:f>IFERROR(SUMIFS('标准化长表'!$N$2:$N$3075,'标准化长表'!$C$2:$C$3075,$C8,'标准化长表'!$E$2:$E$3075,"农用地")/E8,0)</x:f>
        <x:v>0.2916480611617787</x:v>
      </x:c>
      <x:c r="I8" s="40" t="n">
        <x:f>IFERROR(SUMIFS('标准化长表'!$N$2:$N$3075,'标准化长表'!$C$2:$C$3075,$C8,'标准化长表'!$E$2:$E$3075,"未利用地")/E8,0)</x:f>
        <x:v>0.07161925298910814</x:v>
      </x:c>
      <x:c r="J8" s="33" t="n">
        <x:f>SUMIFS('标准化长表'!$N$2:$N$3075,'标准化长表'!$C$2:$C$3075,$C8,'标准化长表'!$I$2:$I$3075,"城镇住宅用地")</x:f>
        <x:v>1461.1999080000005</x:v>
      </x:c>
      <x:c r="K8" s="33" t="n">
        <x:f>SUMIFS('标准化长表'!$N$2:$N$3075,'标准化长表'!$C$2:$C$3075,$C8,'标准化长表'!$I$2:$I$3075,"农村宅基地")</x:f>
        <x:v>7.586930000000001</x:v>
      </x:c>
      <x:c r="L8" s="40" t="n">
        <x:f>IFERROR(J8/F8,0)</x:f>
        <x:v>0.44276639753541386</x:v>
      </x:c>
      <x:c r="M8" s="40" t="n">
        <x:f>IFERROR(K8/F8,0)</x:f>
        <x:v>0.002298958305473255</x:v>
      </x:c>
      <x:c r="N8" s="46" t="n">
        <x:f>IFERROR(J8/K8,0)</x:f>
        <x:v>192.59435740147865</x:v>
      </x:c>
      <x:c r="O8" s="33" t="n">
        <x:f>SUMIFS('标准化长表'!$N$2:$N$3075,'标准化长表'!$C$2:$C$3075,$C8,'标准化长表'!$I$2:$I$3075,"工业用地")</x:f>
        <x:v>523.650363</x:v>
      </x:c>
      <x:c r="P8" s="33" t="n">
        <x:f>SUMIFS('标准化长表'!$N$2:$N$3075,'标准化长表'!$C$2:$C$3075,$C8,'标准化长表'!$I$2:$I$3075,"物流仓储用地")</x:f>
        <x:v>12.843855000000001</x:v>
      </x:c>
      <x:c r="Q8" s="40" t="n">
        <x:f>IFERROR((O8+P8)/F8,0)</x:f>
        <x:v>0.16256612863298844</x:v>
      </x:c>
      <x:c r="R8" s="40" t="n">
        <x:f>IFERROR((O8+P8)/E8,0)</x:f>
        <x:v>0.10351116771257506</x:v>
      </x:c>
      <x:c r="S8" s="33" t="n">
        <x:f>SUMIFS('标准化长表'!$N$2:$N$3075,'标准化长表'!$C$2:$C$3075,$C8,'标准化长表'!$I$2:$I$3075,"商业服务业设施用地")</x:f>
        <x:v>283.61002900000005</x:v>
      </x:c>
      <x:c r="T8" s="40" t="n">
        <x:f>IFERROR(S8/F8,0)</x:f>
        <x:v>0.085938269060748</x:v>
      </x:c>
      <x:c r="U8" s="33" t="n">
        <x:f>SUMIFS('标准化长表'!$N$2:$N$3075,'标准化长表'!$C$2:$C$3075,$C8,'标准化长表'!$I$2:$I$3075,"机关团体新闻出版用地")+SUMIFS('标准化长表'!$N$2:$N$3075,'标准化长表'!$C$2:$C$3075,$C8,'标准化长表'!$I$2:$I$3075,"科教文卫用地")+SUMIFS('标准化长表'!$N$2:$N$3075,'标准化长表'!$C$2:$C$3075,$C8,'标准化长表'!$I$2:$I$3075,"高教用地")</x:f>
        <x:v>195.18141599999993</x:v>
      </x:c>
      <x:c r="V8" s="40" t="n">
        <x:f>IFERROR(U8/F8,0)</x:f>
        <x:v>0.05914301797792128</x:v>
      </x:c>
      <x:c r="W8" s="40" t="n">
        <x:f>IFERROR((S8+U8+SUMIFS('标准化长表'!$N$2:$N$3075,'标准化长表'!$C$2:$C$3075,$C8,'标准化长表'!$I$2:$I$3075,"公园与绿地")+SUMIFS('标准化长表'!$N$2:$N$3075,'标准化长表'!$C$2:$C$3075,$C8,'标准化长表'!$I$2:$I$3075,"广场用地"))/F8,0)</x:f>
        <x:v>0.19301731863510194</x:v>
      </x:c>
      <x:c r="X8" s="33" t="n">
        <x:f>SUMIFS('标准化长表'!$N$2:$N$3075,'标准化长表'!$C$2:$C$3075,$C8,'标准化长表'!$I$2:$I$3075,"铁路用地")+SUMIFS('标准化长表'!$N$2:$N$3075,'标准化长表'!$C$2:$C$3075,$C8,'标准化长表'!$I$2:$I$3075,"轨道交通用地")+SUMIFS('标准化长表'!$N$2:$N$3075,'标准化长表'!$C$2:$C$3075,$C8,'标准化长表'!$I$2:$I$3075,"机场用地")+SUMIFS('标准化长表'!$N$2:$N$3075,'标准化长表'!$C$2:$C$3075,$C8,'标准化长表'!$I$2:$I$3075,"港口码头用地")+SUMIFS('标准化长表'!$N$2:$N$3075,'标准化长表'!$C$2:$C$3075,$C8,'标准化长表'!$I$2:$I$3075,"交通服务场站用地")+SUMIFS('标准化长表'!$N$2:$N$3075,'标准化长表'!$C$2:$C$3075,$C8,'标准化长表'!$I$2:$I$3075,"物流仓储用地")</x:f>
        <x:v>71.69995100000001</x:v>
      </x:c>
      <x:c r="Y8" s="40" t="n">
        <x:f>IFERROR(X8/F8,0)</x:f>
        <x:v>0.021726205178309994</x:v>
      </x:c>
      <x:c r="Z8" s="33" t="n">
        <x:f>SUMIFS('标准化长表'!$N$2:$N$3075,'标准化长表'!$C$2:$C$3075,$C8,'标准化长表'!$I$2:$I$3075,"公路用地")</x:f>
        <x:v>136.12709600000002</x:v>
      </x:c>
      <x:c r="AA8" s="40" t="n">
        <x:f>IFERROR(Z8/F8,0)</x:f>
        <x:v>0.04124863653007938</x:v>
      </x:c>
      <x:c r="AB8" s="33" t="n">
        <x:f>SUMIFS('标准化长表'!$N$2:$N$3075,'标准化长表'!$C$2:$C$3075,$C8,'标准化长表'!$I$2:$I$3075,"港口码头用地")</x:f>
        <x:v>0</x:v>
      </x:c>
      <x:c r="AC8" s="40" t="n">
        <x:f>IFERROR(AB8/F8,0)</x:f>
        <x:v>0</x:v>
      </x:c>
      <x:c r="AD8" s="33" t="n">
        <x:f>SUMIFS('标准化长表'!$N$2:$N$3075,'标准化长表'!$C$2:$C$3075,$C8,'标准化长表'!$I$2:$I$3075,"采矿用地")</x:f>
        <x:v>2.705475</x:v>
      </x:c>
      <x:c r="AE8" s="40" t="n">
        <x:f>IFERROR(AD8/F8,0)</x:f>
        <x:v>0.0008198011872391407</x:v>
      </x:c>
      <x:c r="AF8" s="33" t="n">
        <x:f>SUMIFS('标准化长表'!$N$2:$N$3075,'标准化长表'!$C$2:$C$3075,$C8,'标准化长表'!$I$2:$I$3075,"公园与绿地")+SUMIFS('标准化长表'!$N$2:$N$3075,'标准化长表'!$C$2:$C$3075,$C8,'标准化长表'!$I$2:$I$3075,"广场用地")</x:f>
        <x:v>158.19656899999995</x:v>
      </x:c>
      <x:c r="AG8" s="40" t="n">
        <x:f>IFERROR(AF8/F8,0)</x:f>
        <x:v>0.04793603159643265</x:v>
      </x:c>
      <x:c r="AH8" s="47" t="n">
        <x:f>IFERROR((IF(SUMIFS('标准化长表'!$N$2:$N$3075,'标准化长表'!$C$2:$C$3075,$C8,'标准化长表'!$J$2:$J$3075,"居住功能",'标准化长表'!$E$2:$E$3075,"建设用地")=0,0,-(SUMIFS('标准化长表'!$N$2:$N$3075,'标准化长表'!$C$2:$C$3075,$C8,'标准化长表'!$J$2:$J$3075,"居住功能",'标准化长表'!$E$2:$E$3075,"建设用地")/F8)*LN(SUMIFS('标准化长表'!$N$2:$N$3075,'标准化长表'!$C$2:$C$3075,$C8,'标准化长表'!$J$2:$J$3075,"居住功能",'标准化长表'!$E$2:$E$3075,"建设用地")/F8))+IF(SUMIFS('标准化长表'!$N$2:$N$3075,'标准化长表'!$C$2:$C$3075,$C8,'标准化长表'!$J$2:$J$3075,"产业功能",'标准化长表'!$E$2:$E$3075,"建设用地")=0,0,-(SUMIFS('标准化长表'!$N$2:$N$3075,'标准化长表'!$C$2:$C$3075,$C8,'标准化长表'!$J$2:$J$3075,"产业功能",'标准化长表'!$E$2:$E$3075,"建设用地")/F8)*LN(SUMIFS('标准化长表'!$N$2:$N$3075,'标准化长表'!$C$2:$C$3075,$C8,'标准化长表'!$J$2:$J$3075,"产业功能",'标准化长表'!$E$2:$E$3075,"建设用地")/F8))+IF(SUMIFS('标准化长表'!$N$2:$N$3075,'标准化长表'!$C$2:$C$3075,$C8,'标准化长表'!$J$2:$J$3075,"商业服务",'标准化长表'!$E$2:$E$3075,"建设用地")=0,0,-(SUMIFS('标准化长表'!$N$2:$N$3075,'标准化长表'!$C$2:$C$3075,$C8,'标准化长表'!$J$2:$J$3075,"商业服务",'标准化长表'!$E$2:$E$3075,"建设用地")/F8)*LN(SUMIFS('标准化长表'!$N$2:$N$3075,'标准化长表'!$C$2:$C$3075,$C8,'标准化长表'!$J$2:$J$3075,"商业服务",'标准化长表'!$E$2:$E$3075,"建设用地")/F8))+IF(SUMIFS('标准化长表'!$N$2:$N$3075,'标准化长表'!$C$2:$C$3075,$C8,'标准化长表'!$J$2:$J$3075,"公共服务",'标准化长表'!$E$2:$E$3075,"建设用地")=0,0,-(SUMIFS('标准化长表'!$N$2:$N$3075,'标准化长表'!$C$2:$C$3075,$C8,'标准化长表'!$J$2:$J$3075,"公共服务",'标准化长表'!$E$2:$E$3075,"建设用地")/F8)*LN(SUMIFS('标准化长表'!$N$2:$N$3075,'标准化长表'!$C$2:$C$3075,$C8,'标准化长表'!$J$2:$J$3075,"公共服务",'标准化长表'!$E$2:$E$3075,"建设用地")/F8))+IF(SUMIFS('标准化长表'!$N$2:$N$3075,'标准化长表'!$C$2:$C$3075,$C8,'标准化长表'!$J$2:$J$3075,"交通门户",'标准化长表'!$E$2:$E$3075,"建设用地")=0,0,-(SUMIFS('标准化长表'!$N$2:$N$3075,'标准化长表'!$C$2:$C$3075,$C8,'标准化长表'!$J$2:$J$3075,"交通门户",'标准化长表'!$E$2:$E$3075,"建设用地")/F8)*LN(SUMIFS('标准化长表'!$N$2:$N$3075,'标准化长表'!$C$2:$C$3075,$C8,'标准化长表'!$J$2:$J$3075,"交通门户",'标准化长表'!$E$2:$E$3075,"建设用地")/F8))+IF(SUMIFS('标准化长表'!$N$2:$N$3075,'标准化长表'!$C$2:$C$3075,$C8,'标准化长表'!$J$2:$J$3075,"公共空间",'标准化长表'!$E$2:$E$3075,"建设用地")=0,0,-(SUMIFS('标准化长表'!$N$2:$N$3075,'标准化长表'!$C$2:$C$3075,$C8,'标准化长表'!$J$2:$J$3075,"公共空间",'标准化长表'!$E$2:$E$3075,"建设用地")/F8)*LN(SUMIFS('标准化长表'!$N$2:$N$3075,'标准化长表'!$C$2:$C$3075,$C8,'标准化长表'!$J$2:$J$3075,"公共空间",'标准化长表'!$E$2:$E$3075,"建设用地")/F8))+IF(SUMIFS('标准化长表'!$N$2:$N$3075,'标准化长表'!$C$2:$C$3075,$C8,'标准化长表'!$J$2:$J$3075,"其他建设",'标准化长表'!$E$2:$E$3075,"建设用地")=0,0,-(SUMIFS('标准化长表'!$N$2:$N$3075,'标准化长表'!$C$2:$C$3075,$C8,'标准化长表'!$J$2:$J$3075,"其他建设",'标准化长表'!$E$2:$E$3075,"建设用地")/F8)*LN(SUMIFS('标准化长表'!$N$2:$N$3075,'标准化长表'!$C$2:$C$3075,$C8,'标准化长表'!$J$2:$J$3075,"其他建设",'标准化长表'!$E$2:$E$3075,"建设用地")/F8)))/LN(7),0)</x:f>
        <x:v>0.817986298028416</x:v>
      </x:c>
    </x:row>
    <x:row r="9">
      <x:c r="A9" s="21" t="n">
        <x:v>350500</x:v>
      </x:c>
      <x:c r="B9" s="22" t="str">
        <x:v>泉州市</x:v>
      </x:c>
      <x:c r="C9" s="22" t="n">
        <x:v>350503</x:v>
      </x:c>
      <x:c r="D9" s="22" t="str">
        <x:v>丰泽区</x:v>
      </x:c>
      <x:c r="E9" s="33" t="n">
        <x:f>SUMIFS('标准化长表'!$N$2:$N$3075,'标准化长表'!$C$2:$C$3075,$C9)</x:f>
        <x:v>12924.69042</x:v>
      </x:c>
      <x:c r="F9" s="33" t="n">
        <x:f>SUMIFS('标准化长表'!$N$2:$N$3075,'标准化长表'!$C$2:$C$3075,$C9,'标准化长表'!$E$2:$E$3075,"建设用地")</x:f>
        <x:v>6302.304267000002</x:v>
      </x:c>
      <x:c r="G9" s="40" t="n">
        <x:f>IFERROR(F9/E9,0)</x:f>
        <x:v>0.4876174254237961</x:v>
      </x:c>
      <x:c r="H9" s="40" t="n">
        <x:f>IFERROR(SUMIFS('标准化长表'!$N$2:$N$3075,'标准化长表'!$C$2:$C$3075,$C9,'标准化长表'!$E$2:$E$3075,"农用地")/E9,0)</x:f>
        <x:v>0.34511627049091065</x:v>
      </x:c>
      <x:c r="I9" s="40" t="n">
        <x:f>IFERROR(SUMIFS('标准化长表'!$N$2:$N$3075,'标准化长表'!$C$2:$C$3075,$C9,'标准化长表'!$E$2:$E$3075,"未利用地")/E9,0)</x:f>
        <x:v>0.1672663040852935</x:v>
      </x:c>
      <x:c r="J9" s="33" t="n">
        <x:f>SUMIFS('标准化长表'!$N$2:$N$3075,'标准化长表'!$C$2:$C$3075,$C9,'标准化长表'!$I$2:$I$3075,"城镇住宅用地")</x:f>
        <x:v>2388.1187300000015</x:v>
      </x:c>
      <x:c r="K9" s="33" t="n">
        <x:f>SUMIFS('标准化长表'!$N$2:$N$3075,'标准化长表'!$C$2:$C$3075,$C9,'标准化长表'!$I$2:$I$3075,"农村宅基地")</x:f>
        <x:v>30.090139999999984</x:v>
      </x:c>
      <x:c r="L9" s="40" t="n">
        <x:f>IFERROR(J9/F9,0)</x:f>
        <x:v>0.37892786968484216</x:v>
      </x:c>
      <x:c r="M9" s="40" t="n">
        <x:f>IFERROR(K9/F9,0)</x:f>
        <x:v>0.004774466405495109</x:v>
      </x:c>
      <x:c r="N9" s="46" t="n">
        <x:f>IFERROR(J9/K9,0)</x:f>
        <x:v>79.36549082191053</x:v>
      </x:c>
      <x:c r="O9" s="33" t="n">
        <x:f>SUMIFS('标准化长表'!$N$2:$N$3075,'标准化长表'!$C$2:$C$3075,$C9,'标准化长表'!$I$2:$I$3075,"工业用地")</x:f>
        <x:v>648.4175490000002</x:v>
      </x:c>
      <x:c r="P9" s="33" t="n">
        <x:f>SUMIFS('标准化长表'!$N$2:$N$3075,'标准化长表'!$C$2:$C$3075,$C9,'标准化长表'!$I$2:$I$3075,"物流仓储用地")</x:f>
        <x:v>37.88720000000001</x:v>
      </x:c>
      <x:c r="Q9" s="40" t="n">
        <x:f>IFERROR((O9+P9)/F9,0)</x:f>
        <x:v>0.10889743178437374</x:v>
      </x:c>
      <x:c r="R9" s="40" t="n">
        <x:f>IFERROR((O9+P9)/E9,0)</x:f>
        <x:v>0.05310028532195978</x:v>
      </x:c>
      <x:c r="S9" s="33" t="n">
        <x:f>SUMIFS('标准化长表'!$N$2:$N$3075,'标准化长表'!$C$2:$C$3075,$C9,'标准化长表'!$I$2:$I$3075,"商业服务业设施用地")</x:f>
        <x:v>452.66944700000033</x:v>
      </x:c>
      <x:c r="T9" s="40" t="n">
        <x:f>IFERROR(S9/F9,0)</x:f>
        <x:v>0.07182602232809655</x:v>
      </x:c>
      <x:c r="U9" s="33" t="n">
        <x:f>SUMIFS('标准化长表'!$N$2:$N$3075,'标准化长表'!$C$2:$C$3075,$C9,'标准化长表'!$I$2:$I$3075,"机关团体新闻出版用地")+SUMIFS('标准化长表'!$N$2:$N$3075,'标准化长表'!$C$2:$C$3075,$C9,'标准化长表'!$I$2:$I$3075,"科教文卫用地")+SUMIFS('标准化长表'!$N$2:$N$3075,'标准化长表'!$C$2:$C$3075,$C9,'标准化长表'!$I$2:$I$3075,"高教用地")</x:f>
        <x:v>722.2386859999999</x:v>
      </x:c>
      <x:c r="V9" s="40" t="n">
        <x:f>IFERROR(U9/F9,0)</x:f>
        <x:v>0.1145991458682456</x:v>
      </x:c>
      <x:c r="W9" s="40" t="n">
        <x:f>IFERROR((S9+U9+SUMIFS('标准化长表'!$N$2:$N$3075,'标准化长表'!$C$2:$C$3075,$C9,'标准化长表'!$I$2:$I$3075,"公园与绿地")+SUMIFS('标准化长表'!$N$2:$N$3075,'标准化长表'!$C$2:$C$3075,$C9,'标准化长表'!$I$2:$I$3075,"广场用地"))/F9,0)</x:f>
        <x:v>0.2468325898109165</x:v>
      </x:c>
      <x:c r="X9" s="33" t="n">
        <x:f>SUMIFS('标准化长表'!$N$2:$N$3075,'标准化长表'!$C$2:$C$3075,$C9,'标准化长表'!$I$2:$I$3075,"铁路用地")+SUMIFS('标准化长表'!$N$2:$N$3075,'标准化长表'!$C$2:$C$3075,$C9,'标准化长表'!$I$2:$I$3075,"轨道交通用地")+SUMIFS('标准化长表'!$N$2:$N$3075,'标准化长表'!$C$2:$C$3075,$C9,'标准化长表'!$I$2:$I$3075,"机场用地")+SUMIFS('标准化长表'!$N$2:$N$3075,'标准化长表'!$C$2:$C$3075,$C9,'标准化长表'!$I$2:$I$3075,"港口码头用地")+SUMIFS('标准化长表'!$N$2:$N$3075,'标准化长表'!$C$2:$C$3075,$C9,'标准化长表'!$I$2:$I$3075,"交通服务场站用地")+SUMIFS('标准化长表'!$N$2:$N$3075,'标准化长表'!$C$2:$C$3075,$C9,'标准化长表'!$I$2:$I$3075,"物流仓储用地")</x:f>
        <x:v>243.247519</x:v>
      </x:c>
      <x:c r="Y9" s="40" t="n">
        <x:f>IFERROR(X9/F9,0)</x:f>
        <x:v>0.0385966003377031</x:v>
      </x:c>
      <x:c r="Z9" s="33" t="n">
        <x:f>SUMIFS('标准化长表'!$N$2:$N$3075,'标准化长表'!$C$2:$C$3075,$C9,'标准化长表'!$I$2:$I$3075,"公路用地")</x:f>
        <x:v>531.5983149999997</x:v>
      </x:c>
      <x:c r="AA9" s="40" t="n">
        <x:f>IFERROR(Z9/F9,0)</x:f>
        <x:v>0.08434983340673412</x:v>
      </x:c>
      <x:c r="AB9" s="33" t="n">
        <x:f>SUMIFS('标准化长表'!$N$2:$N$3075,'标准化长表'!$C$2:$C$3075,$C9,'标准化长表'!$I$2:$I$3075,"港口码头用地")</x:f>
        <x:v>38.478525000000005</x:v>
      </x:c>
      <x:c r="AC9" s="40" t="n">
        <x:f>IFERROR(AB9/F9,0)</x:f>
        <x:v>0.0061054692648656265</x:v>
      </x:c>
      <x:c r="AD9" s="33" t="n">
        <x:f>SUMIFS('标准化长表'!$N$2:$N$3075,'标准化长表'!$C$2:$C$3075,$C9,'标准化长表'!$I$2:$I$3075,"采矿用地")</x:f>
        <x:v>33.259821</x:v>
      </x:c>
      <x:c r="AE9" s="40" t="n">
        <x:f>IFERROR(AD9/F9,0)</x:f>
        <x:v>0.005277406420085809</x:v>
      </x:c>
      <x:c r="AF9" s="33" t="n">
        <x:f>SUMIFS('标准化长表'!$N$2:$N$3075,'标准化长表'!$C$2:$C$3075,$C9,'标准化长表'!$I$2:$I$3075,"公园与绿地")+SUMIFS('标准化长表'!$N$2:$N$3075,'标准化长表'!$C$2:$C$3075,$C9,'标准化长表'!$I$2:$I$3075,"广场用地")</x:f>
        <x:v>380.70595099999974</x:v>
      </x:c>
      <x:c r="AG9" s="40" t="n">
        <x:f>IFERROR(AF9/F9,0)</x:f>
        <x:v>0.0604074216145743</x:v>
      </x:c>
      <x:c r="AH9" s="47" t="n">
        <x:f>IFERROR((IF(SUMIFS('标准化长表'!$N$2:$N$3075,'标准化长表'!$C$2:$C$3075,$C9,'标准化长表'!$J$2:$J$3075,"居住功能",'标准化长表'!$E$2:$E$3075,"建设用地")=0,0,-(SUMIFS('标准化长表'!$N$2:$N$3075,'标准化长表'!$C$2:$C$3075,$C9,'标准化长表'!$J$2:$J$3075,"居住功能",'标准化长表'!$E$2:$E$3075,"建设用地")/F9)*LN(SUMIFS('标准化长表'!$N$2:$N$3075,'标准化长表'!$C$2:$C$3075,$C9,'标准化长表'!$J$2:$J$3075,"居住功能",'标准化长表'!$E$2:$E$3075,"建设用地")/F9))+IF(SUMIFS('标准化长表'!$N$2:$N$3075,'标准化长表'!$C$2:$C$3075,$C9,'标准化长表'!$J$2:$J$3075,"产业功能",'标准化长表'!$E$2:$E$3075,"建设用地")=0,0,-(SUMIFS('标准化长表'!$N$2:$N$3075,'标准化长表'!$C$2:$C$3075,$C9,'标准化长表'!$J$2:$J$3075,"产业功能",'标准化长表'!$E$2:$E$3075,"建设用地")/F9)*LN(SUMIFS('标准化长表'!$N$2:$N$3075,'标准化长表'!$C$2:$C$3075,$C9,'标准化长表'!$J$2:$J$3075,"产业功能",'标准化长表'!$E$2:$E$3075,"建设用地")/F9))+IF(SUMIFS('标准化长表'!$N$2:$N$3075,'标准化长表'!$C$2:$C$3075,$C9,'标准化长表'!$J$2:$J$3075,"商业服务",'标准化长表'!$E$2:$E$3075,"建设用地")=0,0,-(SUMIFS('标准化长表'!$N$2:$N$3075,'标准化长表'!$C$2:$C$3075,$C9,'标准化长表'!$J$2:$J$3075,"商业服务",'标准化长表'!$E$2:$E$3075,"建设用地")/F9)*LN(SUMIFS('标准化长表'!$N$2:$N$3075,'标准化长表'!$C$2:$C$3075,$C9,'标准化长表'!$J$2:$J$3075,"商业服务",'标准化长表'!$E$2:$E$3075,"建设用地")/F9))+IF(SUMIFS('标准化长表'!$N$2:$N$3075,'标准化长表'!$C$2:$C$3075,$C9,'标准化长表'!$J$2:$J$3075,"公共服务",'标准化长表'!$E$2:$E$3075,"建设用地")=0,0,-(SUMIFS('标准化长表'!$N$2:$N$3075,'标准化长表'!$C$2:$C$3075,$C9,'标准化长表'!$J$2:$J$3075,"公共服务",'标准化长表'!$E$2:$E$3075,"建设用地")/F9)*LN(SUMIFS('标准化长表'!$N$2:$N$3075,'标准化长表'!$C$2:$C$3075,$C9,'标准化长表'!$J$2:$J$3075,"公共服务",'标准化长表'!$E$2:$E$3075,"建设用地")/F9))+IF(SUMIFS('标准化长表'!$N$2:$N$3075,'标准化长表'!$C$2:$C$3075,$C9,'标准化长表'!$J$2:$J$3075,"交通门户",'标准化长表'!$E$2:$E$3075,"建设用地")=0,0,-(SUMIFS('标准化长表'!$N$2:$N$3075,'标准化长表'!$C$2:$C$3075,$C9,'标准化长表'!$J$2:$J$3075,"交通门户",'标准化长表'!$E$2:$E$3075,"建设用地")/F9)*LN(SUMIFS('标准化长表'!$N$2:$N$3075,'标准化长表'!$C$2:$C$3075,$C9,'标准化长表'!$J$2:$J$3075,"交通门户",'标准化长表'!$E$2:$E$3075,"建设用地")/F9))+IF(SUMIFS('标准化长表'!$N$2:$N$3075,'标准化长表'!$C$2:$C$3075,$C9,'标准化长表'!$J$2:$J$3075,"公共空间",'标准化长表'!$E$2:$E$3075,"建设用地")=0,0,-(SUMIFS('标准化长表'!$N$2:$N$3075,'标准化长表'!$C$2:$C$3075,$C9,'标准化长表'!$J$2:$J$3075,"公共空间",'标准化长表'!$E$2:$E$3075,"建设用地")/F9)*LN(SUMIFS('标准化长表'!$N$2:$N$3075,'标准化长表'!$C$2:$C$3075,$C9,'标准化长表'!$J$2:$J$3075,"公共空间",'标准化长表'!$E$2:$E$3075,"建设用地")/F9))+IF(SUMIFS('标准化长表'!$N$2:$N$3075,'标准化长表'!$C$2:$C$3075,$C9,'标准化长表'!$J$2:$J$3075,"其他建设",'标准化长表'!$E$2:$E$3075,"建设用地")=0,0,-(SUMIFS('标准化长表'!$N$2:$N$3075,'标准化长表'!$C$2:$C$3075,$C9,'标准化长表'!$J$2:$J$3075,"其他建设",'标准化长表'!$E$2:$E$3075,"建设用地")/F9)*LN(SUMIFS('标准化长表'!$N$2:$N$3075,'标准化长表'!$C$2:$C$3075,$C9,'标准化长表'!$J$2:$J$3075,"其他建设",'标准化长表'!$E$2:$E$3075,"建设用地")/F9)))/LN(7),0)</x:f>
        <x:v>0.8690146786962006</x:v>
      </x:c>
    </x:row>
    <x:row r="10">
      <x:c r="A10" s="21" t="n">
        <x:v>350500</x:v>
      </x:c>
      <x:c r="B10" s="22" t="str">
        <x:v>泉州市</x:v>
      </x:c>
      <x:c r="C10" s="22" t="n">
        <x:v>350504</x:v>
      </x:c>
      <x:c r="D10" s="22" t="str">
        <x:v>洛江区</x:v>
      </x:c>
      <x:c r="E10" s="33" t="n">
        <x:f>SUMIFS('标准化长表'!$N$2:$N$3075,'标准化长表'!$C$2:$C$3075,$C10)</x:f>
        <x:v>37481.583429999984</x:v>
      </x:c>
      <x:c r="F10" s="33" t="n">
        <x:f>SUMIFS('标准化长表'!$N$2:$N$3075,'标准化长表'!$C$2:$C$3075,$C10,'标准化长表'!$E$2:$E$3075,"建设用地")</x:f>
        <x:v>5194.436958</x:v>
      </x:c>
      <x:c r="G10" s="40" t="n">
        <x:f>IFERROR(F10/E10,0)</x:f>
        <x:v>0.1385863798337402</x:v>
      </x:c>
      <x:c r="H10" s="40" t="n">
        <x:f>IFERROR(SUMIFS('标准化长表'!$N$2:$N$3075,'标准化长表'!$C$2:$C$3075,$C10,'标准化长表'!$E$2:$E$3075,"农用地")/E10,0)</x:f>
        <x:v>0.8318170012808347</x:v>
      </x:c>
      <x:c r="I10" s="40" t="n">
        <x:f>IFERROR(SUMIFS('标准化长表'!$N$2:$N$3075,'标准化长表'!$C$2:$C$3075,$C10,'标准化长表'!$E$2:$E$3075,"未利用地")/E10,0)</x:f>
        <x:v>0.029596618885425776</x:v>
      </x:c>
      <x:c r="J10" s="33" t="n">
        <x:f>SUMIFS('标准化长表'!$N$2:$N$3075,'标准化长表'!$C$2:$C$3075,$C10,'标准化长表'!$I$2:$I$3075,"城镇住宅用地")</x:f>
        <x:v>691.4817380000001</x:v>
      </x:c>
      <x:c r="K10" s="33" t="n">
        <x:f>SUMIFS('标准化长表'!$N$2:$N$3075,'标准化长表'!$C$2:$C$3075,$C10,'标准化长表'!$I$2:$I$3075,"农村宅基地")</x:f>
        <x:v>1831.6824120000006</x:v>
      </x:c>
      <x:c r="L10" s="40" t="n">
        <x:f>IFERROR(J10/F10,0)</x:f>
        <x:v>0.13311967083074186</x:v>
      </x:c>
      <x:c r="M10" s="40" t="n">
        <x:f>IFERROR(K10/F10,0)</x:f>
        <x:v>0.35262386025861947</x:v>
      </x:c>
      <x:c r="N10" s="46" t="n">
        <x:f>IFERROR(J10/K10,0)</x:f>
        <x:v>0.37751180743444285</x:v>
      </x:c>
      <x:c r="O10" s="33" t="n">
        <x:f>SUMIFS('标准化长表'!$N$2:$N$3075,'标准化长表'!$C$2:$C$3075,$C10,'标准化长表'!$I$2:$I$3075,"工业用地")</x:f>
        <x:v>895.6607620000002</x:v>
      </x:c>
      <x:c r="P10" s="33" t="n">
        <x:f>SUMIFS('标准化长表'!$N$2:$N$3075,'标准化长表'!$C$2:$C$3075,$C10,'标准化长表'!$I$2:$I$3075,"物流仓储用地")</x:f>
        <x:v>60.01269800000001</x:v>
      </x:c>
      <x:c r="Q10" s="40" t="n">
        <x:f>IFERROR((O10+P10)/F10,0)</x:f>
        <x:v>0.18398018259287152</x:v>
      </x:c>
      <x:c r="R10" s="40" t="n">
        <x:f>IFERROR((O10+P10)/E10,0)</x:f>
        <x:v>0.025497147466696568</x:v>
      </x:c>
      <x:c r="S10" s="33" t="n">
        <x:f>SUMIFS('标准化长表'!$N$2:$N$3075,'标准化长表'!$C$2:$C$3075,$C10,'标准化长表'!$I$2:$I$3075,"商业服务业设施用地")</x:f>
        <x:v>110.785191</x:v>
      </x:c>
      <x:c r="T10" s="40" t="n">
        <x:f>IFERROR(S10/F10,0)</x:f>
        <x:v>0.021327661091233133</x:v>
      </x:c>
      <x:c r="U10" s="33" t="n">
        <x:f>SUMIFS('标准化长表'!$N$2:$N$3075,'标准化长表'!$C$2:$C$3075,$C10,'标准化长表'!$I$2:$I$3075,"机关团体新闻出版用地")+SUMIFS('标准化长表'!$N$2:$N$3075,'标准化长表'!$C$2:$C$3075,$C10,'标准化长表'!$I$2:$I$3075,"科教文卫用地")+SUMIFS('标准化长表'!$N$2:$N$3075,'标准化长表'!$C$2:$C$3075,$C10,'标准化长表'!$I$2:$I$3075,"高教用地")</x:f>
        <x:v>363.633936</x:v>
      </x:c>
      <x:c r="V10" s="40" t="n">
        <x:f>IFERROR(U10/F10,0)</x:f>
        <x:v>0.07000449498957996</x:v>
      </x:c>
      <x:c r="W10" s="40" t="n">
        <x:f>IFERROR((S10+U10+SUMIFS('标准化长表'!$N$2:$N$3075,'标准化长表'!$C$2:$C$3075,$C10,'标准化长表'!$I$2:$I$3075,"公园与绿地")+SUMIFS('标准化长表'!$N$2:$N$3075,'标准化长表'!$C$2:$C$3075,$C10,'标准化长表'!$I$2:$I$3075,"广场用地"))/F10,0)</x:f>
        <x:v>0.09599613760487186</x:v>
      </x:c>
      <x:c r="X10" s="33" t="n">
        <x:f>SUMIFS('标准化长表'!$N$2:$N$3075,'标准化长表'!$C$2:$C$3075,$C10,'标准化长表'!$I$2:$I$3075,"铁路用地")+SUMIFS('标准化长表'!$N$2:$N$3075,'标准化长表'!$C$2:$C$3075,$C10,'标准化长表'!$I$2:$I$3075,"轨道交通用地")+SUMIFS('标准化长表'!$N$2:$N$3075,'标准化长表'!$C$2:$C$3075,$C10,'标准化长表'!$I$2:$I$3075,"机场用地")+SUMIFS('标准化长表'!$N$2:$N$3075,'标准化长表'!$C$2:$C$3075,$C10,'标准化长表'!$I$2:$I$3075,"港口码头用地")+SUMIFS('标准化长表'!$N$2:$N$3075,'标准化长表'!$C$2:$C$3075,$C10,'标准化长表'!$I$2:$I$3075,"交通服务场站用地")+SUMIFS('标准化长表'!$N$2:$N$3075,'标准化长表'!$C$2:$C$3075,$C10,'标准化长表'!$I$2:$I$3075,"物流仓储用地")</x:f>
        <x:v>114.145681</x:v>
      </x:c>
      <x:c r="Y10" s="40" t="n">
        <x:f>IFERROR(X10/F10,0)</x:f>
        <x:v>0.021974601274966515</x:v>
      </x:c>
      <x:c r="Z10" s="33" t="n">
        <x:f>SUMIFS('标准化长表'!$N$2:$N$3075,'标准化长表'!$C$2:$C$3075,$C10,'标准化长表'!$I$2:$I$3075,"公路用地")</x:f>
        <x:v>692.7671340000004</x:v>
      </x:c>
      <x:c r="AA10" s="40" t="n">
        <x:f>IFERROR(Z10/F10,0)</x:f>
        <x:v>0.13336712710182444</x:v>
      </x:c>
      <x:c r="AB10" s="33" t="n">
        <x:f>SUMIFS('标准化长表'!$N$2:$N$3075,'标准化长表'!$C$2:$C$3075,$C10,'标准化长表'!$I$2:$I$3075,"港口码头用地")</x:f>
        <x:v>0</x:v>
      </x:c>
      <x:c r="AC10" s="40" t="n">
        <x:f>IFERROR(AB10/F10,0)</x:f>
        <x:v>0</x:v>
      </x:c>
      <x:c r="AD10" s="33" t="n">
        <x:f>SUMIFS('标准化长表'!$N$2:$N$3075,'标准化长表'!$C$2:$C$3075,$C10,'标准化长表'!$I$2:$I$3075,"采矿用地")</x:f>
        <x:v>69.54637200000002</x:v>
      </x:c>
      <x:c r="AE10" s="40" t="n">
        <x:f>IFERROR(AD10/F10,0)</x:f>
        <x:v>0.013388625670563007</x:v>
      </x:c>
      <x:c r="AF10" s="33" t="n">
        <x:f>SUMIFS('标准化长表'!$N$2:$N$3075,'标准化长表'!$C$2:$C$3075,$C10,'标准化长表'!$I$2:$I$3075,"公园与绿地")+SUMIFS('标准化长表'!$N$2:$N$3075,'标准化长表'!$C$2:$C$3075,$C10,'标准化长表'!$I$2:$I$3075,"广场用地")</x:f>
        <x:v>24.226758</x:v>
      </x:c>
      <x:c r="AG10" s="40" t="n">
        <x:f>IFERROR(AF10/F10,0)</x:f>
        <x:v>0.004663981524058762</x:v>
      </x:c>
      <x:c r="AH10" s="47" t="n">
        <x:f>IFERROR((IF(SUMIFS('标准化长表'!$N$2:$N$3075,'标准化长表'!$C$2:$C$3075,$C10,'标准化长表'!$J$2:$J$3075,"居住功能",'标准化长表'!$E$2:$E$3075,"建设用地")=0,0,-(SUMIFS('标准化长表'!$N$2:$N$3075,'标准化长表'!$C$2:$C$3075,$C10,'标准化长表'!$J$2:$J$3075,"居住功能",'标准化长表'!$E$2:$E$3075,"建设用地")/F10)*LN(SUMIFS('标准化长表'!$N$2:$N$3075,'标准化长表'!$C$2:$C$3075,$C10,'标准化长表'!$J$2:$J$3075,"居住功能",'标准化长表'!$E$2:$E$3075,"建设用地")/F10))+IF(SUMIFS('标准化长表'!$N$2:$N$3075,'标准化长表'!$C$2:$C$3075,$C10,'标准化长表'!$J$2:$J$3075,"产业功能",'标准化长表'!$E$2:$E$3075,"建设用地")=0,0,-(SUMIFS('标准化长表'!$N$2:$N$3075,'标准化长表'!$C$2:$C$3075,$C10,'标准化长表'!$J$2:$J$3075,"产业功能",'标准化长表'!$E$2:$E$3075,"建设用地")/F10)*LN(SUMIFS('标准化长表'!$N$2:$N$3075,'标准化长表'!$C$2:$C$3075,$C10,'标准化长表'!$J$2:$J$3075,"产业功能",'标准化长表'!$E$2:$E$3075,"建设用地")/F10))+IF(SUMIFS('标准化长表'!$N$2:$N$3075,'标准化长表'!$C$2:$C$3075,$C10,'标准化长表'!$J$2:$J$3075,"商业服务",'标准化长表'!$E$2:$E$3075,"建设用地")=0,0,-(SUMIFS('标准化长表'!$N$2:$N$3075,'标准化长表'!$C$2:$C$3075,$C10,'标准化长表'!$J$2:$J$3075,"商业服务",'标准化长表'!$E$2:$E$3075,"建设用地")/F10)*LN(SUMIFS('标准化长表'!$N$2:$N$3075,'标准化长表'!$C$2:$C$3075,$C10,'标准化长表'!$J$2:$J$3075,"商业服务",'标准化长表'!$E$2:$E$3075,"建设用地")/F10))+IF(SUMIFS('标准化长表'!$N$2:$N$3075,'标准化长表'!$C$2:$C$3075,$C10,'标准化长表'!$J$2:$J$3075,"公共服务",'标准化长表'!$E$2:$E$3075,"建设用地")=0,0,-(SUMIFS('标准化长表'!$N$2:$N$3075,'标准化长表'!$C$2:$C$3075,$C10,'标准化长表'!$J$2:$J$3075,"公共服务",'标准化长表'!$E$2:$E$3075,"建设用地")/F10)*LN(SUMIFS('标准化长表'!$N$2:$N$3075,'标准化长表'!$C$2:$C$3075,$C10,'标准化长表'!$J$2:$J$3075,"公共服务",'标准化长表'!$E$2:$E$3075,"建设用地")/F10))+IF(SUMIFS('标准化长表'!$N$2:$N$3075,'标准化长表'!$C$2:$C$3075,$C10,'标准化长表'!$J$2:$J$3075,"交通门户",'标准化长表'!$E$2:$E$3075,"建设用地")=0,0,-(SUMIFS('标准化长表'!$N$2:$N$3075,'标准化长表'!$C$2:$C$3075,$C10,'标准化长表'!$J$2:$J$3075,"交通门户",'标准化长表'!$E$2:$E$3075,"建设用地")/F10)*LN(SUMIFS('标准化长表'!$N$2:$N$3075,'标准化长表'!$C$2:$C$3075,$C10,'标准化长表'!$J$2:$J$3075,"交通门户",'标准化长表'!$E$2:$E$3075,"建设用地")/F10))+IF(SUMIFS('标准化长表'!$N$2:$N$3075,'标准化长表'!$C$2:$C$3075,$C10,'标准化长表'!$J$2:$J$3075,"公共空间",'标准化长表'!$E$2:$E$3075,"建设用地")=0,0,-(SUMIFS('标准化长表'!$N$2:$N$3075,'标准化长表'!$C$2:$C$3075,$C10,'标准化长表'!$J$2:$J$3075,"公共空间",'标准化长表'!$E$2:$E$3075,"建设用地")/F10)*LN(SUMIFS('标准化长表'!$N$2:$N$3075,'标准化长表'!$C$2:$C$3075,$C10,'标准化长表'!$J$2:$J$3075,"公共空间",'标准化长表'!$E$2:$E$3075,"建设用地")/F10))+IF(SUMIFS('标准化长表'!$N$2:$N$3075,'标准化长表'!$C$2:$C$3075,$C10,'标准化长表'!$J$2:$J$3075,"其他建设",'标准化长表'!$E$2:$E$3075,"建设用地")=0,0,-(SUMIFS('标准化长表'!$N$2:$N$3075,'标准化长表'!$C$2:$C$3075,$C10,'标准化长表'!$J$2:$J$3075,"其他建设",'标准化长表'!$E$2:$E$3075,"建设用地")/F10)*LN(SUMIFS('标准化长表'!$N$2:$N$3075,'标准化长表'!$C$2:$C$3075,$C10,'标准化长表'!$J$2:$J$3075,"其他建设",'标准化长表'!$E$2:$E$3075,"建设用地")/F10)))/LN(7),0)</x:f>
        <x:v>0.7252241008885936</x:v>
      </x:c>
    </x:row>
    <x:row r="11">
      <x:c r="A11" s="21" t="n">
        <x:v>350500</x:v>
      </x:c>
      <x:c r="B11" s="22" t="str">
        <x:v>泉州市</x:v>
      </x:c>
      <x:c r="C11" s="22" t="n">
        <x:v>350505</x:v>
      </x:c>
      <x:c r="D11" s="22" t="str">
        <x:v>泉港区</x:v>
      </x:c>
      <x:c r="E11" s="33" t="n">
        <x:f>SUMIFS('标准化长表'!$N$2:$N$3075,'标准化长表'!$C$2:$C$3075,$C11)</x:f>
        <x:v>34052.32772999998</x:v>
      </x:c>
      <x:c r="F11" s="33" t="n">
        <x:f>SUMIFS('标准化长表'!$N$2:$N$3075,'标准化长表'!$C$2:$C$3075,$C11,'标准化长表'!$E$2:$E$3075,"建设用地")</x:f>
        <x:v>9513.566599999995</x:v>
      </x:c>
      <x:c r="G11" s="40" t="n">
        <x:f>IFERROR(F11/E11,0)</x:f>
        <x:v>0.27938080108451957</x:v>
      </x:c>
      <x:c r="H11" s="40" t="n">
        <x:f>IFERROR(SUMIFS('标准化长表'!$N$2:$N$3075,'标准化长表'!$C$2:$C$3075,$C11,'标准化长表'!$E$2:$E$3075,"农用地")/E11,0)</x:f>
        <x:v>0.5680609116468175</x:v>
      </x:c>
      <x:c r="I11" s="40" t="n">
        <x:f>IFERROR(SUMIFS('标准化长表'!$N$2:$N$3075,'标准化长表'!$C$2:$C$3075,$C11,'标准化长表'!$E$2:$E$3075,"未利用地")/E11,0)</x:f>
        <x:v>0.15255828726866308</x:v>
      </x:c>
      <x:c r="J11" s="33" t="n">
        <x:f>SUMIFS('标准化长表'!$N$2:$N$3075,'标准化长表'!$C$2:$C$3075,$C11,'标准化长表'!$I$2:$I$3075,"城镇住宅用地")</x:f>
        <x:v>1104.2120240000002</x:v>
      </x:c>
      <x:c r="K11" s="33" t="n">
        <x:f>SUMIFS('标准化长表'!$N$2:$N$3075,'标准化长表'!$C$2:$C$3075,$C11,'标准化长表'!$I$2:$I$3075,"农村宅基地")</x:f>
        <x:v>3431.7115199999944</x:v>
      </x:c>
      <x:c r="L11" s="40" t="n">
        <x:f>IFERROR(J11/F11,0)</x:f>
        <x:v>0.11606709349151986</x:v>
      </x:c>
      <x:c r="M11" s="40" t="n">
        <x:f>IFERROR(K11/F11,0)</x:f>
        <x:v>0.36071766397262583</x:v>
      </x:c>
      <x:c r="N11" s="46" t="n">
        <x:f>IFERROR(J11/K11,0)</x:f>
        <x:v>0.3217671466743807</x:v>
      </x:c>
      <x:c r="O11" s="33" t="n">
        <x:f>SUMIFS('标准化长表'!$N$2:$N$3075,'标准化长表'!$C$2:$C$3075,$C11,'标准化长表'!$I$2:$I$3075,"工业用地")</x:f>
        <x:v>1601.0526099999997</x:v>
      </x:c>
      <x:c r="P11" s="33" t="n">
        <x:f>SUMIFS('标准化长表'!$N$2:$N$3075,'标准化长表'!$C$2:$C$3075,$C11,'标准化长表'!$I$2:$I$3075,"物流仓储用地")</x:f>
        <x:v>69.244783</x:v>
      </x:c>
      <x:c r="Q11" s="40" t="n">
        <x:f>IFERROR((O11+P11)/F11,0)</x:f>
        <x:v>0.17557005308608453</x:v>
      </x:c>
      <x:c r="R11" s="40" t="n">
        <x:f>IFERROR((O11+P11)/E11,0)</x:f>
        <x:v>0.04905090207764192</x:v>
      </x:c>
      <x:c r="S11" s="33" t="n">
        <x:f>SUMIFS('标准化长表'!$N$2:$N$3075,'标准化长表'!$C$2:$C$3075,$C11,'标准化长表'!$I$2:$I$3075,"商业服务业设施用地")</x:f>
        <x:v>142.766788</x:v>
      </x:c>
      <x:c r="T11" s="40" t="n">
        <x:f>IFERROR(S11/F11,0)</x:f>
        <x:v>0.015006652499810121</x:v>
      </x:c>
      <x:c r="U11" s="33" t="n">
        <x:f>SUMIFS('标准化长表'!$N$2:$N$3075,'标准化长表'!$C$2:$C$3075,$C11,'标准化长表'!$I$2:$I$3075,"机关团体新闻出版用地")+SUMIFS('标准化长表'!$N$2:$N$3075,'标准化长表'!$C$2:$C$3075,$C11,'标准化长表'!$I$2:$I$3075,"科教文卫用地")+SUMIFS('标准化长表'!$N$2:$N$3075,'标准化长表'!$C$2:$C$3075,$C11,'标准化长表'!$I$2:$I$3075,"高教用地")</x:f>
        <x:v>320.39997600000004</x:v>
      </x:c>
      <x:c r="V11" s="40" t="n">
        <x:f>IFERROR(U11/F11,0)</x:f>
        <x:v>0.03367821863989476</x:v>
      </x:c>
      <x:c r="W11" s="40" t="n">
        <x:f>IFERROR((S11+U11+SUMIFS('标准化长表'!$N$2:$N$3075,'标准化长表'!$C$2:$C$3075,$C11,'标准化长表'!$I$2:$I$3075,"公园与绿地")+SUMIFS('标准化长表'!$N$2:$N$3075,'标准化长表'!$C$2:$C$3075,$C11,'标准化长表'!$I$2:$I$3075,"广场用地"))/F11,0)</x:f>
        <x:v>0.0563140315851681</x:v>
      </x:c>
      <x:c r="X11" s="33" t="n">
        <x:f>SUMIFS('标准化长表'!$N$2:$N$3075,'标准化长表'!$C$2:$C$3075,$C11,'标准化长表'!$I$2:$I$3075,"铁路用地")+SUMIFS('标准化长表'!$N$2:$N$3075,'标准化长表'!$C$2:$C$3075,$C11,'标准化长表'!$I$2:$I$3075,"轨道交通用地")+SUMIFS('标准化长表'!$N$2:$N$3075,'标准化长表'!$C$2:$C$3075,$C11,'标准化长表'!$I$2:$I$3075,"机场用地")+SUMIFS('标准化长表'!$N$2:$N$3075,'标准化长表'!$C$2:$C$3075,$C11,'标准化长表'!$I$2:$I$3075,"港口码头用地")+SUMIFS('标准化长表'!$N$2:$N$3075,'标准化长表'!$C$2:$C$3075,$C11,'标准化长表'!$I$2:$I$3075,"交通服务场站用地")+SUMIFS('标准化长表'!$N$2:$N$3075,'标准化长表'!$C$2:$C$3075,$C11,'标准化长表'!$I$2:$I$3075,"物流仓储用地")</x:f>
        <x:v>272.146947</x:v>
      </x:c>
      <x:c r="Y11" s="40" t="n">
        <x:f>IFERROR(X11/F11,0)</x:f>
        <x:v>0.02860619559860969</x:v>
      </x:c>
      <x:c r="Z11" s="33" t="n">
        <x:f>SUMIFS('标准化长表'!$N$2:$N$3075,'标准化长表'!$C$2:$C$3075,$C11,'标准化长表'!$I$2:$I$3075,"公路用地")</x:f>
        <x:v>551.7960399999997</x:v>
      </x:c>
      <x:c r="AA11" s="40" t="n">
        <x:f>IFERROR(Z11/F11,0)</x:f>
        <x:v>0.05800096464348082</x:v>
      </x:c>
      <x:c r="AB11" s="33" t="n">
        <x:f>SUMIFS('标准化长表'!$N$2:$N$3075,'标准化长表'!$C$2:$C$3075,$C11,'标准化长表'!$I$2:$I$3075,"港口码头用地")</x:f>
        <x:v>31.053213</x:v>
      </x:c>
      <x:c r="AC11" s="40" t="n">
        <x:f>IFERROR(AB11/F11,0)</x:f>
        <x:v>0.0032640979251672047</x:v>
      </x:c>
      <x:c r="AD11" s="33" t="n">
        <x:f>SUMIFS('标准化长表'!$N$2:$N$3075,'标准化长表'!$C$2:$C$3075,$C11,'标准化长表'!$I$2:$I$3075,"采矿用地")</x:f>
        <x:v>285.357258</x:v>
      </x:c>
      <x:c r="AE11" s="40" t="n">
        <x:f>IFERROR(AD11/F11,0)</x:f>
        <x:v>0.029994771676901927</x:v>
      </x:c>
      <x:c r="AF11" s="33" t="n">
        <x:f>SUMIFS('标准化长表'!$N$2:$N$3075,'标准化长表'!$C$2:$C$3075,$C11,'标准化长表'!$I$2:$I$3075,"公园与绿地")+SUMIFS('标准化长表'!$N$2:$N$3075,'标准化长表'!$C$2:$C$3075,$C11,'标准化长表'!$I$2:$I$3075,"广场用地")</x:f>
        <x:v>72.580526</x:v>
      </x:c>
      <x:c r="AG11" s="40" t="n">
        <x:f>IFERROR(AF11/F11,0)</x:f>
        <x:v>0.007629160445463224</x:v>
      </x:c>
      <x:c r="AH11" s="47" t="n">
        <x:f>IFERROR((IF(SUMIFS('标准化长表'!$N$2:$N$3075,'标准化长表'!$C$2:$C$3075,$C11,'标准化长表'!$J$2:$J$3075,"居住功能",'标准化长表'!$E$2:$E$3075,"建设用地")=0,0,-(SUMIFS('标准化长表'!$N$2:$N$3075,'标准化长表'!$C$2:$C$3075,$C11,'标准化长表'!$J$2:$J$3075,"居住功能",'标准化长表'!$E$2:$E$3075,"建设用地")/F11)*LN(SUMIFS('标准化长表'!$N$2:$N$3075,'标准化长表'!$C$2:$C$3075,$C11,'标准化长表'!$J$2:$J$3075,"居住功能",'标准化长表'!$E$2:$E$3075,"建设用地")/F11))+IF(SUMIFS('标准化长表'!$N$2:$N$3075,'标准化长表'!$C$2:$C$3075,$C11,'标准化长表'!$J$2:$J$3075,"产业功能",'标准化长表'!$E$2:$E$3075,"建设用地")=0,0,-(SUMIFS('标准化长表'!$N$2:$N$3075,'标准化长表'!$C$2:$C$3075,$C11,'标准化长表'!$J$2:$J$3075,"产业功能",'标准化长表'!$E$2:$E$3075,"建设用地")/F11)*LN(SUMIFS('标准化长表'!$N$2:$N$3075,'标准化长表'!$C$2:$C$3075,$C11,'标准化长表'!$J$2:$J$3075,"产业功能",'标准化长表'!$E$2:$E$3075,"建设用地")/F11))+IF(SUMIFS('标准化长表'!$N$2:$N$3075,'标准化长表'!$C$2:$C$3075,$C11,'标准化长表'!$J$2:$J$3075,"商业服务",'标准化长表'!$E$2:$E$3075,"建设用地")=0,0,-(SUMIFS('标准化长表'!$N$2:$N$3075,'标准化长表'!$C$2:$C$3075,$C11,'标准化长表'!$J$2:$J$3075,"商业服务",'标准化长表'!$E$2:$E$3075,"建设用地")/F11)*LN(SUMIFS('标准化长表'!$N$2:$N$3075,'标准化长表'!$C$2:$C$3075,$C11,'标准化长表'!$J$2:$J$3075,"商业服务",'标准化长表'!$E$2:$E$3075,"建设用地")/F11))+IF(SUMIFS('标准化长表'!$N$2:$N$3075,'标准化长表'!$C$2:$C$3075,$C11,'标准化长表'!$J$2:$J$3075,"公共服务",'标准化长表'!$E$2:$E$3075,"建设用地")=0,0,-(SUMIFS('标准化长表'!$N$2:$N$3075,'标准化长表'!$C$2:$C$3075,$C11,'标准化长表'!$J$2:$J$3075,"公共服务",'标准化长表'!$E$2:$E$3075,"建设用地")/F11)*LN(SUMIFS('标准化长表'!$N$2:$N$3075,'标准化长表'!$C$2:$C$3075,$C11,'标准化长表'!$J$2:$J$3075,"公共服务",'标准化长表'!$E$2:$E$3075,"建设用地")/F11))+IF(SUMIFS('标准化长表'!$N$2:$N$3075,'标准化长表'!$C$2:$C$3075,$C11,'标准化长表'!$J$2:$J$3075,"交通门户",'标准化长表'!$E$2:$E$3075,"建设用地")=0,0,-(SUMIFS('标准化长表'!$N$2:$N$3075,'标准化长表'!$C$2:$C$3075,$C11,'标准化长表'!$J$2:$J$3075,"交通门户",'标准化长表'!$E$2:$E$3075,"建设用地")/F11)*LN(SUMIFS('标准化长表'!$N$2:$N$3075,'标准化长表'!$C$2:$C$3075,$C11,'标准化长表'!$J$2:$J$3075,"交通门户",'标准化长表'!$E$2:$E$3075,"建设用地")/F11))+IF(SUMIFS('标准化长表'!$N$2:$N$3075,'标准化长表'!$C$2:$C$3075,$C11,'标准化长表'!$J$2:$J$3075,"公共空间",'标准化长表'!$E$2:$E$3075,"建设用地")=0,0,-(SUMIFS('标准化长表'!$N$2:$N$3075,'标准化长表'!$C$2:$C$3075,$C11,'标准化长表'!$J$2:$J$3075,"公共空间",'标准化长表'!$E$2:$E$3075,"建设用地")/F11)*LN(SUMIFS('标准化长表'!$N$2:$N$3075,'标准化长表'!$C$2:$C$3075,$C11,'标准化长表'!$J$2:$J$3075,"公共空间",'标准化长表'!$E$2:$E$3075,"建设用地")/F11))+IF(SUMIFS('标准化长表'!$N$2:$N$3075,'标准化长表'!$C$2:$C$3075,$C11,'标准化长表'!$J$2:$J$3075,"其他建设",'标准化长表'!$E$2:$E$3075,"建设用地")=0,0,-(SUMIFS('标准化长表'!$N$2:$N$3075,'标准化长表'!$C$2:$C$3075,$C11,'标准化长表'!$J$2:$J$3075,"其他建设",'标准化长表'!$E$2:$E$3075,"建设用地")/F11)*LN(SUMIFS('标准化长表'!$N$2:$N$3075,'标准化长表'!$C$2:$C$3075,$C11,'标准化长表'!$J$2:$J$3075,"其他建设",'标准化长表'!$E$2:$E$3075,"建设用地")/F11)))/LN(7),0)</x:f>
        <x:v>0.7010547002257195</x:v>
      </x:c>
    </x:row>
    <x:row r="12">
      <x:c r="A12" s="21" t="n">
        <x:v>350500</x:v>
      </x:c>
      <x:c r="B12" s="22" t="str">
        <x:v>泉州市</x:v>
      </x:c>
      <x:c r="C12" s="22" t="n">
        <x:v>350521</x:v>
      </x:c>
      <x:c r="D12" s="22" t="str">
        <x:v>惠安县</x:v>
      </x:c>
      <x:c r="E12" s="33" t="n">
        <x:f>SUMIFS('标准化长表'!$N$2:$N$3075,'标准化长表'!$C$2:$C$3075,$C12)</x:f>
        <x:v>79275.52391000006</x:v>
      </x:c>
      <x:c r="F12" s="33" t="n">
        <x:f>SUMIFS('标准化长表'!$N$2:$N$3075,'标准化长表'!$C$2:$C$3075,$C12,'标准化长表'!$E$2:$E$3075,"建设用地")</x:f>
        <x:v>23691.851318000015</x:v>
      </x:c>
      <x:c r="G12" s="40" t="n">
        <x:f>IFERROR(F12/E12,0)</x:f>
        <x:v>0.29885455370685293</x:v>
      </x:c>
      <x:c r="H12" s="40" t="n">
        <x:f>IFERROR(SUMIFS('标准化长表'!$N$2:$N$3075,'标准化长表'!$C$2:$C$3075,$C12,'标准化长表'!$E$2:$E$3075,"农用地")/E12,0)</x:f>
        <x:v>0.5782000912165269</x:v>
      </x:c>
      <x:c r="I12" s="40" t="n">
        <x:f>IFERROR(SUMIFS('标准化长表'!$N$2:$N$3075,'标准化长表'!$C$2:$C$3075,$C12,'标准化长表'!$E$2:$E$3075,"未利用地")/E12,0)</x:f>
        <x:v>0.12294535507661958</x:v>
      </x:c>
      <x:c r="J12" s="33" t="n">
        <x:f>SUMIFS('标准化长表'!$N$2:$N$3075,'标准化长表'!$C$2:$C$3075,$C12,'标准化长表'!$I$2:$I$3075,"城镇住宅用地")</x:f>
        <x:v>2358.0160659999974</x:v>
      </x:c>
      <x:c r="K12" s="33" t="n">
        <x:f>SUMIFS('标准化长表'!$N$2:$N$3075,'标准化长表'!$C$2:$C$3075,$C12,'标准化长表'!$I$2:$I$3075,"农村宅基地")</x:f>
        <x:v>9846.642434000021</x:v>
      </x:c>
      <x:c r="L12" s="40" t="n">
        <x:f>IFERROR(J12/F12,0)</x:f>
        <x:v>0.09952856931060013</x:v>
      </x:c>
      <x:c r="M12" s="40" t="n">
        <x:f>IFERROR(K12/F12,0)</x:f>
        <x:v>0.41561304356654394</x:v>
      </x:c>
      <x:c r="N12" s="46" t="n">
        <x:f>IFERROR(J12/K12,0)</x:f>
        <x:v>0.23947412346952623</x:v>
      </x:c>
      <x:c r="O12" s="33" t="n">
        <x:f>SUMIFS('标准化长表'!$N$2:$N$3075,'标准化长表'!$C$2:$C$3075,$C12,'标准化长表'!$I$2:$I$3075,"工业用地")</x:f>
        <x:v>4348.231311</x:v>
      </x:c>
      <x:c r="P12" s="33" t="n">
        <x:f>SUMIFS('标准化长表'!$N$2:$N$3075,'标准化长表'!$C$2:$C$3075,$C12,'标准化长表'!$I$2:$I$3075,"物流仓储用地")</x:f>
        <x:v>54.927335000000014</x:v>
      </x:c>
      <x:c r="Q12" s="40" t="n">
        <x:f>IFERROR((O12+P12)/F12,0)</x:f>
        <x:v>0.18585118515642024</x:v>
      </x:c>
      <x:c r="R12" s="40" t="n">
        <x:f>IFERROR((O12+P12)/E12,0)</x:f>
        <x:v>0.05554247299581166</x:v>
      </x:c>
      <x:c r="S12" s="33" t="n">
        <x:f>SUMIFS('标准化长表'!$N$2:$N$3075,'标准化长表'!$C$2:$C$3075,$C12,'标准化长表'!$I$2:$I$3075,"商业服务业设施用地")</x:f>
        <x:v>360.64683000000014</x:v>
      </x:c>
      <x:c r="T12" s="40" t="n">
        <x:f>IFERROR(S12/F12,0)</x:f>
        <x:v>0.01522239968330363</x:v>
      </x:c>
      <x:c r="U12" s="33" t="n">
        <x:f>SUMIFS('标准化长表'!$N$2:$N$3075,'标准化长表'!$C$2:$C$3075,$C12,'标准化长表'!$I$2:$I$3075,"机关团体新闻出版用地")+SUMIFS('标准化长表'!$N$2:$N$3075,'标准化长表'!$C$2:$C$3075,$C12,'标准化长表'!$I$2:$I$3075,"科教文卫用地")+SUMIFS('标准化长表'!$N$2:$N$3075,'标准化长表'!$C$2:$C$3075,$C12,'标准化长表'!$I$2:$I$3075,"高教用地")</x:f>
        <x:v>833.9741879999998</x:v>
      </x:c>
      <x:c r="V12" s="40" t="n">
        <x:f>IFERROR(U12/F12,0)</x:f>
        <x:v>0.03520088729268629</x:v>
      </x:c>
      <x:c r="W12" s="40" t="n">
        <x:f>IFERROR((S12+U12+SUMIFS('标准化长表'!$N$2:$N$3075,'标准化长表'!$C$2:$C$3075,$C12,'标准化长表'!$I$2:$I$3075,"公园与绿地")+SUMIFS('标准化长表'!$N$2:$N$3075,'标准化长表'!$C$2:$C$3075,$C12,'标准化长表'!$I$2:$I$3075,"广场用地"))/F12,0)</x:f>
        <x:v>0.06228959895079141</x:v>
      </x:c>
      <x:c r="X12" s="33" t="n">
        <x:f>SUMIFS('标准化长表'!$N$2:$N$3075,'标准化长表'!$C$2:$C$3075,$C12,'标准化长表'!$I$2:$I$3075,"铁路用地")+SUMIFS('标准化长表'!$N$2:$N$3075,'标准化长表'!$C$2:$C$3075,$C12,'标准化长表'!$I$2:$I$3075,"轨道交通用地")+SUMIFS('标准化长表'!$N$2:$N$3075,'标准化长表'!$C$2:$C$3075,$C12,'标准化长表'!$I$2:$I$3075,"机场用地")+SUMIFS('标准化长表'!$N$2:$N$3075,'标准化长表'!$C$2:$C$3075,$C12,'标准化长表'!$I$2:$I$3075,"港口码头用地")+SUMIFS('标准化长表'!$N$2:$N$3075,'标准化长表'!$C$2:$C$3075,$C12,'标准化长表'!$I$2:$I$3075,"交通服务场站用地")+SUMIFS('标准化长表'!$N$2:$N$3075,'标准化长表'!$C$2:$C$3075,$C12,'标准化长表'!$I$2:$I$3075,"物流仓储用地")</x:f>
        <x:v>542.558138</x:v>
      </x:c>
      <x:c r="Y12" s="40" t="n">
        <x:f>IFERROR(X12/F12,0)</x:f>
        <x:v>0.022900622273776827</x:v>
      </x:c>
      <x:c r="Z12" s="33" t="n">
        <x:f>SUMIFS('标准化长表'!$N$2:$N$3075,'标准化长表'!$C$2:$C$3075,$C12,'标准化长表'!$I$2:$I$3075,"公路用地")</x:f>
        <x:v>2569.3118870000008</x:v>
      </x:c>
      <x:c r="AA12" s="40" t="n">
        <x:f>IFERROR(Z12/F12,0)</x:f>
        <x:v>0.10844707121084926</x:v>
      </x:c>
      <x:c r="AB12" s="33" t="n">
        <x:f>SUMIFS('标准化长表'!$N$2:$N$3075,'标准化长表'!$C$2:$C$3075,$C12,'标准化长表'!$I$2:$I$3075,"港口码头用地")</x:f>
        <x:v>141.773111</x:v>
      </x:c>
      <x:c r="AC12" s="40" t="n">
        <x:f>IFERROR(AB12/F12,0)</x:f>
        <x:v>0.005984045277723278</x:v>
      </x:c>
      <x:c r="AD12" s="33" t="n">
        <x:f>SUMIFS('标准化长表'!$N$2:$N$3075,'标准化长表'!$C$2:$C$3075,$C12,'标准化长表'!$I$2:$I$3075,"采矿用地")</x:f>
        <x:v>588.9072079999995</x:v>
      </x:c>
      <x:c r="AE12" s="40" t="n">
        <x:f>IFERROR(AD12/F12,0)</x:f>
        <x:v>0.024856951873261757</x:v>
      </x:c>
      <x:c r="AF12" s="33" t="n">
        <x:f>SUMIFS('标准化长表'!$N$2:$N$3075,'标准化长表'!$C$2:$C$3075,$C12,'标准化长表'!$I$2:$I$3075,"公园与绿地")+SUMIFS('标准化长表'!$N$2:$N$3075,'标准化长表'!$C$2:$C$3075,$C12,'标准化长表'!$I$2:$I$3075,"广场用地")</x:f>
        <x:v>281.134899</x:v>
      </x:c>
      <x:c r="AG12" s="40" t="n">
        <x:f>IFERROR(AF12/F12,0)</x:f>
        <x:v>0.011866311974801489</x:v>
      </x:c>
      <x:c r="AH12" s="47" t="n">
        <x:f>IFERROR((IF(SUMIFS('标准化长表'!$N$2:$N$3075,'标准化长表'!$C$2:$C$3075,$C12,'标准化长表'!$J$2:$J$3075,"居住功能",'标准化长表'!$E$2:$E$3075,"建设用地")=0,0,-(SUMIFS('标准化长表'!$N$2:$N$3075,'标准化长表'!$C$2:$C$3075,$C12,'标准化长表'!$J$2:$J$3075,"居住功能",'标准化长表'!$E$2:$E$3075,"建设用地")/F12)*LN(SUMIFS('标准化长表'!$N$2:$N$3075,'标准化长表'!$C$2:$C$3075,$C12,'标准化长表'!$J$2:$J$3075,"居住功能",'标准化长表'!$E$2:$E$3075,"建设用地")/F12))+IF(SUMIFS('标准化长表'!$N$2:$N$3075,'标准化长表'!$C$2:$C$3075,$C12,'标准化长表'!$J$2:$J$3075,"产业功能",'标准化长表'!$E$2:$E$3075,"建设用地")=0,0,-(SUMIFS('标准化长表'!$N$2:$N$3075,'标准化长表'!$C$2:$C$3075,$C12,'标准化长表'!$J$2:$J$3075,"产业功能",'标准化长表'!$E$2:$E$3075,"建设用地")/F12)*LN(SUMIFS('标准化长表'!$N$2:$N$3075,'标准化长表'!$C$2:$C$3075,$C12,'标准化长表'!$J$2:$J$3075,"产业功能",'标准化长表'!$E$2:$E$3075,"建设用地")/F12))+IF(SUMIFS('标准化长表'!$N$2:$N$3075,'标准化长表'!$C$2:$C$3075,$C12,'标准化长表'!$J$2:$J$3075,"商业服务",'标准化长表'!$E$2:$E$3075,"建设用地")=0,0,-(SUMIFS('标准化长表'!$N$2:$N$3075,'标准化长表'!$C$2:$C$3075,$C12,'标准化长表'!$J$2:$J$3075,"商业服务",'标准化长表'!$E$2:$E$3075,"建设用地")/F12)*LN(SUMIFS('标准化长表'!$N$2:$N$3075,'标准化长表'!$C$2:$C$3075,$C12,'标准化长表'!$J$2:$J$3075,"商业服务",'标准化长表'!$E$2:$E$3075,"建设用地")/F12))+IF(SUMIFS('标准化长表'!$N$2:$N$3075,'标准化长表'!$C$2:$C$3075,$C12,'标准化长表'!$J$2:$J$3075,"公共服务",'标准化长表'!$E$2:$E$3075,"建设用地")=0,0,-(SUMIFS('标准化长表'!$N$2:$N$3075,'标准化长表'!$C$2:$C$3075,$C12,'标准化长表'!$J$2:$J$3075,"公共服务",'标准化长表'!$E$2:$E$3075,"建设用地")/F12)*LN(SUMIFS('标准化长表'!$N$2:$N$3075,'标准化长表'!$C$2:$C$3075,$C12,'标准化长表'!$J$2:$J$3075,"公共服务",'标准化长表'!$E$2:$E$3075,"建设用地")/F12))+IF(SUMIFS('标准化长表'!$N$2:$N$3075,'标准化长表'!$C$2:$C$3075,$C12,'标准化长表'!$J$2:$J$3075,"交通门户",'标准化长表'!$E$2:$E$3075,"建设用地")=0,0,-(SUMIFS('标准化长表'!$N$2:$N$3075,'标准化长表'!$C$2:$C$3075,$C12,'标准化长表'!$J$2:$J$3075,"交通门户",'标准化长表'!$E$2:$E$3075,"建设用地")/F12)*LN(SUMIFS('标准化长表'!$N$2:$N$3075,'标准化长表'!$C$2:$C$3075,$C12,'标准化长表'!$J$2:$J$3075,"交通门户",'标准化长表'!$E$2:$E$3075,"建设用地")/F12))+IF(SUMIFS('标准化长表'!$N$2:$N$3075,'标准化长表'!$C$2:$C$3075,$C12,'标准化长表'!$J$2:$J$3075,"公共空间",'标准化长表'!$E$2:$E$3075,"建设用地")=0,0,-(SUMIFS('标准化长表'!$N$2:$N$3075,'标准化长表'!$C$2:$C$3075,$C12,'标准化长表'!$J$2:$J$3075,"公共空间",'标准化长表'!$E$2:$E$3075,"建设用地")/F12)*LN(SUMIFS('标准化长表'!$N$2:$N$3075,'标准化长表'!$C$2:$C$3075,$C12,'标准化长表'!$J$2:$J$3075,"公共空间",'标准化长表'!$E$2:$E$3075,"建设用地")/F12))+IF(SUMIFS('标准化长表'!$N$2:$N$3075,'标准化长表'!$C$2:$C$3075,$C12,'标准化长表'!$J$2:$J$3075,"其他建设",'标准化长表'!$E$2:$E$3075,"建设用地")=0,0,-(SUMIFS('标准化长表'!$N$2:$N$3075,'标准化长表'!$C$2:$C$3075,$C12,'标准化长表'!$J$2:$J$3075,"其他建设",'标准化长表'!$E$2:$E$3075,"建设用地")/F12)*LN(SUMIFS('标准化长表'!$N$2:$N$3075,'标准化长表'!$C$2:$C$3075,$C12,'标准化长表'!$J$2:$J$3075,"其他建设",'标准化长表'!$E$2:$E$3075,"建设用地")/F12)))/LN(7),0)</x:f>
        <x:v>0.6932752037554221</x:v>
      </x:c>
    </x:row>
    <x:row r="13">
      <x:c r="A13" s="21" t="n">
        <x:v>350500</x:v>
      </x:c>
      <x:c r="B13" s="22" t="str">
        <x:v>泉州市</x:v>
      </x:c>
      <x:c r="C13" s="22" t="n">
        <x:v>350524</x:v>
      </x:c>
      <x:c r="D13" s="22" t="str">
        <x:v>安溪县</x:v>
      </x:c>
      <x:c r="E13" s="33" t="n">
        <x:f>SUMIFS('标准化长表'!$N$2:$N$3075,'标准化长表'!$C$2:$C$3075,$C13)</x:f>
        <x:v>299379.4583799993</x:v>
      </x:c>
      <x:c r="F13" s="33" t="n">
        <x:f>SUMIFS('标准化长表'!$N$2:$N$3075,'标准化长表'!$C$2:$C$3075,$C13,'标准化长表'!$E$2:$E$3075,"建设用地")</x:f>
        <x:v>19498.94109000007</x:v>
      </x:c>
      <x:c r="G13" s="40" t="n">
        <x:f>IFERROR(F13/E13,0)</x:f>
        <x:v>0.06513119235204928</x:v>
      </x:c>
      <x:c r="H13" s="40" t="n">
        <x:f>IFERROR(SUMIFS('标准化长表'!$N$2:$N$3075,'标准化长表'!$C$2:$C$3075,$C13,'标准化长表'!$E$2:$E$3075,"农用地")/E13,0)</x:f>
        <x:v>0.9185732789019283</x:v>
      </x:c>
      <x:c r="I13" s="40" t="n">
        <x:f>IFERROR(SUMIFS('标准化长表'!$N$2:$N$3075,'标准化长表'!$C$2:$C$3075,$C13,'标准化长表'!$E$2:$E$3075,"未利用地")/E13,0)</x:f>
        <x:v>0.016295528746022754</x:v>
      </x:c>
      <x:c r="J13" s="33" t="n">
        <x:f>SUMIFS('标准化长表'!$N$2:$N$3075,'标准化长表'!$C$2:$C$3075,$C13,'标准化长表'!$I$2:$I$3075,"城镇住宅用地")</x:f>
        <x:v>1656.638197000001</x:v>
      </x:c>
      <x:c r="K13" s="33" t="n">
        <x:f>SUMIFS('标准化长表'!$N$2:$N$3075,'标准化长表'!$C$2:$C$3075,$C13,'标准化长表'!$I$2:$I$3075,"农村宅基地")</x:f>
        <x:v>10846.325983000053</x:v>
      </x:c>
      <x:c r="L13" s="40" t="n">
        <x:f>IFERROR(J13/F13,0)</x:f>
        <x:v>0.08496041858650463</x:v>
      </x:c>
      <x:c r="M13" s="40" t="n">
        <x:f>IFERROR(K13/F13,0)</x:f>
        <x:v>0.5562520514799921</x:v>
      </x:c>
      <x:c r="N13" s="46" t="n">
        <x:f>IFERROR(J13/K13,0)</x:f>
        <x:v>0.15273726786347067</x:v>
      </x:c>
      <x:c r="O13" s="33" t="n">
        <x:f>SUMIFS('标准化长表'!$N$2:$N$3075,'标准化长表'!$C$2:$C$3075,$C13,'标准化长表'!$I$2:$I$3075,"工业用地")</x:f>
        <x:v>1144.9088789999994</x:v>
      </x:c>
      <x:c r="P13" s="33" t="n">
        <x:f>SUMIFS('标准化长表'!$N$2:$N$3075,'标准化长表'!$C$2:$C$3075,$C13,'标准化长表'!$I$2:$I$3075,"物流仓储用地")</x:f>
        <x:v>49.211603</x:v>
      </x:c>
      <x:c r="Q13" s="40" t="n">
        <x:f>IFERROR((O13+P13)/F13,0)</x:f>
        <x:v>0.06124027333014498</x:v>
      </x:c>
      <x:c r="R13" s="40" t="n">
        <x:f>IFERROR((O13+P13)/E13,0)</x:f>
        <x:v>0.003988652021957747</x:v>
      </x:c>
      <x:c r="S13" s="33" t="n">
        <x:f>SUMIFS('标准化长表'!$N$2:$N$3075,'标准化长表'!$C$2:$C$3075,$C13,'标准化长表'!$I$2:$I$3075,"商业服务业设施用地")</x:f>
        <x:v>324.5351989999998</x:v>
      </x:c>
      <x:c r="T13" s="40" t="n">
        <x:f>IFERROR(S13/F13,0)</x:f>
        <x:v>0.01664373452394479</x:v>
      </x:c>
      <x:c r="U13" s="33" t="n">
        <x:f>SUMIFS('标准化长表'!$N$2:$N$3075,'标准化长表'!$C$2:$C$3075,$C13,'标准化长表'!$I$2:$I$3075,"机关团体新闻出版用地")+SUMIFS('标准化长表'!$N$2:$N$3075,'标准化长表'!$C$2:$C$3075,$C13,'标准化长表'!$I$2:$I$3075,"科教文卫用地")+SUMIFS('标准化长表'!$N$2:$N$3075,'标准化长表'!$C$2:$C$3075,$C13,'标准化长表'!$I$2:$I$3075,"高教用地")</x:f>
        <x:v>641.8509550000001</x:v>
      </x:c>
      <x:c r="V13" s="40" t="n">
        <x:f>IFERROR(U13/F13,0)</x:f>
        <x:v>0.03291722109613276</x:v>
      </x:c>
      <x:c r="W13" s="40" t="n">
        <x:f>IFERROR((S13+U13+SUMIFS('标准化长表'!$N$2:$N$3075,'标准化长表'!$C$2:$C$3075,$C13,'标准化长表'!$I$2:$I$3075,"公园与绿地")+SUMIFS('标准化长表'!$N$2:$N$3075,'标准化长表'!$C$2:$C$3075,$C13,'标准化长表'!$I$2:$I$3075,"广场用地"))/F13,0)</x:f>
        <x:v>0.05235231186597714</x:v>
      </x:c>
      <x:c r="X13" s="33" t="n">
        <x:f>SUMIFS('标准化长表'!$N$2:$N$3075,'标准化长表'!$C$2:$C$3075,$C13,'标准化长表'!$I$2:$I$3075,"铁路用地")+SUMIFS('标准化长表'!$N$2:$N$3075,'标准化长表'!$C$2:$C$3075,$C13,'标准化长表'!$I$2:$I$3075,"轨道交通用地")+SUMIFS('标准化长表'!$N$2:$N$3075,'标准化长表'!$C$2:$C$3075,$C13,'标准化长表'!$I$2:$I$3075,"机场用地")+SUMIFS('标准化长表'!$N$2:$N$3075,'标准化长表'!$C$2:$C$3075,$C13,'标准化长表'!$I$2:$I$3075,"港口码头用地")+SUMIFS('标准化长表'!$N$2:$N$3075,'标准化长表'!$C$2:$C$3075,$C13,'标准化长表'!$I$2:$I$3075,"交通服务场站用地")+SUMIFS('标准化长表'!$N$2:$N$3075,'标准化长表'!$C$2:$C$3075,$C13,'标准化长表'!$I$2:$I$3075,"物流仓储用地")</x:f>
        <x:v>297.42862899999994</x:v>
      </x:c>
      <x:c r="Y13" s="40" t="n">
        <x:f>IFERROR(X13/F13,0)</x:f>
        <x:v>0.015253578521375946</x:v>
      </x:c>
      <x:c r="Z13" s="33" t="n">
        <x:f>SUMIFS('标准化长表'!$N$2:$N$3075,'标准化长表'!$C$2:$C$3075,$C13,'标准化长表'!$I$2:$I$3075,"公路用地")</x:f>
        <x:v>3246.1330450000087</x:v>
      </x:c>
      <x:c r="AA13" s="40" t="n">
        <x:f>IFERROR(Z13/F13,0)</x:f>
        <x:v>0.16647740151719168</x:v>
      </x:c>
      <x:c r="AB13" s="33" t="n">
        <x:f>SUMIFS('标准化长表'!$N$2:$N$3075,'标准化长表'!$C$2:$C$3075,$C13,'标准化长表'!$I$2:$I$3075,"港口码头用地")</x:f>
        <x:v>0</x:v>
      </x:c>
      <x:c r="AC13" s="40" t="n">
        <x:f>IFERROR(AB13/F13,0)</x:f>
        <x:v>0</x:v>
      </x:c>
      <x:c r="AD13" s="33" t="n">
        <x:f>SUMIFS('标准化长表'!$N$2:$N$3075,'标准化长表'!$C$2:$C$3075,$C13,'标准化长表'!$I$2:$I$3075,"采矿用地")</x:f>
        <x:v>541.722387</x:v>
      </x:c>
      <x:c r="AE13" s="40" t="n">
        <x:f>IFERROR(AD13/F13,0)</x:f>
        <x:v>0.027782143886665698</x:v>
      </x:c>
      <x:c r="AF13" s="33" t="n">
        <x:f>SUMIFS('标准化长表'!$N$2:$N$3075,'标准化长表'!$C$2:$C$3075,$C13,'标准化长表'!$I$2:$I$3075,"公园与绿地")+SUMIFS('标准化长表'!$N$2:$N$3075,'标准化长表'!$C$2:$C$3075,$C13,'标准化长表'!$I$2:$I$3075,"广场用地")</x:f>
        <x:v>54.428490999999994</x:v>
      </x:c>
      <x:c r="AG13" s="40" t="n">
        <x:f>IFERROR(AF13/F13,0)</x:f>
        <x:v>0.002791356245899597</x:v>
      </x:c>
      <x:c r="AH13" s="47" t="n">
        <x:f>IFERROR((IF(SUMIFS('标准化长表'!$N$2:$N$3075,'标准化长表'!$C$2:$C$3075,$C13,'标准化长表'!$J$2:$J$3075,"居住功能",'标准化长表'!$E$2:$E$3075,"建设用地")=0,0,-(SUMIFS('标准化长表'!$N$2:$N$3075,'标准化长表'!$C$2:$C$3075,$C13,'标准化长表'!$J$2:$J$3075,"居住功能",'标准化长表'!$E$2:$E$3075,"建设用地")/F13)*LN(SUMIFS('标准化长表'!$N$2:$N$3075,'标准化长表'!$C$2:$C$3075,$C13,'标准化长表'!$J$2:$J$3075,"居住功能",'标准化长表'!$E$2:$E$3075,"建设用地")/F13))+IF(SUMIFS('标准化长表'!$N$2:$N$3075,'标准化长表'!$C$2:$C$3075,$C13,'标准化长表'!$J$2:$J$3075,"产业功能",'标准化长表'!$E$2:$E$3075,"建设用地")=0,0,-(SUMIFS('标准化长表'!$N$2:$N$3075,'标准化长表'!$C$2:$C$3075,$C13,'标准化长表'!$J$2:$J$3075,"产业功能",'标准化长表'!$E$2:$E$3075,"建设用地")/F13)*LN(SUMIFS('标准化长表'!$N$2:$N$3075,'标准化长表'!$C$2:$C$3075,$C13,'标准化长表'!$J$2:$J$3075,"产业功能",'标准化长表'!$E$2:$E$3075,"建设用地")/F13))+IF(SUMIFS('标准化长表'!$N$2:$N$3075,'标准化长表'!$C$2:$C$3075,$C13,'标准化长表'!$J$2:$J$3075,"商业服务",'标准化长表'!$E$2:$E$3075,"建设用地")=0,0,-(SUMIFS('标准化长表'!$N$2:$N$3075,'标准化长表'!$C$2:$C$3075,$C13,'标准化长表'!$J$2:$J$3075,"商业服务",'标准化长表'!$E$2:$E$3075,"建设用地")/F13)*LN(SUMIFS('标准化长表'!$N$2:$N$3075,'标准化长表'!$C$2:$C$3075,$C13,'标准化长表'!$J$2:$J$3075,"商业服务",'标准化长表'!$E$2:$E$3075,"建设用地")/F13))+IF(SUMIFS('标准化长表'!$N$2:$N$3075,'标准化长表'!$C$2:$C$3075,$C13,'标准化长表'!$J$2:$J$3075,"公共服务",'标准化长表'!$E$2:$E$3075,"建设用地")=0,0,-(SUMIFS('标准化长表'!$N$2:$N$3075,'标准化长表'!$C$2:$C$3075,$C13,'标准化长表'!$J$2:$J$3075,"公共服务",'标准化长表'!$E$2:$E$3075,"建设用地")/F13)*LN(SUMIFS('标准化长表'!$N$2:$N$3075,'标准化长表'!$C$2:$C$3075,$C13,'标准化长表'!$J$2:$J$3075,"公共服务",'标准化长表'!$E$2:$E$3075,"建设用地")/F13))+IF(SUMIFS('标准化长表'!$N$2:$N$3075,'标准化长表'!$C$2:$C$3075,$C13,'标准化长表'!$J$2:$J$3075,"交通门户",'标准化长表'!$E$2:$E$3075,"建设用地")=0,0,-(SUMIFS('标准化长表'!$N$2:$N$3075,'标准化长表'!$C$2:$C$3075,$C13,'标准化长表'!$J$2:$J$3075,"交通门户",'标准化长表'!$E$2:$E$3075,"建设用地")/F13)*LN(SUMIFS('标准化长表'!$N$2:$N$3075,'标准化长表'!$C$2:$C$3075,$C13,'标准化长表'!$J$2:$J$3075,"交通门户",'标准化长表'!$E$2:$E$3075,"建设用地")/F13))+IF(SUMIFS('标准化长表'!$N$2:$N$3075,'标准化长表'!$C$2:$C$3075,$C13,'标准化长表'!$J$2:$J$3075,"公共空间",'标准化长表'!$E$2:$E$3075,"建设用地")=0,0,-(SUMIFS('标准化长表'!$N$2:$N$3075,'标准化长表'!$C$2:$C$3075,$C13,'标准化长表'!$J$2:$J$3075,"公共空间",'标准化长表'!$E$2:$E$3075,"建设用地")/F13)*LN(SUMIFS('标准化长表'!$N$2:$N$3075,'标准化长表'!$C$2:$C$3075,$C13,'标准化长表'!$J$2:$J$3075,"公共空间",'标准化长表'!$E$2:$E$3075,"建设用地")/F13))+IF(SUMIFS('标准化长表'!$N$2:$N$3075,'标准化长表'!$C$2:$C$3075,$C13,'标准化长表'!$J$2:$J$3075,"其他建设",'标准化长表'!$E$2:$E$3075,"建设用地")=0,0,-(SUMIFS('标准化长表'!$N$2:$N$3075,'标准化长表'!$C$2:$C$3075,$C13,'标准化长表'!$J$2:$J$3075,"其他建设",'标准化长表'!$E$2:$E$3075,"建设用地")/F13)*LN(SUMIFS('标准化长表'!$N$2:$N$3075,'标准化长表'!$C$2:$C$3075,$C13,'标准化长表'!$J$2:$J$3075,"其他建设",'标准化长表'!$E$2:$E$3075,"建设用地")/F13)))/LN(7),0)</x:f>
        <x:v>0.5639733825660154</x:v>
      </x:c>
    </x:row>
    <x:row r="14">
      <x:c r="A14" s="21" t="n">
        <x:v>350500</x:v>
      </x:c>
      <x:c r="B14" s="22" t="str">
        <x:v>泉州市</x:v>
      </x:c>
      <x:c r="C14" s="22" t="n">
        <x:v>350525</x:v>
      </x:c>
      <x:c r="D14" s="22" t="str">
        <x:v>永春县</x:v>
      </x:c>
      <x:c r="E14" s="33" t="n">
        <x:f>SUMIFS('标准化长表'!$N$2:$N$3075,'标准化长表'!$C$2:$C$3075,$C14)</x:f>
        <x:v>145543.9697799998</x:v>
      </x:c>
      <x:c r="F14" s="33" t="n">
        <x:f>SUMIFS('标准化长表'!$N$2:$N$3075,'标准化长表'!$C$2:$C$3075,$C14,'标准化长表'!$E$2:$E$3075,"建设用地")</x:f>
        <x:v>9990.39586600001</x:v>
      </x:c>
      <x:c r="G14" s="40" t="n">
        <x:f>IFERROR(F14/E14,0)</x:f>
        <x:v>0.06864177115067847</x:v>
      </x:c>
      <x:c r="H14" s="40" t="n">
        <x:f>IFERROR(SUMIFS('标准化长表'!$N$2:$N$3075,'标准化长表'!$C$2:$C$3075,$C14,'标准化长表'!$E$2:$E$3075,"农用地")/E14,0)</x:f>
        <x:v>0.9082651082062574</x:v>
      </x:c>
      <x:c r="I14" s="40" t="n">
        <x:f>IFERROR(SUMIFS('标准化长表'!$N$2:$N$3075,'标准化长表'!$C$2:$C$3075,$C14,'标准化长表'!$E$2:$E$3075,"未利用地")/E14,0)</x:f>
        <x:v>0.023093120643063986</x:v>
      </x:c>
      <x:c r="J14" s="33" t="n">
        <x:f>SUMIFS('标准化长表'!$N$2:$N$3075,'标准化长表'!$C$2:$C$3075,$C14,'标准化长表'!$I$2:$I$3075,"城镇住宅用地")</x:f>
        <x:v>1476.0958469999975</x:v>
      </x:c>
      <x:c r="K14" s="33" t="n">
        <x:f>SUMIFS('标准化长表'!$N$2:$N$3075,'标准化长表'!$C$2:$C$3075,$C14,'标准化长表'!$I$2:$I$3075,"农村宅基地")</x:f>
        <x:v>4161.418089000009</x:v>
      </x:c>
      <x:c r="L14" s="40" t="n">
        <x:f>IFERROR(J14/F14,0)</x:f>
        <x:v>0.1477514872081843</x:v>
      </x:c>
      <x:c r="M14" s="40" t="n">
        <x:f>IFERROR(K14/F14,0)</x:f>
        <x:v>0.4165418612852398</x:v>
      </x:c>
      <x:c r="N14" s="46" t="n">
        <x:f>IFERROR(J14/K14,0)</x:f>
        <x:v>0.35470981656512773</x:v>
      </x:c>
      <x:c r="O14" s="33" t="n">
        <x:f>SUMIFS('标准化长表'!$N$2:$N$3075,'标准化长表'!$C$2:$C$3075,$C14,'标准化长表'!$I$2:$I$3075,"工业用地")</x:f>
        <x:v>820.6621900000005</x:v>
      </x:c>
      <x:c r="P14" s="33" t="n">
        <x:f>SUMIFS('标准化长表'!$N$2:$N$3075,'标准化长表'!$C$2:$C$3075,$C14,'标准化长表'!$I$2:$I$3075,"物流仓储用地")</x:f>
        <x:v>26.677981999999993</x:v>
      </x:c>
      <x:c r="Q14" s="40" t="n">
        <x:f>IFERROR((O14+P14)/F14,0)</x:f>
        <x:v>0.08481547511883146</x:v>
      </x:c>
      <x:c r="R14" s="40" t="n">
        <x:f>IFERROR((O14+P14)/E14,0)</x:f>
        <x:v>0.0058218844331428925</x:v>
      </x:c>
      <x:c r="S14" s="33" t="n">
        <x:f>SUMIFS('标准化长表'!$N$2:$N$3075,'标准化长表'!$C$2:$C$3075,$C14,'标准化长表'!$I$2:$I$3075,"商业服务业设施用地")</x:f>
        <x:v>73.22943200000003</x:v>
      </x:c>
      <x:c r="T14" s="40" t="n">
        <x:f>IFERROR(S14/F14,0)</x:f>
        <x:v>0.007329983013908326</x:v>
      </x:c>
      <x:c r="U14" s="33" t="n">
        <x:f>SUMIFS('标准化长表'!$N$2:$N$3075,'标准化长表'!$C$2:$C$3075,$C14,'标准化长表'!$I$2:$I$3075,"机关团体新闻出版用地")+SUMIFS('标准化长表'!$N$2:$N$3075,'标准化长表'!$C$2:$C$3075,$C14,'标准化长表'!$I$2:$I$3075,"科教文卫用地")+SUMIFS('标准化长表'!$N$2:$N$3075,'标准化长表'!$C$2:$C$3075,$C14,'标准化长表'!$I$2:$I$3075,"高教用地")</x:f>
        <x:v>345.162967</x:v>
      </x:c>
      <x:c r="V14" s="40" t="n">
        <x:f>IFERROR(U14/F14,0)</x:f>
        <x:v>0.03454947848209718</x:v>
      </x:c>
      <x:c r="W14" s="40" t="n">
        <x:f>IFERROR((S14+U14+SUMIFS('标准化长表'!$N$2:$N$3075,'标准化长表'!$C$2:$C$3075,$C14,'标准化长表'!$I$2:$I$3075,"公园与绿地")+SUMIFS('标准化长表'!$N$2:$N$3075,'标准化长表'!$C$2:$C$3075,$C14,'标准化长表'!$I$2:$I$3075,"广场用地"))/F14,0)</x:f>
        <x:v>0.05415103147625356</x:v>
      </x:c>
      <x:c r="X14" s="33" t="n">
        <x:f>SUMIFS('标准化长表'!$N$2:$N$3075,'标准化长表'!$C$2:$C$3075,$C14,'标准化长表'!$I$2:$I$3075,"铁路用地")+SUMIFS('标准化长表'!$N$2:$N$3075,'标准化长表'!$C$2:$C$3075,$C14,'标准化长表'!$I$2:$I$3075,"轨道交通用地")+SUMIFS('标准化长表'!$N$2:$N$3075,'标准化长表'!$C$2:$C$3075,$C14,'标准化长表'!$I$2:$I$3075,"机场用地")+SUMIFS('标准化长表'!$N$2:$N$3075,'标准化长表'!$C$2:$C$3075,$C14,'标准化长表'!$I$2:$I$3075,"港口码头用地")+SUMIFS('标准化长表'!$N$2:$N$3075,'标准化长表'!$C$2:$C$3075,$C14,'标准化长表'!$I$2:$I$3075,"交通服务场站用地")+SUMIFS('标准化长表'!$N$2:$N$3075,'标准化长表'!$C$2:$C$3075,$C14,'标准化长表'!$I$2:$I$3075,"物流仓储用地")</x:f>
        <x:v>93.09611799999996</x:v>
      </x:c>
      <x:c r="Y14" s="40" t="n">
        <x:f>IFERROR(X14/F14,0)</x:f>
        <x:v>0.009318561471305753</x:v>
      </x:c>
      <x:c r="Z14" s="33" t="n">
        <x:f>SUMIFS('标准化长表'!$N$2:$N$3075,'标准化长表'!$C$2:$C$3075,$C14,'标准化长表'!$I$2:$I$3075,"公路用地")</x:f>
        <x:v>1927.1090320000023</x:v>
      </x:c>
      <x:c r="AA14" s="40" t="n">
        <x:f>IFERROR(Z14/F14,0)</x:f>
        <x:v>0.19289616326000353</x:v>
      </x:c>
      <x:c r="AB14" s="33" t="n">
        <x:f>SUMIFS('标准化长表'!$N$2:$N$3075,'标准化长表'!$C$2:$C$3075,$C14,'标准化长表'!$I$2:$I$3075,"港口码头用地")</x:f>
        <x:v>0</x:v>
      </x:c>
      <x:c r="AC14" s="40" t="n">
        <x:f>IFERROR(AB14/F14,0)</x:f>
        <x:v>0</x:v>
      </x:c>
      <x:c r="AD14" s="33" t="n">
        <x:f>SUMIFS('标准化长表'!$N$2:$N$3075,'标准化长表'!$C$2:$C$3075,$C14,'标准化长表'!$I$2:$I$3075,"采矿用地")</x:f>
        <x:v>597.9337760000006</x:v>
      </x:c>
      <x:c r="AE14" s="40" t="n">
        <x:f>IFERROR(AD14/F14,0)</x:f>
        <x:v>0.059850859167145644</x:v>
      </x:c>
      <x:c r="AF14" s="33" t="n">
        <x:f>SUMIFS('标准化长表'!$N$2:$N$3075,'标准化长表'!$C$2:$C$3075,$C14,'标准化长表'!$I$2:$I$3075,"公园与绿地")+SUMIFS('标准化长表'!$N$2:$N$3075,'标准化长表'!$C$2:$C$3075,$C14,'标准化长表'!$I$2:$I$3075,"广场用地")</x:f>
        <x:v>122.59784199999999</x:v>
      </x:c>
      <x:c r="AG14" s="40" t="n">
        <x:f>IFERROR(AF14/F14,0)</x:f>
        <x:v>0.012271569980248054</x:v>
      </x:c>
      <x:c r="AH14" s="47" t="n">
        <x:f>IFERROR((IF(SUMIFS('标准化长表'!$N$2:$N$3075,'标准化长表'!$C$2:$C$3075,$C14,'标准化长表'!$J$2:$J$3075,"居住功能",'标准化长表'!$E$2:$E$3075,"建设用地")=0,0,-(SUMIFS('标准化长表'!$N$2:$N$3075,'标准化长表'!$C$2:$C$3075,$C14,'标准化长表'!$J$2:$J$3075,"居住功能",'标准化长表'!$E$2:$E$3075,"建设用地")/F14)*LN(SUMIFS('标准化长表'!$N$2:$N$3075,'标准化长表'!$C$2:$C$3075,$C14,'标准化长表'!$J$2:$J$3075,"居住功能",'标准化长表'!$E$2:$E$3075,"建设用地")/F14))+IF(SUMIFS('标准化长表'!$N$2:$N$3075,'标准化长表'!$C$2:$C$3075,$C14,'标准化长表'!$J$2:$J$3075,"产业功能",'标准化长表'!$E$2:$E$3075,"建设用地")=0,0,-(SUMIFS('标准化长表'!$N$2:$N$3075,'标准化长表'!$C$2:$C$3075,$C14,'标准化长表'!$J$2:$J$3075,"产业功能",'标准化长表'!$E$2:$E$3075,"建设用地")/F14)*LN(SUMIFS('标准化长表'!$N$2:$N$3075,'标准化长表'!$C$2:$C$3075,$C14,'标准化长表'!$J$2:$J$3075,"产业功能",'标准化长表'!$E$2:$E$3075,"建设用地")/F14))+IF(SUMIFS('标准化长表'!$N$2:$N$3075,'标准化长表'!$C$2:$C$3075,$C14,'标准化长表'!$J$2:$J$3075,"商业服务",'标准化长表'!$E$2:$E$3075,"建设用地")=0,0,-(SUMIFS('标准化长表'!$N$2:$N$3075,'标准化长表'!$C$2:$C$3075,$C14,'标准化长表'!$J$2:$J$3075,"商业服务",'标准化长表'!$E$2:$E$3075,"建设用地")/F14)*LN(SUMIFS('标准化长表'!$N$2:$N$3075,'标准化长表'!$C$2:$C$3075,$C14,'标准化长表'!$J$2:$J$3075,"商业服务",'标准化长表'!$E$2:$E$3075,"建设用地")/F14))+IF(SUMIFS('标准化长表'!$N$2:$N$3075,'标准化长表'!$C$2:$C$3075,$C14,'标准化长表'!$J$2:$J$3075,"公共服务",'标准化长表'!$E$2:$E$3075,"建设用地")=0,0,-(SUMIFS('标准化长表'!$N$2:$N$3075,'标准化长表'!$C$2:$C$3075,$C14,'标准化长表'!$J$2:$J$3075,"公共服务",'标准化长表'!$E$2:$E$3075,"建设用地")/F14)*LN(SUMIFS('标准化长表'!$N$2:$N$3075,'标准化长表'!$C$2:$C$3075,$C14,'标准化长表'!$J$2:$J$3075,"公共服务",'标准化长表'!$E$2:$E$3075,"建设用地")/F14))+IF(SUMIFS('标准化长表'!$N$2:$N$3075,'标准化长表'!$C$2:$C$3075,$C14,'标准化长表'!$J$2:$J$3075,"交通门户",'标准化长表'!$E$2:$E$3075,"建设用地")=0,0,-(SUMIFS('标准化长表'!$N$2:$N$3075,'标准化长表'!$C$2:$C$3075,$C14,'标准化长表'!$J$2:$J$3075,"交通门户",'标准化长表'!$E$2:$E$3075,"建设用地")/F14)*LN(SUMIFS('标准化长表'!$N$2:$N$3075,'标准化长表'!$C$2:$C$3075,$C14,'标准化长表'!$J$2:$J$3075,"交通门户",'标准化长表'!$E$2:$E$3075,"建设用地")/F14))+IF(SUMIFS('标准化长表'!$N$2:$N$3075,'标准化长表'!$C$2:$C$3075,$C14,'标准化长表'!$J$2:$J$3075,"公共空间",'标准化长表'!$E$2:$E$3075,"建设用地")=0,0,-(SUMIFS('标准化长表'!$N$2:$N$3075,'标准化长表'!$C$2:$C$3075,$C14,'标准化长表'!$J$2:$J$3075,"公共空间",'标准化长表'!$E$2:$E$3075,"建设用地")/F14)*LN(SUMIFS('标准化长表'!$N$2:$N$3075,'标准化长表'!$C$2:$C$3075,$C14,'标准化长表'!$J$2:$J$3075,"公共空间",'标准化长表'!$E$2:$E$3075,"建设用地")/F14))+IF(SUMIFS('标准化长表'!$N$2:$N$3075,'标准化长表'!$C$2:$C$3075,$C14,'标准化长表'!$J$2:$J$3075,"其他建设",'标准化长表'!$E$2:$E$3075,"建设用地")=0,0,-(SUMIFS('标准化长表'!$N$2:$N$3075,'标准化长表'!$C$2:$C$3075,$C14,'标准化长表'!$J$2:$J$3075,"其他建设",'标准化长表'!$E$2:$E$3075,"建设用地")/F14)*LN(SUMIFS('标准化长表'!$N$2:$N$3075,'标准化长表'!$C$2:$C$3075,$C14,'标准化长表'!$J$2:$J$3075,"其他建设",'标准化长表'!$E$2:$E$3075,"建设用地")/F14)))/LN(7),0)</x:f>
        <x:v>0.6350999901306524</x:v>
      </x:c>
    </x:row>
    <x:row r="15">
      <x:c r="A15" s="21" t="n">
        <x:v>350500</x:v>
      </x:c>
      <x:c r="B15" s="22" t="str">
        <x:v>泉州市</x:v>
      </x:c>
      <x:c r="C15" s="22" t="n">
        <x:v>350526</x:v>
      </x:c>
      <x:c r="D15" s="22" t="str">
        <x:v>德化县</x:v>
      </x:c>
      <x:c r="E15" s="33" t="n">
        <x:f>SUMIFS('标准化长表'!$N$2:$N$3075,'标准化长表'!$C$2:$C$3075,$C15)</x:f>
        <x:v>220374.13023999962</x:v>
      </x:c>
      <x:c r="F15" s="33" t="n">
        <x:f>SUMIFS('标准化长表'!$N$2:$N$3075,'标准化长表'!$C$2:$C$3075,$C15,'标准化长表'!$E$2:$E$3075,"建设用地")</x:f>
        <x:v>6976.888770000005</x:v>
      </x:c>
      <x:c r="G15" s="40" t="n">
        <x:f>IFERROR(F15/E15,0)</x:f>
        <x:v>0.03165929123532688</x:v>
      </x:c>
      <x:c r="H15" s="40" t="n">
        <x:f>IFERROR(SUMIFS('标准化长表'!$N$2:$N$3075,'标准化长表'!$C$2:$C$3075,$C15,'标准化长表'!$E$2:$E$3075,"农用地")/E15,0)</x:f>
        <x:v>0.946746337343593</x:v>
      </x:c>
      <x:c r="I15" s="40" t="n">
        <x:f>IFERROR(SUMIFS('标准化长表'!$N$2:$N$3075,'标准化长表'!$C$2:$C$3075,$C15,'标准化长表'!$E$2:$E$3075,"未利用地")/E15,0)</x:f>
        <x:v>0.021594371421079932</x:v>
      </x:c>
      <x:c r="J15" s="33" t="n">
        <x:f>SUMIFS('标准化长表'!$N$2:$N$3075,'标准化长表'!$C$2:$C$3075,$C15,'标准化长表'!$I$2:$I$3075,"城镇住宅用地")</x:f>
        <x:v>959.7060110000003</x:v>
      </x:c>
      <x:c r="K15" s="33" t="n">
        <x:f>SUMIFS('标准化长表'!$N$2:$N$3075,'标准化长表'!$C$2:$C$3075,$C15,'标准化长表'!$I$2:$I$3075,"农村宅基地")</x:f>
        <x:v>2220.262728000003</x:v>
      </x:c>
      <x:c r="L15" s="40" t="n">
        <x:f>IFERROR(J15/F15,0)</x:f>
        <x:v>0.13755501092788666</x:v>
      </x:c>
      <x:c r="M15" s="40" t="n">
        <x:f>IFERROR(K15/F15,0)</x:f>
        <x:v>0.31823106275492496</x:v>
      </x:c>
      <x:c r="N15" s="46" t="n">
        <x:f>IFERROR(J15/K15,0)</x:f>
        <x:v>0.4322488500559106</x:v>
      </x:c>
      <x:c r="O15" s="33" t="n">
        <x:f>SUMIFS('标准化长表'!$N$2:$N$3075,'标准化长表'!$C$2:$C$3075,$C15,'标准化长表'!$I$2:$I$3075,"工业用地")</x:f>
        <x:v>811.7757320000001</x:v>
      </x:c>
      <x:c r="P15" s="33" t="n">
        <x:f>SUMIFS('标准化长表'!$N$2:$N$3075,'标准化长表'!$C$2:$C$3075,$C15,'标准化长表'!$I$2:$I$3075,"物流仓储用地")</x:f>
        <x:v>12.037346</x:v>
      </x:c>
      <x:c r="Q15" s="40" t="n">
        <x:f>IFERROR((O15+P15)/F15,0)</x:f>
        <x:v>0.11807742751214871</x:v>
      </x:c>
      <x:c r="R15" s="40" t="n">
        <x:f>IFERROR((O15+P15)/E15,0)</x:f>
        <x:v>0.0037382476659253154</x:v>
      </x:c>
      <x:c r="S15" s="33" t="n">
        <x:f>SUMIFS('标准化长表'!$N$2:$N$3075,'标准化长表'!$C$2:$C$3075,$C15,'标准化长表'!$I$2:$I$3075,"商业服务业设施用地")</x:f>
        <x:v>94.58117699999998</x:v>
      </x:c>
      <x:c r="T15" s="40" t="n">
        <x:f>IFERROR(S15/F15,0)</x:f>
        <x:v>0.013556354432177642</x:v>
      </x:c>
      <x:c r="U15" s="33" t="n">
        <x:f>SUMIFS('标准化长表'!$N$2:$N$3075,'标准化长表'!$C$2:$C$3075,$C15,'标准化长表'!$I$2:$I$3075,"机关团体新闻出版用地")+SUMIFS('标准化长表'!$N$2:$N$3075,'标准化长表'!$C$2:$C$3075,$C15,'标准化长表'!$I$2:$I$3075,"科教文卫用地")+SUMIFS('标准化长表'!$N$2:$N$3075,'标准化长表'!$C$2:$C$3075,$C15,'标准化长表'!$I$2:$I$3075,"高教用地")</x:f>
        <x:v>210.25921600000007</x:v>
      </x:c>
      <x:c r="V15" s="40" t="n">
        <x:f>IFERROR(U15/F15,0)</x:f>
        <x:v>0.03013652975293168</x:v>
      </x:c>
      <x:c r="W15" s="40" t="n">
        <x:f>IFERROR((S15+U15+SUMIFS('标准化长表'!$N$2:$N$3075,'标准化长表'!$C$2:$C$3075,$C15,'标准化长表'!$I$2:$I$3075,"公园与绿地")+SUMIFS('标准化长表'!$N$2:$N$3075,'标准化长表'!$C$2:$C$3075,$C15,'标准化长表'!$I$2:$I$3075,"广场用地"))/F15,0)</x:f>
        <x:v>0.050670628077104894</x:v>
      </x:c>
      <x:c r="X15" s="33" t="n">
        <x:f>SUMIFS('标准化长表'!$N$2:$N$3075,'标准化长表'!$C$2:$C$3075,$C15,'标准化长表'!$I$2:$I$3075,"铁路用地")+SUMIFS('标准化长表'!$N$2:$N$3075,'标准化长表'!$C$2:$C$3075,$C15,'标准化长表'!$I$2:$I$3075,"轨道交通用地")+SUMIFS('标准化长表'!$N$2:$N$3075,'标准化长表'!$C$2:$C$3075,$C15,'标准化长表'!$I$2:$I$3075,"机场用地")+SUMIFS('标准化长表'!$N$2:$N$3075,'标准化长表'!$C$2:$C$3075,$C15,'标准化长表'!$I$2:$I$3075,"港口码头用地")+SUMIFS('标准化长表'!$N$2:$N$3075,'标准化长表'!$C$2:$C$3075,$C15,'标准化长表'!$I$2:$I$3075,"交通服务场站用地")+SUMIFS('标准化长表'!$N$2:$N$3075,'标准化长表'!$C$2:$C$3075,$C15,'标准化长表'!$I$2:$I$3075,"物流仓储用地")</x:f>
        <x:v>79.36884599999999</x:v>
      </x:c>
      <x:c r="Y15" s="40" t="n">
        <x:f>IFERROR(X15/F15,0)</x:f>
        <x:v>0.011375965507903594</x:v>
      </x:c>
      <x:c r="Z15" s="33" t="n">
        <x:f>SUMIFS('标准化长表'!$N$2:$N$3075,'标准化长表'!$C$2:$C$3075,$C15,'标准化长表'!$I$2:$I$3075,"公路用地")</x:f>
        <x:v>1700.137872000002</x:v>
      </x:c>
      <x:c r="AA15" s="40" t="n">
        <x:f>IFERROR(Z15/F15,0)</x:f>
        <x:v>0.2436813783402198</x:v>
      </x:c>
      <x:c r="AB15" s="33" t="n">
        <x:f>SUMIFS('标准化长表'!$N$2:$N$3075,'标准化长表'!$C$2:$C$3075,$C15,'标准化长表'!$I$2:$I$3075,"港口码头用地")</x:f>
        <x:v>0</x:v>
      </x:c>
      <x:c r="AC15" s="40" t="n">
        <x:f>IFERROR(AB15/F15,0)</x:f>
        <x:v>0</x:v>
      </x:c>
      <x:c r="AD15" s="33" t="n">
        <x:f>SUMIFS('标准化长表'!$N$2:$N$3075,'标准化长表'!$C$2:$C$3075,$C15,'标准化长表'!$I$2:$I$3075,"采矿用地")</x:f>
        <x:v>485.6185919999999</x:v>
      </x:c>
      <x:c r="AE15" s="40" t="n">
        <x:f>IFERROR(AD15/F15,0)</x:f>
        <x:v>0.06960388906988402</x:v>
      </x:c>
      <x:c r="AF15" s="33" t="n">
        <x:f>SUMIFS('标准化长表'!$N$2:$N$3075,'标准化长表'!$C$2:$C$3075,$C15,'标准化长表'!$I$2:$I$3075,"公园与绿地")+SUMIFS('标准化长表'!$N$2:$N$3075,'标准化长表'!$C$2:$C$3075,$C15,'标准化长表'!$I$2:$I$3075,"广场用地")</x:f>
        <x:v>48.682943</x:v>
      </x:c>
      <x:c r="AG15" s="40" t="n">
        <x:f>IFERROR(AF15/F15,0)</x:f>
        <x:v>0.0069777438919955675</x:v>
      </x:c>
      <x:c r="AH15" s="47" t="n">
        <x:f>IFERROR((IF(SUMIFS('标准化长表'!$N$2:$N$3075,'标准化长表'!$C$2:$C$3075,$C15,'标准化长表'!$J$2:$J$3075,"居住功能",'标准化长表'!$E$2:$E$3075,"建设用地")=0,0,-(SUMIFS('标准化长表'!$N$2:$N$3075,'标准化长表'!$C$2:$C$3075,$C15,'标准化长表'!$J$2:$J$3075,"居住功能",'标准化长表'!$E$2:$E$3075,"建设用地")/F15)*LN(SUMIFS('标准化长表'!$N$2:$N$3075,'标准化长表'!$C$2:$C$3075,$C15,'标准化长表'!$J$2:$J$3075,"居住功能",'标准化长表'!$E$2:$E$3075,"建设用地")/F15))+IF(SUMIFS('标准化长表'!$N$2:$N$3075,'标准化长表'!$C$2:$C$3075,$C15,'标准化长表'!$J$2:$J$3075,"产业功能",'标准化长表'!$E$2:$E$3075,"建设用地")=0,0,-(SUMIFS('标准化长表'!$N$2:$N$3075,'标准化长表'!$C$2:$C$3075,$C15,'标准化长表'!$J$2:$J$3075,"产业功能",'标准化长表'!$E$2:$E$3075,"建设用地")/F15)*LN(SUMIFS('标准化长表'!$N$2:$N$3075,'标准化长表'!$C$2:$C$3075,$C15,'标准化长表'!$J$2:$J$3075,"产业功能",'标准化长表'!$E$2:$E$3075,"建设用地")/F15))+IF(SUMIFS('标准化长表'!$N$2:$N$3075,'标准化长表'!$C$2:$C$3075,$C15,'标准化长表'!$J$2:$J$3075,"商业服务",'标准化长表'!$E$2:$E$3075,"建设用地")=0,0,-(SUMIFS('标准化长表'!$N$2:$N$3075,'标准化长表'!$C$2:$C$3075,$C15,'标准化长表'!$J$2:$J$3075,"商业服务",'标准化长表'!$E$2:$E$3075,"建设用地")/F15)*LN(SUMIFS('标准化长表'!$N$2:$N$3075,'标准化长表'!$C$2:$C$3075,$C15,'标准化长表'!$J$2:$J$3075,"商业服务",'标准化长表'!$E$2:$E$3075,"建设用地")/F15))+IF(SUMIFS('标准化长表'!$N$2:$N$3075,'标准化长表'!$C$2:$C$3075,$C15,'标准化长表'!$J$2:$J$3075,"公共服务",'标准化长表'!$E$2:$E$3075,"建设用地")=0,0,-(SUMIFS('标准化长表'!$N$2:$N$3075,'标准化长表'!$C$2:$C$3075,$C15,'标准化长表'!$J$2:$J$3075,"公共服务",'标准化长表'!$E$2:$E$3075,"建设用地")/F15)*LN(SUMIFS('标准化长表'!$N$2:$N$3075,'标准化长表'!$C$2:$C$3075,$C15,'标准化长表'!$J$2:$J$3075,"公共服务",'标准化长表'!$E$2:$E$3075,"建设用地")/F15))+IF(SUMIFS('标准化长表'!$N$2:$N$3075,'标准化长表'!$C$2:$C$3075,$C15,'标准化长表'!$J$2:$J$3075,"交通门户",'标准化长表'!$E$2:$E$3075,"建设用地")=0,0,-(SUMIFS('标准化长表'!$N$2:$N$3075,'标准化长表'!$C$2:$C$3075,$C15,'标准化长表'!$J$2:$J$3075,"交通门户",'标准化长表'!$E$2:$E$3075,"建设用地")/F15)*LN(SUMIFS('标准化长表'!$N$2:$N$3075,'标准化长表'!$C$2:$C$3075,$C15,'标准化长表'!$J$2:$J$3075,"交通门户",'标准化长表'!$E$2:$E$3075,"建设用地")/F15))+IF(SUMIFS('标准化长表'!$N$2:$N$3075,'标准化长表'!$C$2:$C$3075,$C15,'标准化长表'!$J$2:$J$3075,"公共空间",'标准化长表'!$E$2:$E$3075,"建设用地")=0,0,-(SUMIFS('标准化长表'!$N$2:$N$3075,'标准化长表'!$C$2:$C$3075,$C15,'标准化长表'!$J$2:$J$3075,"公共空间",'标准化长表'!$E$2:$E$3075,"建设用地")/F15)*LN(SUMIFS('标准化长表'!$N$2:$N$3075,'标准化长表'!$C$2:$C$3075,$C15,'标准化长表'!$J$2:$J$3075,"公共空间",'标准化长表'!$E$2:$E$3075,"建设用地")/F15))+IF(SUMIFS('标准化长表'!$N$2:$N$3075,'标准化长表'!$C$2:$C$3075,$C15,'标准化长表'!$J$2:$J$3075,"其他建设",'标准化长表'!$E$2:$E$3075,"建设用地")=0,0,-(SUMIFS('标准化长表'!$N$2:$N$3075,'标准化长表'!$C$2:$C$3075,$C15,'标准化长表'!$J$2:$J$3075,"其他建设",'标准化长表'!$E$2:$E$3075,"建设用地")/F15)*LN(SUMIFS('标准化长表'!$N$2:$N$3075,'标准化长表'!$C$2:$C$3075,$C15,'标准化长表'!$J$2:$J$3075,"其他建设",'标准化长表'!$E$2:$E$3075,"建设用地")/F15)))/LN(7),0)</x:f>
        <x:v>0.688056406963008</x:v>
      </x:c>
    </x:row>
    <x:row r="16">
      <x:c r="A16" s="21" t="n">
        <x:v>350500</x:v>
      </x:c>
      <x:c r="B16" s="22" t="str">
        <x:v>泉州市</x:v>
      </x:c>
      <x:c r="C16" s="22" t="n">
        <x:v>350581</x:v>
      </x:c>
      <x:c r="D16" s="22" t="str">
        <x:v>石狮市</x:v>
      </x:c>
      <x:c r="E16" s="33" t="n">
        <x:f>SUMIFS('标准化长表'!$N$2:$N$3075,'标准化长表'!$C$2:$C$3075,$C16)</x:f>
        <x:v>18802.015809999997</x:v>
      </x:c>
      <x:c r="F16" s="33" t="n">
        <x:f>SUMIFS('标准化长表'!$N$2:$N$3075,'标准化长表'!$C$2:$C$3075,$C16,'标准化长表'!$E$2:$E$3075,"建设用地")</x:f>
        <x:v>9460.540619999998</x:v>
      </x:c>
      <x:c r="G16" s="40" t="n">
        <x:f>IFERROR(F16/E16,0)</x:f>
        <x:v>0.5031662942740606</x:v>
      </x:c>
      <x:c r="H16" s="40" t="n">
        <x:f>IFERROR(SUMIFS('标准化长表'!$N$2:$N$3075,'标准化长表'!$C$2:$C$3075,$C16,'标准化长表'!$E$2:$E$3075,"农用地")/E16,0)</x:f>
        <x:v>0.3027066637702184</x:v>
      </x:c>
      <x:c r="I16" s="40" t="n">
        <x:f>IFERROR(SUMIFS('标准化长表'!$N$2:$N$3075,'标准化长表'!$C$2:$C$3075,$C16,'标准化长表'!$E$2:$E$3075,"未利用地")/E16,0)</x:f>
        <x:v>0.19412704195572106</x:v>
      </x:c>
      <x:c r="J16" s="33" t="n">
        <x:f>SUMIFS('标准化长表'!$N$2:$N$3075,'标准化长表'!$C$2:$C$3075,$C16,'标准化长表'!$I$2:$I$3075,"城镇住宅用地")</x:f>
        <x:v>2275.8626799999993</x:v>
      </x:c>
      <x:c r="K16" s="33" t="n">
        <x:f>SUMIFS('标准化长表'!$N$2:$N$3075,'标准化长表'!$C$2:$C$3075,$C16,'标准化长表'!$I$2:$I$3075,"农村宅基地")</x:f>
        <x:v>1389.2054829999981</x:v>
      </x:c>
      <x:c r="L16" s="40" t="n">
        <x:f>IFERROR(J16/F16,0)</x:f>
        <x:v>0.24056370258468376</x:v>
      </x:c>
      <x:c r="M16" s="40" t="n">
        <x:f>IFERROR(K16/F16,0)</x:f>
        <x:v>0.14684208215999378</x:v>
      </x:c>
      <x:c r="N16" s="46" t="n">
        <x:f>IFERROR(J16/K16,0)</x:f>
        <x:v>1.6382476947076678</x:v>
      </x:c>
      <x:c r="O16" s="33" t="n">
        <x:f>SUMIFS('标准化长表'!$N$2:$N$3075,'标准化长表'!$C$2:$C$3075,$C16,'标准化长表'!$I$2:$I$3075,"工业用地")</x:f>
        <x:v>1788.52289</x:v>
      </x:c>
      <x:c r="P16" s="33" t="n">
        <x:f>SUMIFS('标准化长表'!$N$2:$N$3075,'标准化长表'!$C$2:$C$3075,$C16,'标准化长表'!$I$2:$I$3075,"物流仓储用地")</x:f>
        <x:v>172.33206399999997</x:v>
      </x:c>
      <x:c r="Q16" s="40" t="n">
        <x:f>IFERROR((O16+P16)/F16,0)</x:f>
        <x:v>0.207266691488504</x:v>
      </x:c>
      <x:c r="R16" s="40" t="n">
        <x:f>IFERROR((O16+P16)/E16,0)</x:f>
        <x:v>0.10428961308271553</x:v>
      </x:c>
      <x:c r="S16" s="33" t="n">
        <x:f>SUMIFS('标准化长表'!$N$2:$N$3075,'标准化长表'!$C$2:$C$3075,$C16,'标准化长表'!$I$2:$I$3075,"商业服务业设施用地")</x:f>
        <x:v>366.796923</x:v>
      </x:c>
      <x:c r="T16" s="40" t="n">
        <x:f>IFERROR(S16/F16,0)</x:f>
        <x:v>0.038771243392219594</x:v>
      </x:c>
      <x:c r="U16" s="33" t="n">
        <x:f>SUMIFS('标准化长表'!$N$2:$N$3075,'标准化长表'!$C$2:$C$3075,$C16,'标准化长表'!$I$2:$I$3075,"机关团体新闻出版用地")+SUMIFS('标准化长表'!$N$2:$N$3075,'标准化长表'!$C$2:$C$3075,$C16,'标准化长表'!$I$2:$I$3075,"科教文卫用地")+SUMIFS('标准化长表'!$N$2:$N$3075,'标准化长表'!$C$2:$C$3075,$C16,'标准化长表'!$I$2:$I$3075,"高教用地")</x:f>
        <x:v>521.396359</x:v>
      </x:c>
      <x:c r="V16" s="40" t="n">
        <x:f>IFERROR(U16/F16,0)</x:f>
        <x:v>0.055112744603383994</x:v>
      </x:c>
      <x:c r="W16" s="40" t="n">
        <x:f>IFERROR((S16+U16+SUMIFS('标准化长表'!$N$2:$N$3075,'标准化长表'!$C$2:$C$3075,$C16,'标准化长表'!$I$2:$I$3075,"公园与绿地")+SUMIFS('标准化长表'!$N$2:$N$3075,'标准化长表'!$C$2:$C$3075,$C16,'标准化长表'!$I$2:$I$3075,"广场用地"))/F16,0)</x:f>
        <x:v>0.11318946654446055</x:v>
      </x:c>
      <x:c r="X16" s="33" t="n">
        <x:f>SUMIFS('标准化长表'!$N$2:$N$3075,'标准化长表'!$C$2:$C$3075,$C16,'标准化长表'!$I$2:$I$3075,"铁路用地")+SUMIFS('标准化长表'!$N$2:$N$3075,'标准化长表'!$C$2:$C$3075,$C16,'标准化长表'!$I$2:$I$3075,"轨道交通用地")+SUMIFS('标准化长表'!$N$2:$N$3075,'标准化长表'!$C$2:$C$3075,$C16,'标准化长表'!$I$2:$I$3075,"机场用地")+SUMIFS('标准化长表'!$N$2:$N$3075,'标准化长表'!$C$2:$C$3075,$C16,'标准化长表'!$I$2:$I$3075,"港口码头用地")+SUMIFS('标准化长表'!$N$2:$N$3075,'标准化长表'!$C$2:$C$3075,$C16,'标准化长表'!$I$2:$I$3075,"交通服务场站用地")+SUMIFS('标准化长表'!$N$2:$N$3075,'标准化长表'!$C$2:$C$3075,$C16,'标准化长表'!$I$2:$I$3075,"物流仓储用地")</x:f>
        <x:v>437.3465289999999</x:v>
      </x:c>
      <x:c r="Y16" s="40" t="n">
        <x:f>IFERROR(X16/F16,0)</x:f>
        <x:v>0.04622849227827743</x:v>
      </x:c>
      <x:c r="Z16" s="33" t="n">
        <x:f>SUMIFS('标准化长表'!$N$2:$N$3075,'标准化长表'!$C$2:$C$3075,$C16,'标准化长表'!$I$2:$I$3075,"公路用地")</x:f>
        <x:v>1330.1482450000003</x:v>
      </x:c>
      <x:c r="AA16" s="40" t="n">
        <x:f>IFERROR(Z16/F16,0)</x:f>
        <x:v>0.14059960190731685</x:v>
      </x:c>
      <x:c r="AB16" s="33" t="n">
        <x:f>SUMIFS('标准化长表'!$N$2:$N$3075,'标准化长表'!$C$2:$C$3075,$C16,'标准化长表'!$I$2:$I$3075,"港口码头用地")</x:f>
        <x:v>167.919442</x:v>
      </x:c>
      <x:c r="AC16" s="40" t="n">
        <x:f>IFERROR(AB16/F16,0)</x:f>
        <x:v>0.017749455210309118</x:v>
      </x:c>
      <x:c r="AD16" s="33" t="n">
        <x:f>SUMIFS('标准化长表'!$N$2:$N$3075,'标准化长表'!$C$2:$C$3075,$C16,'标准化长表'!$I$2:$I$3075,"采矿用地")</x:f>
        <x:v>140.22963000000001</x:v>
      </x:c>
      <x:c r="AE16" s="40" t="n">
        <x:f>IFERROR(AD16/F16,0)</x:f>
        <x:v>0.01482258103765745</x:v>
      </x:c>
      <x:c r="AF16" s="33" t="n">
        <x:f>SUMIFS('标准化长表'!$N$2:$N$3075,'标准化长表'!$C$2:$C$3075,$C16,'标准化长表'!$I$2:$I$3075,"公园与绿地")+SUMIFS('标准化长表'!$N$2:$N$3075,'标准化长表'!$C$2:$C$3075,$C16,'标准化长表'!$I$2:$I$3075,"广场用地")</x:f>
        <x:v>182.64026399999997</x:v>
      </x:c>
      <x:c r="AG16" s="40" t="n">
        <x:f>IFERROR(AF16/F16,0)</x:f>
        <x:v>0.019305478548856968</x:v>
      </x:c>
      <x:c r="AH16" s="47" t="n">
        <x:f>IFERROR((IF(SUMIFS('标准化长表'!$N$2:$N$3075,'标准化长表'!$C$2:$C$3075,$C16,'标准化长表'!$J$2:$J$3075,"居住功能",'标准化长表'!$E$2:$E$3075,"建设用地")=0,0,-(SUMIFS('标准化长表'!$N$2:$N$3075,'标准化长表'!$C$2:$C$3075,$C16,'标准化长表'!$J$2:$J$3075,"居住功能",'标准化长表'!$E$2:$E$3075,"建设用地")/F16)*LN(SUMIFS('标准化长表'!$N$2:$N$3075,'标准化长表'!$C$2:$C$3075,$C16,'标准化长表'!$J$2:$J$3075,"居住功能",'标准化长表'!$E$2:$E$3075,"建设用地")/F16))+IF(SUMIFS('标准化长表'!$N$2:$N$3075,'标准化长表'!$C$2:$C$3075,$C16,'标准化长表'!$J$2:$J$3075,"产业功能",'标准化长表'!$E$2:$E$3075,"建设用地")=0,0,-(SUMIFS('标准化长表'!$N$2:$N$3075,'标准化长表'!$C$2:$C$3075,$C16,'标准化长表'!$J$2:$J$3075,"产业功能",'标准化长表'!$E$2:$E$3075,"建设用地")/F16)*LN(SUMIFS('标准化长表'!$N$2:$N$3075,'标准化长表'!$C$2:$C$3075,$C16,'标准化长表'!$J$2:$J$3075,"产业功能",'标准化长表'!$E$2:$E$3075,"建设用地")/F16))+IF(SUMIFS('标准化长表'!$N$2:$N$3075,'标准化长表'!$C$2:$C$3075,$C16,'标准化长表'!$J$2:$J$3075,"商业服务",'标准化长表'!$E$2:$E$3075,"建设用地")=0,0,-(SUMIFS('标准化长表'!$N$2:$N$3075,'标准化长表'!$C$2:$C$3075,$C16,'标准化长表'!$J$2:$J$3075,"商业服务",'标准化长表'!$E$2:$E$3075,"建设用地")/F16)*LN(SUMIFS('标准化长表'!$N$2:$N$3075,'标准化长表'!$C$2:$C$3075,$C16,'标准化长表'!$J$2:$J$3075,"商业服务",'标准化长表'!$E$2:$E$3075,"建设用地")/F16))+IF(SUMIFS('标准化长表'!$N$2:$N$3075,'标准化长表'!$C$2:$C$3075,$C16,'标准化长表'!$J$2:$J$3075,"公共服务",'标准化长表'!$E$2:$E$3075,"建设用地")=0,0,-(SUMIFS('标准化长表'!$N$2:$N$3075,'标准化长表'!$C$2:$C$3075,$C16,'标准化长表'!$J$2:$J$3075,"公共服务",'标准化长表'!$E$2:$E$3075,"建设用地")/F16)*LN(SUMIFS('标准化长表'!$N$2:$N$3075,'标准化长表'!$C$2:$C$3075,$C16,'标准化长表'!$J$2:$J$3075,"公共服务",'标准化长表'!$E$2:$E$3075,"建设用地")/F16))+IF(SUMIFS('标准化长表'!$N$2:$N$3075,'标准化长表'!$C$2:$C$3075,$C16,'标准化长表'!$J$2:$J$3075,"交通门户",'标准化长表'!$E$2:$E$3075,"建设用地")=0,0,-(SUMIFS('标准化长表'!$N$2:$N$3075,'标准化长表'!$C$2:$C$3075,$C16,'标准化长表'!$J$2:$J$3075,"交通门户",'标准化长表'!$E$2:$E$3075,"建设用地")/F16)*LN(SUMIFS('标准化长表'!$N$2:$N$3075,'标准化长表'!$C$2:$C$3075,$C16,'标准化长表'!$J$2:$J$3075,"交通门户",'标准化长表'!$E$2:$E$3075,"建设用地")/F16))+IF(SUMIFS('标准化长表'!$N$2:$N$3075,'标准化长表'!$C$2:$C$3075,$C16,'标准化长表'!$J$2:$J$3075,"公共空间",'标准化长表'!$E$2:$E$3075,"建设用地")=0,0,-(SUMIFS('标准化长表'!$N$2:$N$3075,'标准化长表'!$C$2:$C$3075,$C16,'标准化长表'!$J$2:$J$3075,"公共空间",'标准化长表'!$E$2:$E$3075,"建设用地")/F16)*LN(SUMIFS('标准化长表'!$N$2:$N$3075,'标准化长表'!$C$2:$C$3075,$C16,'标准化长表'!$J$2:$J$3075,"公共空间",'标准化长表'!$E$2:$E$3075,"建设用地")/F16))+IF(SUMIFS('标准化长表'!$N$2:$N$3075,'标准化长表'!$C$2:$C$3075,$C16,'标准化长表'!$J$2:$J$3075,"其他建设",'标准化长表'!$E$2:$E$3075,"建设用地")=0,0,-(SUMIFS('标准化长表'!$N$2:$N$3075,'标准化长表'!$C$2:$C$3075,$C16,'标准化长表'!$J$2:$J$3075,"其他建设",'标准化长表'!$E$2:$E$3075,"建设用地")/F16)*LN(SUMIFS('标准化长表'!$N$2:$N$3075,'标准化长表'!$C$2:$C$3075,$C16,'标准化长表'!$J$2:$J$3075,"其他建设",'标准化长表'!$E$2:$E$3075,"建设用地")/F16)))/LN(7),0)</x:f>
        <x:v>0.8093143117214812</x:v>
      </x:c>
    </x:row>
    <x:row r="17">
      <x:c r="A17" s="21" t="n">
        <x:v>350500</x:v>
      </x:c>
      <x:c r="B17" s="22" t="str">
        <x:v>泉州市</x:v>
      </x:c>
      <x:c r="C17" s="22" t="n">
        <x:v>350582</x:v>
      </x:c>
      <x:c r="D17" s="22" t="str">
        <x:v>晋江市</x:v>
      </x:c>
      <x:c r="E17" s="33" t="n">
        <x:f>SUMIFS('标准化长表'!$N$2:$N$3075,'标准化长表'!$C$2:$C$3075,$C17)</x:f>
        <x:v>73403.35208000004</x:v>
      </x:c>
      <x:c r="F17" s="33" t="n">
        <x:f>SUMIFS('标准化长表'!$N$2:$N$3075,'标准化长表'!$C$2:$C$3075,$C17,'标准化长表'!$E$2:$E$3075,"建设用地")</x:f>
        <x:v>35019.20438199994</x:v>
      </x:c>
      <x:c r="G17" s="40" t="n">
        <x:f>IFERROR(F17/E17,0)</x:f>
        <x:v>0.4770790895739147</x:v>
      </x:c>
      <x:c r="H17" s="40" t="n">
        <x:f>IFERROR(SUMIFS('标准化长表'!$N$2:$N$3075,'标准化长表'!$C$2:$C$3075,$C17,'标准化长表'!$E$2:$E$3075,"农用地")/E17,0)</x:f>
        <x:v>0.3700056040955679</x:v>
      </x:c>
      <x:c r="I17" s="40" t="n">
        <x:f>IFERROR(SUMIFS('标准化长表'!$N$2:$N$3075,'标准化长表'!$C$2:$C$3075,$C17,'标准化长表'!$E$2:$E$3075,"未利用地")/E17,0)</x:f>
        <x:v>0.15291530633051695</x:v>
      </x:c>
      <x:c r="J17" s="33" t="n">
        <x:f>SUMIFS('标准化长表'!$N$2:$N$3075,'标准化长表'!$C$2:$C$3075,$C17,'标准化长表'!$I$2:$I$3075,"城镇住宅用地")</x:f>
        <x:v>5172.138867000004</x:v>
      </x:c>
      <x:c r="K17" s="33" t="n">
        <x:f>SUMIFS('标准化长表'!$N$2:$N$3075,'标准化长表'!$C$2:$C$3075,$C17,'标准化长表'!$I$2:$I$3075,"农村宅基地")</x:f>
        <x:v>9204.897181999939</x:v>
      </x:c>
      <x:c r="L17" s="40" t="n">
        <x:f>IFERROR(J17/F17,0)</x:f>
        <x:v>0.1476943568043628</x:v>
      </x:c>
      <x:c r="M17" s="40" t="n">
        <x:f>IFERROR(K17/F17,0)</x:f>
        <x:v>0.2628528358779992</x:v>
      </x:c>
      <x:c r="N17" s="46" t="n">
        <x:f>IFERROR(J17/K17,0)</x:f>
        <x:v>0.5618899119388381</x:v>
      </x:c>
      <x:c r="O17" s="33" t="n">
        <x:f>SUMIFS('标准化长表'!$N$2:$N$3075,'标准化长表'!$C$2:$C$3075,$C17,'标准化长表'!$I$2:$I$3075,"工业用地")</x:f>
        <x:v>8780.005023999995</x:v>
      </x:c>
      <x:c r="P17" s="33" t="n">
        <x:f>SUMIFS('标准化长表'!$N$2:$N$3075,'标准化长表'!$C$2:$C$3075,$C17,'标准化长表'!$I$2:$I$3075,"物流仓储用地")</x:f>
        <x:v>568.7890989999996</x:v>
      </x:c>
      <x:c r="Q17" s="40" t="n">
        <x:f>IFERROR((O17+P17)/F17,0)</x:f>
        <x:v>0.2669619224075041</x:v>
      </x:c>
      <x:c r="R17" s="40" t="n">
        <x:f>IFERROR((O17+P17)/E17,0)</x:f>
        <x:v>0.12736195089307412</x:v>
      </x:c>
      <x:c r="S17" s="33" t="n">
        <x:f>SUMIFS('标准化长表'!$N$2:$N$3075,'标准化长表'!$C$2:$C$3075,$C17,'标准化长表'!$I$2:$I$3075,"商业服务业设施用地")</x:f>
        <x:v>1166.8627699999993</x:v>
      </x:c>
      <x:c r="T17" s="40" t="n">
        <x:f>IFERROR(S17/F17,0)</x:f>
        <x:v>0.03332065335555633</x:v>
      </x:c>
      <x:c r="U17" s="33" t="n">
        <x:f>SUMIFS('标准化长表'!$N$2:$N$3075,'标准化长表'!$C$2:$C$3075,$C17,'标准化长表'!$I$2:$I$3075,"机关团体新闻出版用地")+SUMIFS('标准化长表'!$N$2:$N$3075,'标准化长表'!$C$2:$C$3075,$C17,'标准化长表'!$I$2:$I$3075,"科教文卫用地")+SUMIFS('标准化长表'!$N$2:$N$3075,'标准化长表'!$C$2:$C$3075,$C17,'标准化长表'!$I$2:$I$3075,"高教用地")</x:f>
        <x:v>1358.3300490000008</x:v>
      </x:c>
      <x:c r="V17" s="40" t="n">
        <x:f>IFERROR(U17/F17,0)</x:f>
        <x:v>0.03878814704591604</x:v>
      </x:c>
      <x:c r="W17" s="40" t="n">
        <x:f>IFERROR((S17+U17+SUMIFS('标准化长表'!$N$2:$N$3075,'标准化长表'!$C$2:$C$3075,$C17,'标准化长表'!$I$2:$I$3075,"公园与绿地")+SUMIFS('标准化长表'!$N$2:$N$3075,'标准化长表'!$C$2:$C$3075,$C17,'标准化长表'!$I$2:$I$3075,"广场用地"))/F17,0)</x:f>
        <x:v>0.08825859477803158</x:v>
      </x:c>
      <x:c r="X17" s="33" t="n">
        <x:f>SUMIFS('标准化长表'!$N$2:$N$3075,'标准化长表'!$C$2:$C$3075,$C17,'标准化长表'!$I$2:$I$3075,"铁路用地")+SUMIFS('标准化长表'!$N$2:$N$3075,'标准化长表'!$C$2:$C$3075,$C17,'标准化长表'!$I$2:$I$3075,"轨道交通用地")+SUMIFS('标准化长表'!$N$2:$N$3075,'标准化长表'!$C$2:$C$3075,$C17,'标准化长表'!$I$2:$I$3075,"机场用地")+SUMIFS('标准化长表'!$N$2:$N$3075,'标准化长表'!$C$2:$C$3075,$C17,'标准化长表'!$I$2:$I$3075,"港口码头用地")+SUMIFS('标准化长表'!$N$2:$N$3075,'标准化长表'!$C$2:$C$3075,$C17,'标准化长表'!$I$2:$I$3075,"交通服务场站用地")+SUMIFS('标准化长表'!$N$2:$N$3075,'标准化长表'!$C$2:$C$3075,$C17,'标准化长表'!$I$2:$I$3075,"物流仓储用地")</x:f>
        <x:v>1175.0680979999995</x:v>
      </x:c>
      <x:c r="Y17" s="40" t="n">
        <x:f>IFERROR(X17/F17,0)</x:f>
        <x:v>0.033554962733647685</x:v>
      </x:c>
      <x:c r="Z17" s="33" t="n">
        <x:f>SUMIFS('标准化长表'!$N$2:$N$3075,'标准化长表'!$C$2:$C$3075,$C17,'标准化长表'!$I$2:$I$3075,"公路用地")</x:f>
        <x:v>3844.0360019999966</x:v>
      </x:c>
      <x:c r="AA17" s="40" t="n">
        <x:f>IFERROR(Z17/F17,0)</x:f>
        <x:v>0.10976936997391785</x:v>
      </x:c>
      <x:c r="AB17" s="33" t="n">
        <x:f>SUMIFS('标准化长表'!$N$2:$N$3075,'标准化长表'!$C$2:$C$3075,$C17,'标准化长表'!$I$2:$I$3075,"港口码头用地")</x:f>
        <x:v>59.852971</x:v>
      </x:c>
      <x:c r="AC17" s="40" t="n">
        <x:f>IFERROR(AB17/F17,0)</x:f>
        <x:v>0.0017091470824724033</x:v>
      </x:c>
      <x:c r="AD17" s="33" t="n">
        <x:f>SUMIFS('标准化长表'!$N$2:$N$3075,'标准化长表'!$C$2:$C$3075,$C17,'标准化长表'!$I$2:$I$3075,"采矿用地")</x:f>
        <x:v>564.5307130000003</x:v>
      </x:c>
      <x:c r="AE17" s="40" t="n">
        <x:f>IFERROR(AD17/F17,0)</x:f>
        <x:v>0.016120603621999255</x:v>
      </x:c>
      <x:c r="AF17" s="33" t="n">
        <x:f>SUMIFS('标准化长表'!$N$2:$N$3075,'标准化长表'!$C$2:$C$3075,$C17,'标准化长表'!$I$2:$I$3075,"公园与绿地")+SUMIFS('标准化长表'!$N$2:$N$3075,'标准化长表'!$C$2:$C$3075,$C17,'标准化长表'!$I$2:$I$3075,"广场用地")</x:f>
        <x:v>565.55295</x:v>
      </x:c>
      <x:c r="AG17" s="40" t="n">
        <x:f>IFERROR(AF17/F17,0)</x:f>
        <x:v>0.016149794376559203</x:v>
      </x:c>
      <x:c r="AH17" s="47" t="n">
        <x:f>IFERROR((IF(SUMIFS('标准化长表'!$N$2:$N$3075,'标准化长表'!$C$2:$C$3075,$C17,'标准化长表'!$J$2:$J$3075,"居住功能",'标准化长表'!$E$2:$E$3075,"建设用地")=0,0,-(SUMIFS('标准化长表'!$N$2:$N$3075,'标准化长表'!$C$2:$C$3075,$C17,'标准化长表'!$J$2:$J$3075,"居住功能",'标准化长表'!$E$2:$E$3075,"建设用地")/F17)*LN(SUMIFS('标准化长表'!$N$2:$N$3075,'标准化长表'!$C$2:$C$3075,$C17,'标准化长表'!$J$2:$J$3075,"居住功能",'标准化长表'!$E$2:$E$3075,"建设用地")/F17))+IF(SUMIFS('标准化长表'!$N$2:$N$3075,'标准化长表'!$C$2:$C$3075,$C17,'标准化长表'!$J$2:$J$3075,"产业功能",'标准化长表'!$E$2:$E$3075,"建设用地")=0,0,-(SUMIFS('标准化长表'!$N$2:$N$3075,'标准化长表'!$C$2:$C$3075,$C17,'标准化长表'!$J$2:$J$3075,"产业功能",'标准化长表'!$E$2:$E$3075,"建设用地")/F17)*LN(SUMIFS('标准化长表'!$N$2:$N$3075,'标准化长表'!$C$2:$C$3075,$C17,'标准化长表'!$J$2:$J$3075,"产业功能",'标准化长表'!$E$2:$E$3075,"建设用地")/F17))+IF(SUMIFS('标准化长表'!$N$2:$N$3075,'标准化长表'!$C$2:$C$3075,$C17,'标准化长表'!$J$2:$J$3075,"商业服务",'标准化长表'!$E$2:$E$3075,"建设用地")=0,0,-(SUMIFS('标准化长表'!$N$2:$N$3075,'标准化长表'!$C$2:$C$3075,$C17,'标准化长表'!$J$2:$J$3075,"商业服务",'标准化长表'!$E$2:$E$3075,"建设用地")/F17)*LN(SUMIFS('标准化长表'!$N$2:$N$3075,'标准化长表'!$C$2:$C$3075,$C17,'标准化长表'!$J$2:$J$3075,"商业服务",'标准化长表'!$E$2:$E$3075,"建设用地")/F17))+IF(SUMIFS('标准化长表'!$N$2:$N$3075,'标准化长表'!$C$2:$C$3075,$C17,'标准化长表'!$J$2:$J$3075,"公共服务",'标准化长表'!$E$2:$E$3075,"建设用地")=0,0,-(SUMIFS('标准化长表'!$N$2:$N$3075,'标准化长表'!$C$2:$C$3075,$C17,'标准化长表'!$J$2:$J$3075,"公共服务",'标准化长表'!$E$2:$E$3075,"建设用地")/F17)*LN(SUMIFS('标准化长表'!$N$2:$N$3075,'标准化长表'!$C$2:$C$3075,$C17,'标准化长表'!$J$2:$J$3075,"公共服务",'标准化长表'!$E$2:$E$3075,"建设用地")/F17))+IF(SUMIFS('标准化长表'!$N$2:$N$3075,'标准化长表'!$C$2:$C$3075,$C17,'标准化长表'!$J$2:$J$3075,"交通门户",'标准化长表'!$E$2:$E$3075,"建设用地")=0,0,-(SUMIFS('标准化长表'!$N$2:$N$3075,'标准化长表'!$C$2:$C$3075,$C17,'标准化长表'!$J$2:$J$3075,"交通门户",'标准化长表'!$E$2:$E$3075,"建设用地")/F17)*LN(SUMIFS('标准化长表'!$N$2:$N$3075,'标准化长表'!$C$2:$C$3075,$C17,'标准化长表'!$J$2:$J$3075,"交通门户",'标准化长表'!$E$2:$E$3075,"建设用地")/F17))+IF(SUMIFS('标准化长表'!$N$2:$N$3075,'标准化长表'!$C$2:$C$3075,$C17,'标准化长表'!$J$2:$J$3075,"公共空间",'标准化长表'!$E$2:$E$3075,"建设用地")=0,0,-(SUMIFS('标准化长表'!$N$2:$N$3075,'标准化长表'!$C$2:$C$3075,$C17,'标准化长表'!$J$2:$J$3075,"公共空间",'标准化长表'!$E$2:$E$3075,"建设用地")/F17)*LN(SUMIFS('标准化长表'!$N$2:$N$3075,'标准化长表'!$C$2:$C$3075,$C17,'标准化长表'!$J$2:$J$3075,"公共空间",'标准化长表'!$E$2:$E$3075,"建设用地")/F17))+IF(SUMIFS('标准化长表'!$N$2:$N$3075,'标准化长表'!$C$2:$C$3075,$C17,'标准化长表'!$J$2:$J$3075,"其他建设",'标准化长表'!$E$2:$E$3075,"建设用地")=0,0,-(SUMIFS('标准化长表'!$N$2:$N$3075,'标准化长表'!$C$2:$C$3075,$C17,'标准化长表'!$J$2:$J$3075,"其他建设",'标准化长表'!$E$2:$E$3075,"建设用地")/F17)*LN(SUMIFS('标准化长表'!$N$2:$N$3075,'标准化长表'!$C$2:$C$3075,$C17,'标准化长表'!$J$2:$J$3075,"其他建设",'标准化长表'!$E$2:$E$3075,"建设用地")/F17)))/LN(7),0)</x:f>
        <x:v>0.7576372807703198</x:v>
      </x:c>
    </x:row>
    <x:row r="18">
      <x:c r="A18" s="21" t="n">
        <x:v>350500</x:v>
      </x:c>
      <x:c r="B18" s="22" t="str">
        <x:v>泉州市</x:v>
      </x:c>
      <x:c r="C18" s="22" t="n">
        <x:v>350583</x:v>
      </x:c>
      <x:c r="D18" s="22" t="str">
        <x:v>南安市</x:v>
      </x:c>
      <x:c r="E18" s="33" t="n">
        <x:f>SUMIFS('标准化长表'!$N$2:$N$3075,'标准化长表'!$C$2:$C$3075,$C18)</x:f>
        <x:v>203099.82234000016</x:v>
      </x:c>
      <x:c r="F18" s="33" t="n">
        <x:f>SUMIFS('标准化长表'!$N$2:$N$3075,'标准化长表'!$C$2:$C$3075,$C18,'标准化长表'!$E$2:$E$3075,"建设用地")</x:f>
        <x:v>39551.37394400006</x:v>
      </x:c>
      <x:c r="G18" s="40" t="n">
        <x:f>IFERROR(F18/E18,0)</x:f>
        <x:v>0.1947385944916727</x:v>
      </x:c>
      <x:c r="H18" s="40" t="n">
        <x:f>IFERROR(SUMIFS('标准化长表'!$N$2:$N$3075,'标准化长表'!$C$2:$C$3075,$C18,'标准化长表'!$E$2:$E$3075,"农用地")/E18,0)</x:f>
        <x:v>0.7668420414237177</x:v>
      </x:c>
      <x:c r="I18" s="40" t="n">
        <x:f>IFERROR(SUMIFS('标准化长表'!$N$2:$N$3075,'标准化长表'!$C$2:$C$3075,$C18,'标准化长表'!$E$2:$E$3075,"未利用地")/E18,0)</x:f>
        <x:v>0.03841936408460966</x:v>
      </x:c>
      <x:c r="J18" s="33" t="n">
        <x:f>SUMIFS('标准化长表'!$N$2:$N$3075,'标准化长表'!$C$2:$C$3075,$C18,'标准化长表'!$I$2:$I$3075,"城镇住宅用地")</x:f>
        <x:v>4049.276036999998</x:v>
      </x:c>
      <x:c r="K18" s="33" t="n">
        <x:f>SUMIFS('标准化长表'!$N$2:$N$3075,'标准化长表'!$C$2:$C$3075,$C18,'标准化长表'!$I$2:$I$3075,"农村宅基地")</x:f>
        <x:v>16686.341934000044</x:v>
      </x:c>
      <x:c r="L18" s="40" t="n">
        <x:f>IFERROR(J18/F18,0)</x:f>
        <x:v>0.10238016112242475</x:v>
      </x:c>
      <x:c r="M18" s="40" t="n">
        <x:f>IFERROR(K18/F18,0)</x:f>
        <x:v>0.42189032314341035</x:v>
      </x:c>
      <x:c r="N18" s="46" t="n">
        <x:f>IFERROR(J18/K18,0)</x:f>
        <x:v>0.24267008629070488</x:v>
      </x:c>
      <x:c r="O18" s="33" t="n">
        <x:f>SUMIFS('标准化长表'!$N$2:$N$3075,'标准化长表'!$C$2:$C$3075,$C18,'标准化长表'!$I$2:$I$3075,"工业用地")</x:f>
        <x:v>7338.291739</x:v>
      </x:c>
      <x:c r="P18" s="33" t="n">
        <x:f>SUMIFS('标准化长表'!$N$2:$N$3075,'标准化长表'!$C$2:$C$3075,$C18,'标准化长表'!$I$2:$I$3075,"物流仓储用地")</x:f>
        <x:v>151.83455199999992</x:v>
      </x:c>
      <x:c r="Q18" s="40" t="n">
        <x:f>IFERROR((O18+P18)/F18,0)</x:f>
        <x:v>0.1893771453200364</x:v>
      </x:c>
      <x:c r="R18" s="40" t="n">
        <x:f>IFERROR((O18+P18)/E18,0)</x:f>
        <x:v>0.03687903910846914</x:v>
      </x:c>
      <x:c r="S18" s="33" t="n">
        <x:f>SUMIFS('标准化长表'!$N$2:$N$3075,'标准化长表'!$C$2:$C$3075,$C18,'标准化长表'!$I$2:$I$3075,"商业服务业设施用地")</x:f>
        <x:v>805.9362350000002</x:v>
      </x:c>
      <x:c r="T18" s="40" t="n">
        <x:f>IFERROR(S18/F18,0)</x:f>
        <x:v>0.020376946604714872</x:v>
      </x:c>
      <x:c r="U18" s="33" t="n">
        <x:f>SUMIFS('标准化长表'!$N$2:$N$3075,'标准化长表'!$C$2:$C$3075,$C18,'标准化长表'!$I$2:$I$3075,"机关团体新闻出版用地")+SUMIFS('标准化长表'!$N$2:$N$3075,'标准化长表'!$C$2:$C$3075,$C18,'标准化长表'!$I$2:$I$3075,"科教文卫用地")+SUMIFS('标准化长表'!$N$2:$N$3075,'标准化长表'!$C$2:$C$3075,$C18,'标准化长表'!$I$2:$I$3075,"高教用地")</x:f>
        <x:v>1059.526821</x:v>
      </x:c>
      <x:c r="V18" s="40" t="n">
        <x:f>IFERROR(U18/F18,0)</x:f>
        <x:v>0.0267886223750447</x:v>
      </x:c>
      <x:c r="W18" s="40" t="n">
        <x:f>IFERROR((S18+U18+SUMIFS('标准化长表'!$N$2:$N$3075,'标准化长表'!$C$2:$C$3075,$C18,'标准化长表'!$I$2:$I$3075,"公园与绿地")+SUMIFS('标准化长表'!$N$2:$N$3075,'标准化长表'!$C$2:$C$3075,$C18,'标准化长表'!$I$2:$I$3075,"广场用地"))/F18,0)</x:f>
        <x:v>0.05097073003972904</x:v>
      </x:c>
      <x:c r="X18" s="33" t="n">
        <x:f>SUMIFS('标准化长表'!$N$2:$N$3075,'标准化长表'!$C$2:$C$3075,$C18,'标准化长表'!$I$2:$I$3075,"铁路用地")+SUMIFS('标准化长表'!$N$2:$N$3075,'标准化长表'!$C$2:$C$3075,$C18,'标准化长表'!$I$2:$I$3075,"轨道交通用地")+SUMIFS('标准化长表'!$N$2:$N$3075,'标准化长表'!$C$2:$C$3075,$C18,'标准化长表'!$I$2:$I$3075,"机场用地")+SUMIFS('标准化长表'!$N$2:$N$3075,'标准化长表'!$C$2:$C$3075,$C18,'标准化长表'!$I$2:$I$3075,"港口码头用地")+SUMIFS('标准化长表'!$N$2:$N$3075,'标准化长表'!$C$2:$C$3075,$C18,'标准化长表'!$I$2:$I$3075,"交通服务场站用地")+SUMIFS('标准化长表'!$N$2:$N$3075,'标准化长表'!$C$2:$C$3075,$C18,'标准化长表'!$I$2:$I$3075,"物流仓储用地")</x:f>
        <x:v>567.2446939999999</x:v>
      </x:c>
      <x:c r="Y18" s="40" t="n">
        <x:f>IFERROR(X18/F18,0)</x:f>
        <x:v>0.014341971907300856</x:v>
      </x:c>
      <x:c r="Z18" s="33" t="n">
        <x:f>SUMIFS('标准化长表'!$N$2:$N$3075,'标准化长表'!$C$2:$C$3075,$C18,'标准化长表'!$I$2:$I$3075,"公路用地")</x:f>
        <x:v>3892.2306229999967</x:v>
      </x:c>
      <x:c r="AA18" s="40" t="n">
        <x:f>IFERROR(Z18/F18,0)</x:f>
        <x:v>0.09840949213321698</x:v>
      </x:c>
      <x:c r="AB18" s="33" t="n">
        <x:f>SUMIFS('标准化长表'!$N$2:$N$3075,'标准化长表'!$C$2:$C$3075,$C18,'标准化长表'!$I$2:$I$3075,"港口码头用地")</x:f>
        <x:v>23.765965</x:v>
      </x:c>
      <x:c r="AC18" s="40" t="n">
        <x:f>IFERROR(AB18/F18,0)</x:f>
        <x:v>0.0006008884807301441</x:v>
      </x:c>
      <x:c r="AD18" s="33" t="n">
        <x:f>SUMIFS('标准化长表'!$N$2:$N$3075,'标准化长表'!$C$2:$C$3075,$C18,'标准化长表'!$I$2:$I$3075,"采矿用地")</x:f>
        <x:v>2392.9313380000003</x:v>
      </x:c>
      <x:c r="AE18" s="40" t="n">
        <x:f>IFERROR(AD18/F18,0)</x:f>
        <x:v>0.06050185112123034</x:v>
      </x:c>
      <x:c r="AF18" s="33" t="n">
        <x:f>SUMIFS('标准化长表'!$N$2:$N$3075,'标准化长表'!$C$2:$C$3075,$C18,'标准化长表'!$I$2:$I$3075,"公园与绿地")+SUMIFS('标准化长表'!$N$2:$N$3075,'标准化长表'!$C$2:$C$3075,$C18,'标准化长表'!$I$2:$I$3075,"广场用地")</x:f>
        <x:v>150.49934800000003</x:v>
      </x:c>
      <x:c r="AG18" s="40" t="n">
        <x:f>IFERROR(AF18/F18,0)</x:f>
        <x:v>0.0038051610599694674</x:v>
      </x:c>
      <x:c r="AH18" s="47" t="n">
        <x:f>IFERROR((IF(SUMIFS('标准化长表'!$N$2:$N$3075,'标准化长表'!$C$2:$C$3075,$C18,'标准化长表'!$J$2:$J$3075,"居住功能",'标准化长表'!$E$2:$E$3075,"建设用地")=0,0,-(SUMIFS('标准化长表'!$N$2:$N$3075,'标准化长表'!$C$2:$C$3075,$C18,'标准化长表'!$J$2:$J$3075,"居住功能",'标准化长表'!$E$2:$E$3075,"建设用地")/F18)*LN(SUMIFS('标准化长表'!$N$2:$N$3075,'标准化长表'!$C$2:$C$3075,$C18,'标准化长表'!$J$2:$J$3075,"居住功能",'标准化长表'!$E$2:$E$3075,"建设用地")/F18))+IF(SUMIFS('标准化长表'!$N$2:$N$3075,'标准化长表'!$C$2:$C$3075,$C18,'标准化长表'!$J$2:$J$3075,"产业功能",'标准化长表'!$E$2:$E$3075,"建设用地")=0,0,-(SUMIFS('标准化长表'!$N$2:$N$3075,'标准化长表'!$C$2:$C$3075,$C18,'标准化长表'!$J$2:$J$3075,"产业功能",'标准化长表'!$E$2:$E$3075,"建设用地")/F18)*LN(SUMIFS('标准化长表'!$N$2:$N$3075,'标准化长表'!$C$2:$C$3075,$C18,'标准化长表'!$J$2:$J$3075,"产业功能",'标准化长表'!$E$2:$E$3075,"建设用地")/F18))+IF(SUMIFS('标准化长表'!$N$2:$N$3075,'标准化长表'!$C$2:$C$3075,$C18,'标准化长表'!$J$2:$J$3075,"商业服务",'标准化长表'!$E$2:$E$3075,"建设用地")=0,0,-(SUMIFS('标准化长表'!$N$2:$N$3075,'标准化长表'!$C$2:$C$3075,$C18,'标准化长表'!$J$2:$J$3075,"商业服务",'标准化长表'!$E$2:$E$3075,"建设用地")/F18)*LN(SUMIFS('标准化长表'!$N$2:$N$3075,'标准化长表'!$C$2:$C$3075,$C18,'标准化长表'!$J$2:$J$3075,"商业服务",'标准化长表'!$E$2:$E$3075,"建设用地")/F18))+IF(SUMIFS('标准化长表'!$N$2:$N$3075,'标准化长表'!$C$2:$C$3075,$C18,'标准化长表'!$J$2:$J$3075,"公共服务",'标准化长表'!$E$2:$E$3075,"建设用地")=0,0,-(SUMIFS('标准化长表'!$N$2:$N$3075,'标准化长表'!$C$2:$C$3075,$C18,'标准化长表'!$J$2:$J$3075,"公共服务",'标准化长表'!$E$2:$E$3075,"建设用地")/F18)*LN(SUMIFS('标准化长表'!$N$2:$N$3075,'标准化长表'!$C$2:$C$3075,$C18,'标准化长表'!$J$2:$J$3075,"公共服务",'标准化长表'!$E$2:$E$3075,"建设用地")/F18))+IF(SUMIFS('标准化长表'!$N$2:$N$3075,'标准化长表'!$C$2:$C$3075,$C18,'标准化长表'!$J$2:$J$3075,"交通门户",'标准化长表'!$E$2:$E$3075,"建设用地")=0,0,-(SUMIFS('标准化长表'!$N$2:$N$3075,'标准化长表'!$C$2:$C$3075,$C18,'标准化长表'!$J$2:$J$3075,"交通门户",'标准化长表'!$E$2:$E$3075,"建设用地")/F18)*LN(SUMIFS('标准化长表'!$N$2:$N$3075,'标准化长表'!$C$2:$C$3075,$C18,'标准化长表'!$J$2:$J$3075,"交通门户",'标准化长表'!$E$2:$E$3075,"建设用地")/F18))+IF(SUMIFS('标准化长表'!$N$2:$N$3075,'标准化长表'!$C$2:$C$3075,$C18,'标准化长表'!$J$2:$J$3075,"公共空间",'标准化长表'!$E$2:$E$3075,"建设用地")=0,0,-(SUMIFS('标准化长表'!$N$2:$N$3075,'标准化长表'!$C$2:$C$3075,$C18,'标准化长表'!$J$2:$J$3075,"公共空间",'标准化长表'!$E$2:$E$3075,"建设用地")/F18)*LN(SUMIFS('标准化长表'!$N$2:$N$3075,'标准化长表'!$C$2:$C$3075,$C18,'标准化长表'!$J$2:$J$3075,"公共空间",'标准化长表'!$E$2:$E$3075,"建设用地")/F18))+IF(SUMIFS('标准化长表'!$N$2:$N$3075,'标准化长表'!$C$2:$C$3075,$C18,'标准化长表'!$J$2:$J$3075,"其他建设",'标准化长表'!$E$2:$E$3075,"建设用地")=0,0,-(SUMIFS('标准化长表'!$N$2:$N$3075,'标准化长表'!$C$2:$C$3075,$C18,'标准化长表'!$J$2:$J$3075,"其他建设",'标准化长表'!$E$2:$E$3075,"建设用地")/F18)*LN(SUMIFS('标准化长表'!$N$2:$N$3075,'标准化长表'!$C$2:$C$3075,$C18,'标准化长表'!$J$2:$J$3075,"其他建设",'标准化长表'!$E$2:$E$3075,"建设用地")/F18)))/LN(7),0)</x:f>
        <x:v>0.6629319037562291</x:v>
      </x:c>
    </x:row>
    <x:row r="19">
      <x:c r="A19" s="21" t="n">
        <x:v>350600</x:v>
      </x:c>
      <x:c r="B19" s="22" t="str">
        <x:v>漳州市</x:v>
      </x:c>
      <x:c r="C19" s="22" t="n">
        <x:v>350602</x:v>
      </x:c>
      <x:c r="D19" s="22" t="str">
        <x:v>芗城区</x:v>
      </x:c>
      <x:c r="E19" s="33" t="n">
        <x:f>SUMIFS('标准化长表'!$N$2:$N$3075,'标准化长表'!$C$2:$C$3075,$C19)</x:f>
        <x:v>25086.203909999997</x:v>
      </x:c>
      <x:c r="F19" s="33" t="n">
        <x:f>SUMIFS('标准化长表'!$N$2:$N$3075,'标准化长表'!$C$2:$C$3075,$C19,'标准化长表'!$E$2:$E$3075,"建设用地")</x:f>
        <x:v>7397.810839999998</x:v>
      </x:c>
      <x:c r="G19" s="40" t="n">
        <x:f>IFERROR(F19/E19,0)</x:f>
        <x:v>0.29489558749265543</x:v>
      </x:c>
      <x:c r="H19" s="40" t="n">
        <x:f>IFERROR(SUMIFS('标准化长表'!$N$2:$N$3075,'标准化长表'!$C$2:$C$3075,$C19,'标准化长表'!$E$2:$E$3075,"农用地")/E19,0)</x:f>
        <x:v>0.649884329629528</x:v>
      </x:c>
      <x:c r="I19" s="40" t="n">
        <x:f>IFERROR(SUMIFS('标准化长表'!$N$2:$N$3075,'标准化长表'!$C$2:$C$3075,$C19,'标准化长表'!$E$2:$E$3075,"未利用地")/E19,0)</x:f>
        <x:v>0.055220082877816365</x:v>
      </x:c>
      <x:c r="J19" s="33" t="n">
        <x:f>SUMIFS('标准化长表'!$N$2:$N$3075,'标准化长表'!$C$2:$C$3075,$C19,'标准化长表'!$I$2:$I$3075,"城镇住宅用地")</x:f>
        <x:v>837.5638610000001</x:v>
      </x:c>
      <x:c r="K19" s="33" t="n">
        <x:f>SUMIFS('标准化长表'!$N$2:$N$3075,'标准化长表'!$C$2:$C$3075,$C19,'标准化长表'!$I$2:$I$3075,"农村宅基地")</x:f>
        <x:v>1804.7897049999997</x:v>
      </x:c>
      <x:c r="L19" s="40" t="n">
        <x:f>IFERROR(J19/F19,0)</x:f>
        <x:v>0.11321779903742446</x:v>
      </x:c>
      <x:c r="M19" s="40" t="n">
        <x:f>IFERROR(K19/F19,0)</x:f>
        <x:v>0.24396267274657701</x:v>
      </x:c>
      <x:c r="N19" s="46" t="n">
        <x:f>IFERROR(J19/K19,0)</x:f>
        <x:v>0.4640783680667107</x:v>
      </x:c>
      <x:c r="O19" s="33" t="n">
        <x:f>SUMIFS('标准化长表'!$N$2:$N$3075,'标准化长表'!$C$2:$C$3075,$C19,'标准化长表'!$I$2:$I$3075,"工业用地")</x:f>
        <x:v>1738.9776289999986</x:v>
      </x:c>
      <x:c r="P19" s="33" t="n">
        <x:f>SUMIFS('标准化长表'!$N$2:$N$3075,'标准化长表'!$C$2:$C$3075,$C19,'标准化长表'!$I$2:$I$3075,"物流仓储用地")</x:f>
        <x:v>102.030618</x:v>
      </x:c>
      <x:c r="Q19" s="40" t="n">
        <x:f>IFERROR((O19+P19)/F19,0)</x:f>
        <x:v>0.24885851866415107</x:v>
      </x:c>
      <x:c r="R19" s="40" t="n">
        <x:f>IFERROR((O19+P19)/E19,0)</x:f>
        <x:v>0.07338727906401678</x:v>
      </x:c>
      <x:c r="S19" s="33" t="n">
        <x:f>SUMIFS('标准化长表'!$N$2:$N$3075,'标准化长表'!$C$2:$C$3075,$C19,'标准化长表'!$I$2:$I$3075,"商业服务业设施用地")</x:f>
        <x:v>302.011911</x:v>
      </x:c>
      <x:c r="T19" s="40" t="n">
        <x:f>IFERROR(S19/F19,0)</x:f>
        <x:v>0.04082449761583794</x:v>
      </x:c>
      <x:c r="U19" s="33" t="n">
        <x:f>SUMIFS('标准化长表'!$N$2:$N$3075,'标准化长表'!$C$2:$C$3075,$C19,'标准化长表'!$I$2:$I$3075,"机关团体新闻出版用地")+SUMIFS('标准化长表'!$N$2:$N$3075,'标准化长表'!$C$2:$C$3075,$C19,'标准化长表'!$I$2:$I$3075,"科教文卫用地")+SUMIFS('标准化长表'!$N$2:$N$3075,'标准化长表'!$C$2:$C$3075,$C19,'标准化长表'!$I$2:$I$3075,"高教用地")</x:f>
        <x:v>480.60162</x:v>
      </x:c>
      <x:c r="V19" s="40" t="n">
        <x:f>IFERROR(U19/F19,0)</x:f>
        <x:v>0.06496538373235833</x:v>
      </x:c>
      <x:c r="W19" s="40" t="n">
        <x:f>IFERROR((S19+U19+SUMIFS('标准化长表'!$N$2:$N$3075,'标准化长表'!$C$2:$C$3075,$C19,'标准化长表'!$I$2:$I$3075,"公园与绿地")+SUMIFS('标准化长表'!$N$2:$N$3075,'标准化长表'!$C$2:$C$3075,$C19,'标准化长表'!$I$2:$I$3075,"广场用地"))/F19,0)</x:f>
        <x:v>0.12707243025424533</x:v>
      </x:c>
      <x:c r="X19" s="33" t="n">
        <x:f>SUMIFS('标准化长表'!$N$2:$N$3075,'标准化长表'!$C$2:$C$3075,$C19,'标准化长表'!$I$2:$I$3075,"铁路用地")+SUMIFS('标准化长表'!$N$2:$N$3075,'标准化长表'!$C$2:$C$3075,$C19,'标准化长表'!$I$2:$I$3075,"轨道交通用地")+SUMIFS('标准化长表'!$N$2:$N$3075,'标准化长表'!$C$2:$C$3075,$C19,'标准化长表'!$I$2:$I$3075,"机场用地")+SUMIFS('标准化长表'!$N$2:$N$3075,'标准化长表'!$C$2:$C$3075,$C19,'标准化长表'!$I$2:$I$3075,"港口码头用地")+SUMIFS('标准化长表'!$N$2:$N$3075,'标准化长表'!$C$2:$C$3075,$C19,'标准化长表'!$I$2:$I$3075,"交通服务场站用地")+SUMIFS('标准化长表'!$N$2:$N$3075,'标准化长表'!$C$2:$C$3075,$C19,'标准化长表'!$I$2:$I$3075,"物流仓储用地")</x:f>
        <x:v>203.234195</x:v>
      </x:c>
      <x:c r="Y19" s="40" t="n">
        <x:f>IFERROR(X19/F19,0)</x:f>
        <x:v>0.02747220757539673</x:v>
      </x:c>
      <x:c r="Z19" s="33" t="n">
        <x:f>SUMIFS('标准化长表'!$N$2:$N$3075,'标准化长表'!$C$2:$C$3075,$C19,'标准化长表'!$I$2:$I$3075,"公路用地")</x:f>
        <x:v>834.0306660000006</x:v>
      </x:c>
      <x:c r="AA19" s="40" t="n">
        <x:f>IFERROR(Z19/F19,0)</x:f>
        <x:v>0.11274019896404931</x:v>
      </x:c>
      <x:c r="AB19" s="33" t="n">
        <x:f>SUMIFS('标准化长表'!$N$2:$N$3075,'标准化长表'!$C$2:$C$3075,$C19,'标准化长表'!$I$2:$I$3075,"港口码头用地")</x:f>
        <x:v>0.070656</x:v>
      </x:c>
      <x:c r="AC19" s="40" t="n">
        <x:f>IFERROR(AB19/F19,0)</x:f>
        <x:v>0.000009550933584022272</x:v>
      </x:c>
      <x:c r="AD19" s="33" t="n">
        <x:f>SUMIFS('标准化长表'!$N$2:$N$3075,'标准化长表'!$C$2:$C$3075,$C19,'标准化长表'!$I$2:$I$3075,"采矿用地")</x:f>
        <x:v>72.288452</x:v>
      </x:c>
      <x:c r="AE19" s="40" t="n">
        <x:f>IFERROR(AD19/F19,0)</x:f>
        <x:v>0.009771600486070285</x:v>
      </x:c>
      <x:c r="AF19" s="33" t="n">
        <x:f>SUMIFS('标准化长表'!$N$2:$N$3075,'标准化长表'!$C$2:$C$3075,$C19,'标准化长表'!$I$2:$I$3075,"公园与绿地")+SUMIFS('标准化长表'!$N$2:$N$3075,'标准化长表'!$C$2:$C$3075,$C19,'标准化长表'!$I$2:$I$3075,"广场用地")</x:f>
        <x:v>157.44427100000001</x:v>
      </x:c>
      <x:c r="AG19" s="40" t="n">
        <x:f>IFERROR(AF19/F19,0)</x:f>
        <x:v>0.021282548906049085</x:v>
      </x:c>
      <x:c r="AH19" s="47" t="n">
        <x:f>IFERROR((IF(SUMIFS('标准化长表'!$N$2:$N$3075,'标准化长表'!$C$2:$C$3075,$C19,'标准化长表'!$J$2:$J$3075,"居住功能",'标准化长表'!$E$2:$E$3075,"建设用地")=0,0,-(SUMIFS('标准化长表'!$N$2:$N$3075,'标准化长表'!$C$2:$C$3075,$C19,'标准化长表'!$J$2:$J$3075,"居住功能",'标准化长表'!$E$2:$E$3075,"建设用地")/F19)*LN(SUMIFS('标准化长表'!$N$2:$N$3075,'标准化长表'!$C$2:$C$3075,$C19,'标准化长表'!$J$2:$J$3075,"居住功能",'标准化长表'!$E$2:$E$3075,"建设用地")/F19))+IF(SUMIFS('标准化长表'!$N$2:$N$3075,'标准化长表'!$C$2:$C$3075,$C19,'标准化长表'!$J$2:$J$3075,"产业功能",'标准化长表'!$E$2:$E$3075,"建设用地")=0,0,-(SUMIFS('标准化长表'!$N$2:$N$3075,'标准化长表'!$C$2:$C$3075,$C19,'标准化长表'!$J$2:$J$3075,"产业功能",'标准化长表'!$E$2:$E$3075,"建设用地")/F19)*LN(SUMIFS('标准化长表'!$N$2:$N$3075,'标准化长表'!$C$2:$C$3075,$C19,'标准化长表'!$J$2:$J$3075,"产业功能",'标准化长表'!$E$2:$E$3075,"建设用地")/F19))+IF(SUMIFS('标准化长表'!$N$2:$N$3075,'标准化长表'!$C$2:$C$3075,$C19,'标准化长表'!$J$2:$J$3075,"商业服务",'标准化长表'!$E$2:$E$3075,"建设用地")=0,0,-(SUMIFS('标准化长表'!$N$2:$N$3075,'标准化长表'!$C$2:$C$3075,$C19,'标准化长表'!$J$2:$J$3075,"商业服务",'标准化长表'!$E$2:$E$3075,"建设用地")/F19)*LN(SUMIFS('标准化长表'!$N$2:$N$3075,'标准化长表'!$C$2:$C$3075,$C19,'标准化长表'!$J$2:$J$3075,"商业服务",'标准化长表'!$E$2:$E$3075,"建设用地")/F19))+IF(SUMIFS('标准化长表'!$N$2:$N$3075,'标准化长表'!$C$2:$C$3075,$C19,'标准化长表'!$J$2:$J$3075,"公共服务",'标准化长表'!$E$2:$E$3075,"建设用地")=0,0,-(SUMIFS('标准化长表'!$N$2:$N$3075,'标准化长表'!$C$2:$C$3075,$C19,'标准化长表'!$J$2:$J$3075,"公共服务",'标准化长表'!$E$2:$E$3075,"建设用地")/F19)*LN(SUMIFS('标准化长表'!$N$2:$N$3075,'标准化长表'!$C$2:$C$3075,$C19,'标准化长表'!$J$2:$J$3075,"公共服务",'标准化长表'!$E$2:$E$3075,"建设用地")/F19))+IF(SUMIFS('标准化长表'!$N$2:$N$3075,'标准化长表'!$C$2:$C$3075,$C19,'标准化长表'!$J$2:$J$3075,"交通门户",'标准化长表'!$E$2:$E$3075,"建设用地")=0,0,-(SUMIFS('标准化长表'!$N$2:$N$3075,'标准化长表'!$C$2:$C$3075,$C19,'标准化长表'!$J$2:$J$3075,"交通门户",'标准化长表'!$E$2:$E$3075,"建设用地")/F19)*LN(SUMIFS('标准化长表'!$N$2:$N$3075,'标准化长表'!$C$2:$C$3075,$C19,'标准化长表'!$J$2:$J$3075,"交通门户",'标准化长表'!$E$2:$E$3075,"建设用地")/F19))+IF(SUMIFS('标准化长表'!$N$2:$N$3075,'标准化长表'!$C$2:$C$3075,$C19,'标准化长表'!$J$2:$J$3075,"公共空间",'标准化长表'!$E$2:$E$3075,"建设用地")=0,0,-(SUMIFS('标准化长表'!$N$2:$N$3075,'标准化长表'!$C$2:$C$3075,$C19,'标准化长表'!$J$2:$J$3075,"公共空间",'标准化长表'!$E$2:$E$3075,"建设用地")/F19)*LN(SUMIFS('标准化长表'!$N$2:$N$3075,'标准化长表'!$C$2:$C$3075,$C19,'标准化长表'!$J$2:$J$3075,"公共空间",'标准化长表'!$E$2:$E$3075,"建设用地")/F19))+IF(SUMIFS('标准化长表'!$N$2:$N$3075,'标准化长表'!$C$2:$C$3075,$C19,'标准化长表'!$J$2:$J$3075,"其他建设",'标准化长表'!$E$2:$E$3075,"建设用地")=0,0,-(SUMIFS('标准化长表'!$N$2:$N$3075,'标准化长表'!$C$2:$C$3075,$C19,'标准化长表'!$J$2:$J$3075,"其他建设",'标准化长表'!$E$2:$E$3075,"建设用地")/F19)*LN(SUMIFS('标准化长表'!$N$2:$N$3075,'标准化长表'!$C$2:$C$3075,$C19,'标准化长表'!$J$2:$J$3075,"其他建设",'标准化长表'!$E$2:$E$3075,"建设用地")/F19)))/LN(7),0)</x:f>
        <x:v>0.8311667557308018</x:v>
      </x:c>
    </x:row>
    <x:row r="20">
      <x:c r="A20" s="21" t="n">
        <x:v>350600</x:v>
      </x:c>
      <x:c r="B20" s="22" t="str">
        <x:v>漳州市</x:v>
      </x:c>
      <x:c r="C20" s="22" t="n">
        <x:v>350603</x:v>
      </x:c>
      <x:c r="D20" s="22" t="str">
        <x:v>龙文区</x:v>
      </x:c>
      <x:c r="E20" s="33" t="n">
        <x:f>SUMIFS('标准化长表'!$N$2:$N$3075,'标准化长表'!$C$2:$C$3075,$C20)</x:f>
        <x:v>12581.918939999987</x:v>
      </x:c>
      <x:c r="F20" s="33" t="n">
        <x:f>SUMIFS('标准化长表'!$N$2:$N$3075,'标准化长表'!$C$2:$C$3075,$C20,'标准化长表'!$E$2:$E$3075,"建设用地")</x:f>
        <x:v>5196.536611999999</x:v>
      </x:c>
      <x:c r="G20" s="40" t="n">
        <x:f>IFERROR(F20/E20,0)</x:f>
        <x:v>0.4130162208786257</x:v>
      </x:c>
      <x:c r="H20" s="40" t="n">
        <x:f>IFERROR(SUMIFS('标准化长表'!$N$2:$N$3075,'标准化长表'!$C$2:$C$3075,$C20,'标准化长表'!$E$2:$E$3075,"农用地")/E20,0)</x:f>
        <x:v>0.49395804667296683</x:v>
      </x:c>
      <x:c r="I20" s="40" t="n">
        <x:f>IFERROR(SUMIFS('标准化长表'!$N$2:$N$3075,'标准化长表'!$C$2:$C$3075,$C20,'标准化长表'!$E$2:$E$3075,"未利用地")/E20,0)</x:f>
        <x:v>0.09302573244840835</x:v>
      </x:c>
      <x:c r="J20" s="33" t="n">
        <x:f>SUMIFS('标准化长表'!$N$2:$N$3075,'标准化长表'!$C$2:$C$3075,$C20,'标准化长表'!$I$2:$I$3075,"城镇住宅用地")</x:f>
        <x:v>964.8673819999998</x:v>
      </x:c>
      <x:c r="K20" s="33" t="n">
        <x:f>SUMIFS('标准化长表'!$N$2:$N$3075,'标准化长表'!$C$2:$C$3075,$C20,'标准化长表'!$I$2:$I$3075,"农村宅基地")</x:f>
        <x:v>1106.5954380000005</x:v>
      </x:c>
      <x:c r="L20" s="40" t="n">
        <x:f>IFERROR(J20/F20,0)</x:f>
        <x:v>0.18567508593548615</x:v>
      </x:c>
      <x:c r="M20" s="40" t="n">
        <x:f>IFERROR(K20/F20,0)</x:f>
        <x:v>0.21294864649748008</x:v>
      </x:c>
      <x:c r="N20" s="46" t="n">
        <x:f>IFERROR(J20/K20,0)</x:f>
        <x:v>0.871924236145278</x:v>
      </x:c>
      <x:c r="O20" s="33" t="n">
        <x:f>SUMIFS('标准化长表'!$N$2:$N$3075,'标准化长表'!$C$2:$C$3075,$C20,'标准化长表'!$I$2:$I$3075,"工业用地")</x:f>
        <x:v>971.562847</x:v>
      </x:c>
      <x:c r="P20" s="33" t="n">
        <x:f>SUMIFS('标准化长表'!$N$2:$N$3075,'标准化长表'!$C$2:$C$3075,$C20,'标准化长表'!$I$2:$I$3075,"物流仓储用地")</x:f>
        <x:v>105.43694200000002</x:v>
      </x:c>
      <x:c r="Q20" s="40" t="n">
        <x:f>IFERROR((O20+P20)/F20,0)</x:f>
        <x:v>0.20725338228406967</x:v>
      </x:c>
      <x:c r="R20" s="40" t="n">
        <x:f>IFERROR((O20+P20)/E20,0)</x:f>
        <x:v>0.08559900871527958</x:v>
      </x:c>
      <x:c r="S20" s="33" t="n">
        <x:f>SUMIFS('标准化长表'!$N$2:$N$3075,'标准化长表'!$C$2:$C$3075,$C20,'标准化长表'!$I$2:$I$3075,"商业服务业设施用地")</x:f>
        <x:v>301.294161</x:v>
      </x:c>
      <x:c r="T20" s="40" t="n">
        <x:f>IFERROR(S20/F20,0)</x:f>
        <x:v>0.057979801451651936</x:v>
      </x:c>
      <x:c r="U20" s="33" t="n">
        <x:f>SUMIFS('标准化长表'!$N$2:$N$3075,'标准化长表'!$C$2:$C$3075,$C20,'标准化长表'!$I$2:$I$3075,"机关团体新闻出版用地")+SUMIFS('标准化长表'!$N$2:$N$3075,'标准化长表'!$C$2:$C$3075,$C20,'标准化长表'!$I$2:$I$3075,"科教文卫用地")+SUMIFS('标准化长表'!$N$2:$N$3075,'标准化长表'!$C$2:$C$3075,$C20,'标准化长表'!$I$2:$I$3075,"高教用地")</x:f>
        <x:v>222.824344</x:v>
      </x:c>
      <x:c r="V20" s="40" t="n">
        <x:f>IFERROR(U20/F20,0)</x:f>
        <x:v>0.04287939461168181</x:v>
      </x:c>
      <x:c r="W20" s="40" t="n">
        <x:f>IFERROR((S20+U20+SUMIFS('标准化长表'!$N$2:$N$3075,'标准化长表'!$C$2:$C$3075,$C20,'标准化长表'!$I$2:$I$3075,"公园与绿地")+SUMIFS('标准化长表'!$N$2:$N$3075,'标准化长表'!$C$2:$C$3075,$C20,'标准化长表'!$I$2:$I$3075,"广场用地"))/F20,0)</x:f>
        <x:v>0.15789321047123608</x:v>
      </x:c>
      <x:c r="X20" s="33" t="n">
        <x:f>SUMIFS('标准化长表'!$N$2:$N$3075,'标准化长表'!$C$2:$C$3075,$C20,'标准化长表'!$I$2:$I$3075,"铁路用地")+SUMIFS('标准化长表'!$N$2:$N$3075,'标准化长表'!$C$2:$C$3075,$C20,'标准化长表'!$I$2:$I$3075,"轨道交通用地")+SUMIFS('标准化长表'!$N$2:$N$3075,'标准化长表'!$C$2:$C$3075,$C20,'标准化长表'!$I$2:$I$3075,"机场用地")+SUMIFS('标准化长表'!$N$2:$N$3075,'标准化长表'!$C$2:$C$3075,$C20,'标准化长表'!$I$2:$I$3075,"港口码头用地")+SUMIFS('标准化长表'!$N$2:$N$3075,'标准化长表'!$C$2:$C$3075,$C20,'标准化长表'!$I$2:$I$3075,"交通服务场站用地")+SUMIFS('标准化长表'!$N$2:$N$3075,'标准化长表'!$C$2:$C$3075,$C20,'标准化长表'!$I$2:$I$3075,"物流仓储用地")</x:f>
        <x:v>193.309917</x:v>
      </x:c>
      <x:c r="Y20" s="40" t="n">
        <x:f>IFERROR(X20/F20,0)</x:f>
        <x:v>0.03719976042381823</x:v>
      </x:c>
      <x:c r="Z20" s="33" t="n">
        <x:f>SUMIFS('标准化长表'!$N$2:$N$3075,'标准化长表'!$C$2:$C$3075,$C20,'标准化长表'!$I$2:$I$3075,"公路用地")</x:f>
        <x:v>472.98130399999997</x:v>
      </x:c>
      <x:c r="AA20" s="40" t="n">
        <x:f>IFERROR(Z20/F20,0)</x:f>
        <x:v>0.0910185647317056</x:v>
      </x:c>
      <x:c r="AB20" s="33" t="n">
        <x:f>SUMIFS('标准化长表'!$N$2:$N$3075,'标准化长表'!$C$2:$C$3075,$C20,'标准化长表'!$I$2:$I$3075,"港口码头用地")</x:f>
        <x:v>0.094456</x:v>
      </x:c>
      <x:c r="AC20" s="40" t="n">
        <x:f>IFERROR(AB20/F20,0)</x:f>
        <x:v>0.000018176721738451596</x:v>
      </x:c>
      <x:c r="AD20" s="33" t="n">
        <x:f>SUMIFS('标准化长表'!$N$2:$N$3075,'标准化长表'!$C$2:$C$3075,$C20,'标准化长表'!$I$2:$I$3075,"采矿用地")</x:f>
        <x:v>46.037685999999994</x:v>
      </x:c>
      <x:c r="AE20" s="40" t="n">
        <x:f>IFERROR(AD20/F20,0)</x:f>
        <x:v>0.008859301769122222</x:v>
      </x:c>
      <x:c r="AF20" s="33" t="n">
        <x:f>SUMIFS('标准化长表'!$N$2:$N$3075,'标准化长表'!$C$2:$C$3075,$C20,'标准化长表'!$I$2:$I$3075,"公园与绿地")+SUMIFS('标准化长表'!$N$2:$N$3075,'标准化长表'!$C$2:$C$3075,$C20,'标准化长表'!$I$2:$I$3075,"广场用地")</x:f>
        <x:v>296.379344</x:v>
      </x:c>
      <x:c r="AG20" s="40" t="n">
        <x:f>IFERROR(AF20/F20,0)</x:f>
        <x:v>0.05703401440790235</x:v>
      </x:c>
      <x:c r="AH20" s="47" t="n">
        <x:f>IFERROR((IF(SUMIFS('标准化长表'!$N$2:$N$3075,'标准化长表'!$C$2:$C$3075,$C20,'标准化长表'!$J$2:$J$3075,"居住功能",'标准化长表'!$E$2:$E$3075,"建设用地")=0,0,-(SUMIFS('标准化长表'!$N$2:$N$3075,'标准化长表'!$C$2:$C$3075,$C20,'标准化长表'!$J$2:$J$3075,"居住功能",'标准化长表'!$E$2:$E$3075,"建设用地")/F20)*LN(SUMIFS('标准化长表'!$N$2:$N$3075,'标准化长表'!$C$2:$C$3075,$C20,'标准化长表'!$J$2:$J$3075,"居住功能",'标准化长表'!$E$2:$E$3075,"建设用地")/F20))+IF(SUMIFS('标准化长表'!$N$2:$N$3075,'标准化长表'!$C$2:$C$3075,$C20,'标准化长表'!$J$2:$J$3075,"产业功能",'标准化长表'!$E$2:$E$3075,"建设用地")=0,0,-(SUMIFS('标准化长表'!$N$2:$N$3075,'标准化长表'!$C$2:$C$3075,$C20,'标准化长表'!$J$2:$J$3075,"产业功能",'标准化长表'!$E$2:$E$3075,"建设用地")/F20)*LN(SUMIFS('标准化长表'!$N$2:$N$3075,'标准化长表'!$C$2:$C$3075,$C20,'标准化长表'!$J$2:$J$3075,"产业功能",'标准化长表'!$E$2:$E$3075,"建设用地")/F20))+IF(SUMIFS('标准化长表'!$N$2:$N$3075,'标准化长表'!$C$2:$C$3075,$C20,'标准化长表'!$J$2:$J$3075,"商业服务",'标准化长表'!$E$2:$E$3075,"建设用地")=0,0,-(SUMIFS('标准化长表'!$N$2:$N$3075,'标准化长表'!$C$2:$C$3075,$C20,'标准化长表'!$J$2:$J$3075,"商业服务",'标准化长表'!$E$2:$E$3075,"建设用地")/F20)*LN(SUMIFS('标准化长表'!$N$2:$N$3075,'标准化长表'!$C$2:$C$3075,$C20,'标准化长表'!$J$2:$J$3075,"商业服务",'标准化长表'!$E$2:$E$3075,"建设用地")/F20))+IF(SUMIFS('标准化长表'!$N$2:$N$3075,'标准化长表'!$C$2:$C$3075,$C20,'标准化长表'!$J$2:$J$3075,"公共服务",'标准化长表'!$E$2:$E$3075,"建设用地")=0,0,-(SUMIFS('标准化长表'!$N$2:$N$3075,'标准化长表'!$C$2:$C$3075,$C20,'标准化长表'!$J$2:$J$3075,"公共服务",'标准化长表'!$E$2:$E$3075,"建设用地")/F20)*LN(SUMIFS('标准化长表'!$N$2:$N$3075,'标准化长表'!$C$2:$C$3075,$C20,'标准化长表'!$J$2:$J$3075,"公共服务",'标准化长表'!$E$2:$E$3075,"建设用地")/F20))+IF(SUMIFS('标准化长表'!$N$2:$N$3075,'标准化长表'!$C$2:$C$3075,$C20,'标准化长表'!$J$2:$J$3075,"交通门户",'标准化长表'!$E$2:$E$3075,"建设用地")=0,0,-(SUMIFS('标准化长表'!$N$2:$N$3075,'标准化长表'!$C$2:$C$3075,$C20,'标准化长表'!$J$2:$J$3075,"交通门户",'标准化长表'!$E$2:$E$3075,"建设用地")/F20)*LN(SUMIFS('标准化长表'!$N$2:$N$3075,'标准化长表'!$C$2:$C$3075,$C20,'标准化长表'!$J$2:$J$3075,"交通门户",'标准化长表'!$E$2:$E$3075,"建设用地")/F20))+IF(SUMIFS('标准化长表'!$N$2:$N$3075,'标准化长表'!$C$2:$C$3075,$C20,'标准化长表'!$J$2:$J$3075,"公共空间",'标准化长表'!$E$2:$E$3075,"建设用地")=0,0,-(SUMIFS('标准化长表'!$N$2:$N$3075,'标准化长表'!$C$2:$C$3075,$C20,'标准化长表'!$J$2:$J$3075,"公共空间",'标准化长表'!$E$2:$E$3075,"建设用地")/F20)*LN(SUMIFS('标准化长表'!$N$2:$N$3075,'标准化长表'!$C$2:$C$3075,$C20,'标准化长表'!$J$2:$J$3075,"公共空间",'标准化长表'!$E$2:$E$3075,"建设用地")/F20))+IF(SUMIFS('标准化长表'!$N$2:$N$3075,'标准化长表'!$C$2:$C$3075,$C20,'标准化长表'!$J$2:$J$3075,"其他建设",'标准化长表'!$E$2:$E$3075,"建设用地")=0,0,-(SUMIFS('标准化长表'!$N$2:$N$3075,'标准化长表'!$C$2:$C$3075,$C20,'标准化长表'!$J$2:$J$3075,"其他建设",'标准化长表'!$E$2:$E$3075,"建设用地")/F20)*LN(SUMIFS('标准化长表'!$N$2:$N$3075,'标准化长表'!$C$2:$C$3075,$C20,'标准化长表'!$J$2:$J$3075,"其他建设",'标准化长表'!$E$2:$E$3075,"建设用地")/F20)))/LN(7),0)</x:f>
        <x:v>0.8191718268179006</x:v>
      </x:c>
    </x:row>
    <x:row r="21">
      <x:c r="A21" s="21" t="n">
        <x:v>350600</x:v>
      </x:c>
      <x:c r="B21" s="22" t="str">
        <x:v>漳州市</x:v>
      </x:c>
      <x:c r="C21" s="22" t="n">
        <x:v>350622</x:v>
      </x:c>
      <x:c r="D21" s="22" t="str">
        <x:v>云霄县</x:v>
      </x:c>
      <x:c r="E21" s="33" t="n">
        <x:f>SUMIFS('标准化长表'!$N$2:$N$3075,'标准化长表'!$C$2:$C$3075,$C21)</x:f>
        <x:v>105308.33556999992</x:v>
      </x:c>
      <x:c r="F21" s="33" t="n">
        <x:f>SUMIFS('标准化长表'!$N$2:$N$3075,'标准化长表'!$C$2:$C$3075,$C21,'标准化长表'!$E$2:$E$3075,"建设用地")</x:f>
        <x:v>6881.244743000003</x:v>
      </x:c>
      <x:c r="G21" s="40" t="n">
        <x:f>IFERROR(F21/E21,0)</x:f>
        <x:v>0.0653437802976759</x:v>
      </x:c>
      <x:c r="H21" s="40" t="n">
        <x:f>IFERROR(SUMIFS('标准化长表'!$N$2:$N$3075,'标准化长表'!$C$2:$C$3075,$C21,'标准化长表'!$E$2:$E$3075,"农用地")/E21,0)</x:f>
        <x:v>0.8803151524446795</x:v>
      </x:c>
      <x:c r="I21" s="40" t="n">
        <x:f>IFERROR(SUMIFS('标准化长表'!$N$2:$N$3075,'标准化长表'!$C$2:$C$3075,$C21,'标准化长表'!$E$2:$E$3075,"未利用地")/E21,0)</x:f>
        <x:v>0.05434106725764488</x:v>
      </x:c>
      <x:c r="J21" s="33" t="n">
        <x:f>SUMIFS('标准化长表'!$N$2:$N$3075,'标准化长表'!$C$2:$C$3075,$C21,'标准化长表'!$I$2:$I$3075,"城镇住宅用地")</x:f>
        <x:v>1005.4413840000009</x:v>
      </x:c>
      <x:c r="K21" s="33" t="n">
        <x:f>SUMIFS('标准化长表'!$N$2:$N$3075,'标准化长表'!$C$2:$C$3075,$C21,'标准化长表'!$I$2:$I$3075,"农村宅基地")</x:f>
        <x:v>2046.4916010000015</x:v>
      </x:c>
      <x:c r="L21" s="40" t="n">
        <x:f>IFERROR(J21/F21,0)</x:f>
        <x:v>0.14611330094352384</x:v>
      </x:c>
      <x:c r="M21" s="40" t="n">
        <x:f>IFERROR(K21/F21,0)</x:f>
        <x:v>0.2974013681291906</x:v>
      </x:c>
      <x:c r="N21" s="46" t="n">
        <x:f>IFERROR(J21/K21,0)</x:f>
        <x:v>0.49130002952794927</x:v>
      </x:c>
      <x:c r="O21" s="33" t="n">
        <x:f>SUMIFS('标准化长表'!$N$2:$N$3075,'标准化长表'!$C$2:$C$3075,$C21,'标准化长表'!$I$2:$I$3075,"工业用地")</x:f>
        <x:v>1268.8262700000005</x:v>
      </x:c>
      <x:c r="P21" s="33" t="n">
        <x:f>SUMIFS('标准化长表'!$N$2:$N$3075,'标准化长表'!$C$2:$C$3075,$C21,'标准化长表'!$I$2:$I$3075,"物流仓储用地")</x:f>
        <x:v>22.115163000000006</x:v>
      </x:c>
      <x:c r="Q21" s="40" t="n">
        <x:f>IFERROR((O21+P21)/F21,0)</x:f>
        <x:v>0.18760289471076003</x:v>
      </x:c>
      <x:c r="R21" s="40" t="n">
        <x:f>IFERROR((O21+P21)/E21,0)</x:f>
        <x:v>0.012258682335187926</x:v>
      </x:c>
      <x:c r="S21" s="33" t="n">
        <x:f>SUMIFS('标准化长表'!$N$2:$N$3075,'标准化长表'!$C$2:$C$3075,$C21,'标准化长表'!$I$2:$I$3075,"商业服务业设施用地")</x:f>
        <x:v>133.940783</x:v>
      </x:c>
      <x:c r="T21" s="40" t="n">
        <x:f>IFERROR(S21/F21,0)</x:f>
        <x:v>0.019464615487808694</x:v>
      </x:c>
      <x:c r="U21" s="33" t="n">
        <x:f>SUMIFS('标准化长表'!$N$2:$N$3075,'标准化长表'!$C$2:$C$3075,$C21,'标准化长表'!$I$2:$I$3075,"机关团体新闻出版用地")+SUMIFS('标准化长表'!$N$2:$N$3075,'标准化长表'!$C$2:$C$3075,$C21,'标准化长表'!$I$2:$I$3075,"科教文卫用地")+SUMIFS('标准化长表'!$N$2:$N$3075,'标准化长表'!$C$2:$C$3075,$C21,'标准化长表'!$I$2:$I$3075,"高教用地")</x:f>
        <x:v>318.5243680000001</x:v>
      </x:c>
      <x:c r="V21" s="40" t="n">
        <x:f>IFERROR(U21/F21,0)</x:f>
        <x:v>0.0462887718568681</x:v>
      </x:c>
      <x:c r="W21" s="40" t="n">
        <x:f>IFERROR((S21+U21+SUMIFS('标准化长表'!$N$2:$N$3075,'标准化长表'!$C$2:$C$3075,$C21,'标准化长表'!$I$2:$I$3075,"公园与绿地")+SUMIFS('标准化长表'!$N$2:$N$3075,'标准化长表'!$C$2:$C$3075,$C21,'标准化长表'!$I$2:$I$3075,"广场用地"))/F21,0)</x:f>
        <x:v>0.07497751689835512</x:v>
      </x:c>
      <x:c r="X21" s="33" t="n">
        <x:f>SUMIFS('标准化长表'!$N$2:$N$3075,'标准化长表'!$C$2:$C$3075,$C21,'标准化长表'!$I$2:$I$3075,"铁路用地")+SUMIFS('标准化长表'!$N$2:$N$3075,'标准化长表'!$C$2:$C$3075,$C21,'标准化长表'!$I$2:$I$3075,"轨道交通用地")+SUMIFS('标准化长表'!$N$2:$N$3075,'标准化长表'!$C$2:$C$3075,$C21,'标准化长表'!$I$2:$I$3075,"机场用地")+SUMIFS('标准化长表'!$N$2:$N$3075,'标准化长表'!$C$2:$C$3075,$C21,'标准化长表'!$I$2:$I$3075,"港口码头用地")+SUMIFS('标准化长表'!$N$2:$N$3075,'标准化长表'!$C$2:$C$3075,$C21,'标准化长表'!$I$2:$I$3075,"交通服务场站用地")+SUMIFS('标准化长表'!$N$2:$N$3075,'标准化长表'!$C$2:$C$3075,$C21,'标准化长表'!$I$2:$I$3075,"物流仓储用地")</x:f>
        <x:v>147.911389</x:v>
      </x:c>
      <x:c r="Y21" s="40" t="n">
        <x:f>IFERROR(X21/F21,0)</x:f>
        <x:v>0.02149485950931537</x:v>
      </x:c>
      <x:c r="Z21" s="33" t="n">
        <x:f>SUMIFS('标准化长表'!$N$2:$N$3075,'标准化长表'!$C$2:$C$3075,$C21,'标准化长表'!$I$2:$I$3075,"公路用地")</x:f>
        <x:v>1107.238099</x:v>
      </x:c>
      <x:c r="AA21" s="40" t="n">
        <x:f>IFERROR(Z21/F21,0)</x:f>
        <x:v>0.16090665865741022</x:v>
      </x:c>
      <x:c r="AB21" s="33" t="n">
        <x:f>SUMIFS('标准化长表'!$N$2:$N$3075,'标准化长表'!$C$2:$C$3075,$C21,'标准化长表'!$I$2:$I$3075,"港口码头用地")</x:f>
        <x:v>14.113966999999999</x:v>
      </x:c>
      <x:c r="AC21" s="40" t="n">
        <x:f>IFERROR(AB21/F21,0)</x:f>
        <x:v>0.0020510776069049916</x:v>
      </x:c>
      <x:c r="AD21" s="33" t="n">
        <x:f>SUMIFS('标准化长表'!$N$2:$N$3075,'标准化长表'!$C$2:$C$3075,$C21,'标准化长表'!$I$2:$I$3075,"采矿用地")</x:f>
        <x:v>229.9006850000001</x:v>
      </x:c>
      <x:c r="AE21" s="40" t="n">
        <x:f>IFERROR(AD21/F21,0)</x:f>
        <x:v>0.033409752680845756</x:v>
      </x:c>
      <x:c r="AF21" s="33" t="n">
        <x:f>SUMIFS('标准化长表'!$N$2:$N$3075,'标准化长表'!$C$2:$C$3075,$C21,'标准化长表'!$I$2:$I$3075,"公园与绿地")+SUMIFS('标准化长表'!$N$2:$N$3075,'标准化长表'!$C$2:$C$3075,$C21,'标准化长表'!$I$2:$I$3075,"广场用地")</x:f>
        <x:v>63.473493</x:v>
      </x:c>
      <x:c r="AG21" s="40" t="n">
        <x:f>IFERROR(AF21/F21,0)</x:f>
        <x:v>0.009224129553678333</x:v>
      </x:c>
      <x:c r="AH21" s="47" t="n">
        <x:f>IFERROR((IF(SUMIFS('标准化长表'!$N$2:$N$3075,'标准化长表'!$C$2:$C$3075,$C21,'标准化长表'!$J$2:$J$3075,"居住功能",'标准化长表'!$E$2:$E$3075,"建设用地")=0,0,-(SUMIFS('标准化长表'!$N$2:$N$3075,'标准化长表'!$C$2:$C$3075,$C21,'标准化长表'!$J$2:$J$3075,"居住功能",'标准化长表'!$E$2:$E$3075,"建设用地")/F21)*LN(SUMIFS('标准化长表'!$N$2:$N$3075,'标准化长表'!$C$2:$C$3075,$C21,'标准化长表'!$J$2:$J$3075,"居住功能",'标准化长表'!$E$2:$E$3075,"建设用地")/F21))+IF(SUMIFS('标准化长表'!$N$2:$N$3075,'标准化长表'!$C$2:$C$3075,$C21,'标准化长表'!$J$2:$J$3075,"产业功能",'标准化长表'!$E$2:$E$3075,"建设用地")=0,0,-(SUMIFS('标准化长表'!$N$2:$N$3075,'标准化长表'!$C$2:$C$3075,$C21,'标准化长表'!$J$2:$J$3075,"产业功能",'标准化长表'!$E$2:$E$3075,"建设用地")/F21)*LN(SUMIFS('标准化长表'!$N$2:$N$3075,'标准化长表'!$C$2:$C$3075,$C21,'标准化长表'!$J$2:$J$3075,"产业功能",'标准化长表'!$E$2:$E$3075,"建设用地")/F21))+IF(SUMIFS('标准化长表'!$N$2:$N$3075,'标准化长表'!$C$2:$C$3075,$C21,'标准化长表'!$J$2:$J$3075,"商业服务",'标准化长表'!$E$2:$E$3075,"建设用地")=0,0,-(SUMIFS('标准化长表'!$N$2:$N$3075,'标准化长表'!$C$2:$C$3075,$C21,'标准化长表'!$J$2:$J$3075,"商业服务",'标准化长表'!$E$2:$E$3075,"建设用地")/F21)*LN(SUMIFS('标准化长表'!$N$2:$N$3075,'标准化长表'!$C$2:$C$3075,$C21,'标准化长表'!$J$2:$J$3075,"商业服务",'标准化长表'!$E$2:$E$3075,"建设用地")/F21))+IF(SUMIFS('标准化长表'!$N$2:$N$3075,'标准化长表'!$C$2:$C$3075,$C21,'标准化长表'!$J$2:$J$3075,"公共服务",'标准化长表'!$E$2:$E$3075,"建设用地")=0,0,-(SUMIFS('标准化长表'!$N$2:$N$3075,'标准化长表'!$C$2:$C$3075,$C21,'标准化长表'!$J$2:$J$3075,"公共服务",'标准化长表'!$E$2:$E$3075,"建设用地")/F21)*LN(SUMIFS('标准化长表'!$N$2:$N$3075,'标准化长表'!$C$2:$C$3075,$C21,'标准化长表'!$J$2:$J$3075,"公共服务",'标准化长表'!$E$2:$E$3075,"建设用地")/F21))+IF(SUMIFS('标准化长表'!$N$2:$N$3075,'标准化长表'!$C$2:$C$3075,$C21,'标准化长表'!$J$2:$J$3075,"交通门户",'标准化长表'!$E$2:$E$3075,"建设用地")=0,0,-(SUMIFS('标准化长表'!$N$2:$N$3075,'标准化长表'!$C$2:$C$3075,$C21,'标准化长表'!$J$2:$J$3075,"交通门户",'标准化长表'!$E$2:$E$3075,"建设用地")/F21)*LN(SUMIFS('标准化长表'!$N$2:$N$3075,'标准化长表'!$C$2:$C$3075,$C21,'标准化长表'!$J$2:$J$3075,"交通门户",'标准化长表'!$E$2:$E$3075,"建设用地")/F21))+IF(SUMIFS('标准化长表'!$N$2:$N$3075,'标准化长表'!$C$2:$C$3075,$C21,'标准化长表'!$J$2:$J$3075,"公共空间",'标准化长表'!$E$2:$E$3075,"建设用地")=0,0,-(SUMIFS('标准化长表'!$N$2:$N$3075,'标准化长表'!$C$2:$C$3075,$C21,'标准化长表'!$J$2:$J$3075,"公共空间",'标准化长表'!$E$2:$E$3075,"建设用地")/F21)*LN(SUMIFS('标准化长表'!$N$2:$N$3075,'标准化长表'!$C$2:$C$3075,$C21,'标准化长表'!$J$2:$J$3075,"公共空间",'标准化长表'!$E$2:$E$3075,"建设用地")/F21))+IF(SUMIFS('标准化长表'!$N$2:$N$3075,'标准化长表'!$C$2:$C$3075,$C21,'标准化长表'!$J$2:$J$3075,"其他建设",'标准化长表'!$E$2:$E$3075,"建设用地")=0,0,-(SUMIFS('标准化长表'!$N$2:$N$3075,'标准化长表'!$C$2:$C$3075,$C21,'标准化长表'!$J$2:$J$3075,"其他建设",'标准化长表'!$E$2:$E$3075,"建设用地")/F21)*LN(SUMIFS('标准化长表'!$N$2:$N$3075,'标准化长表'!$C$2:$C$3075,$C21,'标准化长表'!$J$2:$J$3075,"其他建设",'标准化长表'!$E$2:$E$3075,"建设用地")/F21)))/LN(7),0)</x:f>
        <x:v>0.7242570509935251</x:v>
      </x:c>
    </x:row>
    <x:row r="22">
      <x:c r="A22" s="21" t="n">
        <x:v>350600</x:v>
      </x:c>
      <x:c r="B22" s="22" t="str">
        <x:v>漳州市</x:v>
      </x:c>
      <x:c r="C22" s="22" t="n">
        <x:v>350623</x:v>
      </x:c>
      <x:c r="D22" s="22" t="str">
        <x:v>漳浦县</x:v>
      </x:c>
      <x:c r="E22" s="33" t="n">
        <x:f>SUMIFS('标准化长表'!$N$2:$N$3075,'标准化长表'!$C$2:$C$3075,$C22)</x:f>
        <x:v>214883.98731000006</x:v>
      </x:c>
      <x:c r="F22" s="33" t="n">
        <x:f>SUMIFS('标准化长表'!$N$2:$N$3075,'标准化长表'!$C$2:$C$3075,$C22,'标准化长表'!$E$2:$E$3075,"建设用地")</x:f>
        <x:v>22459.970655999965</x:v>
      </x:c>
      <x:c r="G22" s="40" t="n">
        <x:f>IFERROR(F22/E22,0)</x:f>
        <x:v>0.10452137889454895</x:v>
      </x:c>
      <x:c r="H22" s="40" t="n">
        <x:f>IFERROR(SUMIFS('标准化长表'!$N$2:$N$3075,'标准化长表'!$C$2:$C$3075,$C22,'标准化长表'!$E$2:$E$3075,"农用地")/E22,0)</x:f>
        <x:v>0.7966558609182767</x:v>
      </x:c>
      <x:c r="I22" s="40" t="n">
        <x:f>IFERROR(SUMIFS('标准化长表'!$N$2:$N$3075,'标准化长表'!$C$2:$C$3075,$C22,'标准化长表'!$E$2:$E$3075,"未利用地")/E22,0)</x:f>
        <x:v>0.09882276018717455</x:v>
      </x:c>
      <x:c r="J22" s="33" t="n">
        <x:f>SUMIFS('标准化长表'!$N$2:$N$3075,'标准化长表'!$C$2:$C$3075,$C22,'标准化长表'!$I$2:$I$3075,"城镇住宅用地")</x:f>
        <x:v>2451.526315000002</x:v>
      </x:c>
      <x:c r="K22" s="33" t="n">
        <x:f>SUMIFS('标准化长表'!$N$2:$N$3075,'标准化长表'!$C$2:$C$3075,$C22,'标准化长表'!$I$2:$I$3075,"农村宅基地")</x:f>
        <x:v>8742.35430599996</x:v>
      </x:c>
      <x:c r="L22" s="40" t="n">
        <x:f>IFERROR(J22/F22,0)</x:f>
        <x:v>0.10915091353180821</x:v>
      </x:c>
      <x:c r="M22" s="40" t="n">
        <x:f>IFERROR(K22/F22,0)</x:f>
        <x:v>0.3892415729254091</x:v>
      </x:c>
      <x:c r="N22" s="46" t="n">
        <x:f>IFERROR(J22/K22,0)</x:f>
        <x:v>0.2804194647336012</x:v>
      </x:c>
      <x:c r="O22" s="33" t="n">
        <x:f>SUMIFS('标准化长表'!$N$2:$N$3075,'标准化长表'!$C$2:$C$3075,$C22,'标准化长表'!$I$2:$I$3075,"工业用地")</x:f>
        <x:v>3730.6459639999985</x:v>
      </x:c>
      <x:c r="P22" s="33" t="n">
        <x:f>SUMIFS('标准化长表'!$N$2:$N$3075,'标准化长表'!$C$2:$C$3075,$C22,'标准化长表'!$I$2:$I$3075,"物流仓储用地")</x:f>
        <x:v>129.813015</x:v>
      </x:c>
      <x:c r="Q22" s="40" t="n">
        <x:f>IFERROR((O22+P22)/F22,0)</x:f>
        <x:v>0.1718817463356175</x:v>
      </x:c>
      <x:c r="R22" s="40" t="n">
        <x:f>IFERROR((O22+P22)/E22,0)</x:f>
        <x:v>0.01796531713380183</x:v>
      </x:c>
      <x:c r="S22" s="33" t="n">
        <x:f>SUMIFS('标准化长表'!$N$2:$N$3075,'标准化长表'!$C$2:$C$3075,$C22,'标准化长表'!$I$2:$I$3075,"商业服务业设施用地")</x:f>
        <x:v>555.2929120000003</x:v>
      </x:c>
      <x:c r="T22" s="40" t="n">
        <x:f>IFERROR(S22/F22,0)</x:f>
        <x:v>0.024723670413685922</x:v>
      </x:c>
      <x:c r="U22" s="33" t="n">
        <x:f>SUMIFS('标准化长表'!$N$2:$N$3075,'标准化长表'!$C$2:$C$3075,$C22,'标准化长表'!$I$2:$I$3075,"机关团体新闻出版用地")+SUMIFS('标准化长表'!$N$2:$N$3075,'标准化长表'!$C$2:$C$3075,$C22,'标准化长表'!$I$2:$I$3075,"科教文卫用地")+SUMIFS('标准化长表'!$N$2:$N$3075,'标准化长表'!$C$2:$C$3075,$C22,'标准化长表'!$I$2:$I$3075,"高教用地")</x:f>
        <x:v>614.817254</x:v>
      </x:c>
      <x:c r="V22" s="40" t="n">
        <x:f>IFERROR(U22/F22,0)</x:f>
        <x:v>0.027373911721285244</x:v>
      </x:c>
      <x:c r="W22" s="40" t="n">
        <x:f>IFERROR((S22+U22+SUMIFS('标准化长表'!$N$2:$N$3075,'标准化长表'!$C$2:$C$3075,$C22,'标准化长表'!$I$2:$I$3075,"公园与绿地")+SUMIFS('标准化长表'!$N$2:$N$3075,'标准化长表'!$C$2:$C$3075,$C22,'标准化长表'!$I$2:$I$3075,"广场用地"))/F22,0)</x:f>
        <x:v>0.05637810291002022</x:v>
      </x:c>
      <x:c r="X22" s="33" t="n">
        <x:f>SUMIFS('标准化长表'!$N$2:$N$3075,'标准化长表'!$C$2:$C$3075,$C22,'标准化长表'!$I$2:$I$3075,"铁路用地")+SUMIFS('标准化长表'!$N$2:$N$3075,'标准化长表'!$C$2:$C$3075,$C22,'标准化长表'!$I$2:$I$3075,"轨道交通用地")+SUMIFS('标准化长表'!$N$2:$N$3075,'标准化长表'!$C$2:$C$3075,$C22,'标准化长表'!$I$2:$I$3075,"机场用地")+SUMIFS('标准化长表'!$N$2:$N$3075,'标准化长表'!$C$2:$C$3075,$C22,'标准化长表'!$I$2:$I$3075,"港口码头用地")+SUMIFS('标准化长表'!$N$2:$N$3075,'标准化长表'!$C$2:$C$3075,$C22,'标准化长表'!$I$2:$I$3075,"交通服务场站用地")+SUMIFS('标准化长表'!$N$2:$N$3075,'标准化长表'!$C$2:$C$3075,$C22,'标准化长表'!$I$2:$I$3075,"物流仓储用地")</x:f>
        <x:v>355.833025</x:v>
      </x:c>
      <x:c r="Y22" s="40" t="n">
        <x:f>IFERROR(X22/F22,0)</x:f>
        <x:v>0.015842987083553587</x:v>
      </x:c>
      <x:c r="Z22" s="33" t="n">
        <x:f>SUMIFS('标准化长表'!$N$2:$N$3075,'标准化长表'!$C$2:$C$3075,$C22,'标准化长表'!$I$2:$I$3075,"公路用地")</x:f>
        <x:v>2611.759166000004</x:v>
      </x:c>
      <x:c r="AA22" s="40" t="n">
        <x:f>IFERROR(Z22/F22,0)</x:f>
        <x:v>0.11628506581785304</x:v>
      </x:c>
      <x:c r="AB22" s="33" t="n">
        <x:f>SUMIFS('标准化长表'!$N$2:$N$3075,'标准化长表'!$C$2:$C$3075,$C22,'标准化长表'!$I$2:$I$3075,"港口码头用地")</x:f>
        <x:v>66.92030000000001</x:v>
      </x:c>
      <x:c r="AC22" s="40" t="n">
        <x:f>IFERROR(AB22/F22,0)</x:f>
        <x:v>0.002979536394991812</x:v>
      </x:c>
      <x:c r="AD22" s="33" t="n">
        <x:f>SUMIFS('标准化长表'!$N$2:$N$3075,'标准化长表'!$C$2:$C$3075,$C22,'标准化长表'!$I$2:$I$3075,"采矿用地")</x:f>
        <x:v>685.2559150000002</x:v>
      </x:c>
      <x:c r="AE22" s="40" t="n">
        <x:f>IFERROR(AD22/F22,0)</x:f>
        <x:v>0.030510098409987935</x:v>
      </x:c>
      <x:c r="AF22" s="33" t="n">
        <x:f>SUMIFS('标准化长表'!$N$2:$N$3075,'标准化长表'!$C$2:$C$3075,$C22,'标准化长表'!$I$2:$I$3075,"公园与绿地")+SUMIFS('标准化长表'!$N$2:$N$3075,'标准化长表'!$C$2:$C$3075,$C22,'标准化长表'!$I$2:$I$3075,"广场用地")</x:f>
        <x:v>96.14037099999997</x:v>
      </x:c>
      <x:c r="AG22" s="40" t="n">
        <x:f>IFERROR(AF22/F22,0)</x:f>
        <x:v>0.004280520775049054</x:v>
      </x:c>
      <x:c r="AH22" s="47" t="n">
        <x:f>IFERROR((IF(SUMIFS('标准化长表'!$N$2:$N$3075,'标准化长表'!$C$2:$C$3075,$C22,'标准化长表'!$J$2:$J$3075,"居住功能",'标准化长表'!$E$2:$E$3075,"建设用地")=0,0,-(SUMIFS('标准化长表'!$N$2:$N$3075,'标准化长表'!$C$2:$C$3075,$C22,'标准化长表'!$J$2:$J$3075,"居住功能",'标准化长表'!$E$2:$E$3075,"建设用地")/F22)*LN(SUMIFS('标准化长表'!$N$2:$N$3075,'标准化长表'!$C$2:$C$3075,$C22,'标准化长表'!$J$2:$J$3075,"居住功能",'标准化长表'!$E$2:$E$3075,"建设用地")/F22))+IF(SUMIFS('标准化长表'!$N$2:$N$3075,'标准化长表'!$C$2:$C$3075,$C22,'标准化长表'!$J$2:$J$3075,"产业功能",'标准化长表'!$E$2:$E$3075,"建设用地")=0,0,-(SUMIFS('标准化长表'!$N$2:$N$3075,'标准化长表'!$C$2:$C$3075,$C22,'标准化长表'!$J$2:$J$3075,"产业功能",'标准化长表'!$E$2:$E$3075,"建设用地")/F22)*LN(SUMIFS('标准化长表'!$N$2:$N$3075,'标准化长表'!$C$2:$C$3075,$C22,'标准化长表'!$J$2:$J$3075,"产业功能",'标准化长表'!$E$2:$E$3075,"建设用地")/F22))+IF(SUMIFS('标准化长表'!$N$2:$N$3075,'标准化长表'!$C$2:$C$3075,$C22,'标准化长表'!$J$2:$J$3075,"商业服务",'标准化长表'!$E$2:$E$3075,"建设用地")=0,0,-(SUMIFS('标准化长表'!$N$2:$N$3075,'标准化长表'!$C$2:$C$3075,$C22,'标准化长表'!$J$2:$J$3075,"商业服务",'标准化长表'!$E$2:$E$3075,"建设用地")/F22)*LN(SUMIFS('标准化长表'!$N$2:$N$3075,'标准化长表'!$C$2:$C$3075,$C22,'标准化长表'!$J$2:$J$3075,"商业服务",'标准化长表'!$E$2:$E$3075,"建设用地")/F22))+IF(SUMIFS('标准化长表'!$N$2:$N$3075,'标准化长表'!$C$2:$C$3075,$C22,'标准化长表'!$J$2:$J$3075,"公共服务",'标准化长表'!$E$2:$E$3075,"建设用地")=0,0,-(SUMIFS('标准化长表'!$N$2:$N$3075,'标准化长表'!$C$2:$C$3075,$C22,'标准化长表'!$J$2:$J$3075,"公共服务",'标准化长表'!$E$2:$E$3075,"建设用地")/F22)*LN(SUMIFS('标准化长表'!$N$2:$N$3075,'标准化长表'!$C$2:$C$3075,$C22,'标准化长表'!$J$2:$J$3075,"公共服务",'标准化长表'!$E$2:$E$3075,"建设用地")/F22))+IF(SUMIFS('标准化长表'!$N$2:$N$3075,'标准化长表'!$C$2:$C$3075,$C22,'标准化长表'!$J$2:$J$3075,"交通门户",'标准化长表'!$E$2:$E$3075,"建设用地")=0,0,-(SUMIFS('标准化长表'!$N$2:$N$3075,'标准化长表'!$C$2:$C$3075,$C22,'标准化长表'!$J$2:$J$3075,"交通门户",'标准化长表'!$E$2:$E$3075,"建设用地")/F22)*LN(SUMIFS('标准化长表'!$N$2:$N$3075,'标准化长表'!$C$2:$C$3075,$C22,'标准化长表'!$J$2:$J$3075,"交通门户",'标准化长表'!$E$2:$E$3075,"建设用地")/F22))+IF(SUMIFS('标准化长表'!$N$2:$N$3075,'标准化长表'!$C$2:$C$3075,$C22,'标准化长表'!$J$2:$J$3075,"公共空间",'标准化长表'!$E$2:$E$3075,"建设用地")=0,0,-(SUMIFS('标准化长表'!$N$2:$N$3075,'标准化长表'!$C$2:$C$3075,$C22,'标准化长表'!$J$2:$J$3075,"公共空间",'标准化长表'!$E$2:$E$3075,"建设用地")/F22)*LN(SUMIFS('标准化长表'!$N$2:$N$3075,'标准化长表'!$C$2:$C$3075,$C22,'标准化长表'!$J$2:$J$3075,"公共空间",'标准化长表'!$E$2:$E$3075,"建设用地")/F22))+IF(SUMIFS('标准化长表'!$N$2:$N$3075,'标准化长表'!$C$2:$C$3075,$C22,'标准化长表'!$J$2:$J$3075,"其他建设",'标准化长表'!$E$2:$E$3075,"建设用地")=0,0,-(SUMIFS('标准化长表'!$N$2:$N$3075,'标准化长表'!$C$2:$C$3075,$C22,'标准化长表'!$J$2:$J$3075,"其他建设",'标准化长表'!$E$2:$E$3075,"建设用地")/F22)*LN(SUMIFS('标准化长表'!$N$2:$N$3075,'标准化长表'!$C$2:$C$3075,$C22,'标准化长表'!$J$2:$J$3075,"其他建设",'标准化长表'!$E$2:$E$3075,"建设用地")/F22)))/LN(7),0)</x:f>
        <x:v>0.6810555137879108</x:v>
      </x:c>
    </x:row>
    <x:row r="23">
      <x:c r="A23" s="21" t="n">
        <x:v>350600</x:v>
      </x:c>
      <x:c r="B23" s="22" t="str">
        <x:v>漳州市</x:v>
      </x:c>
      <x:c r="C23" s="22" t="n">
        <x:v>350624</x:v>
      </x:c>
      <x:c r="D23" s="22" t="str">
        <x:v>诏安县</x:v>
      </x:c>
      <x:c r="E23" s="33" t="n">
        <x:f>SUMIFS('标准化长表'!$N$2:$N$3075,'标准化长表'!$C$2:$C$3075,$C23)</x:f>
        <x:v>130048.18224000014</x:v>
      </x:c>
      <x:c r="F23" s="33" t="n">
        <x:f>SUMIFS('标准化长表'!$N$2:$N$3075,'标准化长表'!$C$2:$C$3075,$C23,'标准化长表'!$E$2:$E$3075,"建设用地")</x:f>
        <x:v>8355.51696699999</x:v>
      </x:c>
      <x:c r="G23" s="40" t="n">
        <x:f>IFERROR(F23/E23,0)</x:f>
        <x:v>0.06424939451733455</x:v>
      </x:c>
      <x:c r="H23" s="40" t="n">
        <x:f>IFERROR(SUMIFS('标准化长表'!$N$2:$N$3075,'标准化长表'!$C$2:$C$3075,$C23,'标准化长表'!$E$2:$E$3075,"农用地")/E23,0)</x:f>
        <x:v>0.8835751372436871</x:v>
      </x:c>
      <x:c r="I23" s="40" t="n">
        <x:f>IFERROR(SUMIFS('标准化长表'!$N$2:$N$3075,'标准化长表'!$C$2:$C$3075,$C23,'标准化长表'!$E$2:$E$3075,"未利用地")/E23,0)</x:f>
        <x:v>0.05217546823897837</x:v>
      </x:c>
      <x:c r="J23" s="33" t="n">
        <x:f>SUMIFS('标准化长表'!$N$2:$N$3075,'标准化长表'!$C$2:$C$3075,$C23,'标准化长表'!$I$2:$I$3075,"城镇住宅用地")</x:f>
        <x:v>669.8250240000001</x:v>
      </x:c>
      <x:c r="K23" s="33" t="n">
        <x:f>SUMIFS('标准化长表'!$N$2:$N$3075,'标准化长表'!$C$2:$C$3075,$C23,'标准化长表'!$I$2:$I$3075,"农村宅基地")</x:f>
        <x:v>3805.180693999991</x:v>
      </x:c>
      <x:c r="L23" s="40" t="n">
        <x:f>IFERROR(J23/F23,0)</x:f>
        <x:v>0.0801655991658524</x:v>
      </x:c>
      <x:c r="M23" s="40" t="n">
        <x:f>IFERROR(K23/F23,0)</x:f>
        <x:v>0.4554093671317412</x:v>
      </x:c>
      <x:c r="N23" s="46" t="n">
        <x:f>IFERROR(J23/K23,0)</x:f>
        <x:v>0.1760297546595304</x:v>
      </x:c>
      <x:c r="O23" s="33" t="n">
        <x:f>SUMIFS('标准化长表'!$N$2:$N$3075,'标准化长表'!$C$2:$C$3075,$C23,'标准化长表'!$I$2:$I$3075,"工业用地")</x:f>
        <x:v>926.4321460000002</x:v>
      </x:c>
      <x:c r="P23" s="33" t="n">
        <x:f>SUMIFS('标准化长表'!$N$2:$N$3075,'标准化长表'!$C$2:$C$3075,$C23,'标准化长表'!$I$2:$I$3075,"物流仓储用地")</x:f>
        <x:v>28.456037000000006</x:v>
      </x:c>
      <x:c r="Q23" s="40" t="n">
        <x:f>IFERROR((O23+P23)/F23,0)</x:f>
        <x:v>0.11428235820372565</x:v>
      </x:c>
      <x:c r="R23" s="40" t="n">
        <x:f>IFERROR((O23+P23)/E23,0)</x:f>
        <x:v>0.007342572318602515</x:v>
      </x:c>
      <x:c r="S23" s="33" t="n">
        <x:f>SUMIFS('标准化长表'!$N$2:$N$3075,'标准化长表'!$C$2:$C$3075,$C23,'标准化长表'!$I$2:$I$3075,"商业服务业设施用地")</x:f>
        <x:v>83.94727700000004</x:v>
      </x:c>
      <x:c r="T23" s="40" t="n">
        <x:f>IFERROR(S23/F23,0)</x:f>
        <x:v>0.010046927955690685</x:v>
      </x:c>
      <x:c r="U23" s="33" t="n">
        <x:f>SUMIFS('标准化长表'!$N$2:$N$3075,'标准化长表'!$C$2:$C$3075,$C23,'标准化长表'!$I$2:$I$3075,"机关团体新闻出版用地")+SUMIFS('标准化长表'!$N$2:$N$3075,'标准化长表'!$C$2:$C$3075,$C23,'标准化长表'!$I$2:$I$3075,"科教文卫用地")+SUMIFS('标准化长表'!$N$2:$N$3075,'标准化长表'!$C$2:$C$3075,$C23,'标准化长表'!$I$2:$I$3075,"高教用地")</x:f>
        <x:v>315.53173699999985</x:v>
      </x:c>
      <x:c r="V23" s="40" t="n">
        <x:f>IFERROR(U23/F23,0)</x:f>
        <x:v>0.037763281224392035</x:v>
      </x:c>
      <x:c r="W23" s="40" t="n">
        <x:f>IFERROR((S23+U23+SUMIFS('标准化长表'!$N$2:$N$3075,'标准化长表'!$C$2:$C$3075,$C23,'标准化长表'!$I$2:$I$3075,"公园与绿地")+SUMIFS('标准化长表'!$N$2:$N$3075,'标准化长表'!$C$2:$C$3075,$C23,'标准化长表'!$I$2:$I$3075,"广场用地"))/F23,0)</x:f>
        <x:v>0.059140666334787234</x:v>
      </x:c>
      <x:c r="X23" s="33" t="n">
        <x:f>SUMIFS('标准化长表'!$N$2:$N$3075,'标准化长表'!$C$2:$C$3075,$C23,'标准化长表'!$I$2:$I$3075,"铁路用地")+SUMIFS('标准化长表'!$N$2:$N$3075,'标准化长表'!$C$2:$C$3075,$C23,'标准化长表'!$I$2:$I$3075,"轨道交通用地")+SUMIFS('标准化长表'!$N$2:$N$3075,'标准化长表'!$C$2:$C$3075,$C23,'标准化长表'!$I$2:$I$3075,"机场用地")+SUMIFS('标准化长表'!$N$2:$N$3075,'标准化长表'!$C$2:$C$3075,$C23,'标准化长表'!$I$2:$I$3075,"港口码头用地")+SUMIFS('标准化长表'!$N$2:$N$3075,'标准化长表'!$C$2:$C$3075,$C23,'标准化长表'!$I$2:$I$3075,"交通服务场站用地")+SUMIFS('标准化长表'!$N$2:$N$3075,'标准化长表'!$C$2:$C$3075,$C23,'标准化长表'!$I$2:$I$3075,"物流仓储用地")</x:f>
        <x:v>167.68757300000001</x:v>
      </x:c>
      <x:c r="Y23" s="40" t="n">
        <x:f>IFERROR(X23/F23,0)</x:f>
        <x:v>0.020069084134743544</x:v>
      </x:c>
      <x:c r="Z23" s="33" t="n">
        <x:f>SUMIFS('标准化长表'!$N$2:$N$3075,'标准化长表'!$C$2:$C$3075,$C23,'标准化长表'!$I$2:$I$3075,"公路用地")</x:f>
        <x:v>1357.1148249999999</x:v>
      </x:c>
      <x:c r="AA23" s="40" t="n">
        <x:f>IFERROR(Z23/F23,0)</x:f>
        <x:v>0.16242140735994048</x:v>
      </x:c>
      <x:c r="AB23" s="33" t="n">
        <x:f>SUMIFS('标准化长表'!$N$2:$N$3075,'标准化长表'!$C$2:$C$3075,$C23,'标准化长表'!$I$2:$I$3075,"港口码头用地")</x:f>
        <x:v>4.388312999999999</x:v>
      </x:c>
      <x:c r="AC23" s="40" t="n">
        <x:f>IFERROR(AB23/F23,0)</x:f>
        <x:v>0.0005251994601090019</x:v>
      </x:c>
      <x:c r="AD23" s="33" t="n">
        <x:f>SUMIFS('标准化长表'!$N$2:$N$3075,'标准化长表'!$C$2:$C$3075,$C23,'标准化长表'!$I$2:$I$3075,"采矿用地")</x:f>
        <x:v>385.8154079999998</x:v>
      </x:c>
      <x:c r="AE23" s="40" t="n">
        <x:f>IFERROR(AD23/F23,0)</x:f>
        <x:v>0.04617492963317206</x:v>
      </x:c>
      <x:c r="AF23" s="33" t="n">
        <x:f>SUMIFS('标准化长表'!$N$2:$N$3075,'标准化长表'!$C$2:$C$3075,$C23,'标准化长表'!$I$2:$I$3075,"公园与绿地")+SUMIFS('标准化长表'!$N$2:$N$3075,'标准化长表'!$C$2:$C$3075,$C23,'标准化长表'!$I$2:$I$3075,"广场用地")</x:f>
        <x:v>94.67182700000001</x:v>
      </x:c>
      <x:c r="AG23" s="40" t="n">
        <x:f>IFERROR(AF23/F23,0)</x:f>
        <x:v>0.011330457154704515</x:v>
      </x:c>
      <x:c r="AH23" s="47" t="n">
        <x:f>IFERROR((IF(SUMIFS('标准化长表'!$N$2:$N$3075,'标准化长表'!$C$2:$C$3075,$C23,'标准化长表'!$J$2:$J$3075,"居住功能",'标准化长表'!$E$2:$E$3075,"建设用地")=0,0,-(SUMIFS('标准化长表'!$N$2:$N$3075,'标准化长表'!$C$2:$C$3075,$C23,'标准化长表'!$J$2:$J$3075,"居住功能",'标准化长表'!$E$2:$E$3075,"建设用地")/F23)*LN(SUMIFS('标准化长表'!$N$2:$N$3075,'标准化长表'!$C$2:$C$3075,$C23,'标准化长表'!$J$2:$J$3075,"居住功能",'标准化长表'!$E$2:$E$3075,"建设用地")/F23))+IF(SUMIFS('标准化长表'!$N$2:$N$3075,'标准化长表'!$C$2:$C$3075,$C23,'标准化长表'!$J$2:$J$3075,"产业功能",'标准化长表'!$E$2:$E$3075,"建设用地")=0,0,-(SUMIFS('标准化长表'!$N$2:$N$3075,'标准化长表'!$C$2:$C$3075,$C23,'标准化长表'!$J$2:$J$3075,"产业功能",'标准化长表'!$E$2:$E$3075,"建设用地")/F23)*LN(SUMIFS('标准化长表'!$N$2:$N$3075,'标准化长表'!$C$2:$C$3075,$C23,'标准化长表'!$J$2:$J$3075,"产业功能",'标准化长表'!$E$2:$E$3075,"建设用地")/F23))+IF(SUMIFS('标准化长表'!$N$2:$N$3075,'标准化长表'!$C$2:$C$3075,$C23,'标准化长表'!$J$2:$J$3075,"商业服务",'标准化长表'!$E$2:$E$3075,"建设用地")=0,0,-(SUMIFS('标准化长表'!$N$2:$N$3075,'标准化长表'!$C$2:$C$3075,$C23,'标准化长表'!$J$2:$J$3075,"商业服务",'标准化长表'!$E$2:$E$3075,"建设用地")/F23)*LN(SUMIFS('标准化长表'!$N$2:$N$3075,'标准化长表'!$C$2:$C$3075,$C23,'标准化长表'!$J$2:$J$3075,"商业服务",'标准化长表'!$E$2:$E$3075,"建设用地")/F23))+IF(SUMIFS('标准化长表'!$N$2:$N$3075,'标准化长表'!$C$2:$C$3075,$C23,'标准化长表'!$J$2:$J$3075,"公共服务",'标准化长表'!$E$2:$E$3075,"建设用地")=0,0,-(SUMIFS('标准化长表'!$N$2:$N$3075,'标准化长表'!$C$2:$C$3075,$C23,'标准化长表'!$J$2:$J$3075,"公共服务",'标准化长表'!$E$2:$E$3075,"建设用地")/F23)*LN(SUMIFS('标准化长表'!$N$2:$N$3075,'标准化长表'!$C$2:$C$3075,$C23,'标准化长表'!$J$2:$J$3075,"公共服务",'标准化长表'!$E$2:$E$3075,"建设用地")/F23))+IF(SUMIFS('标准化长表'!$N$2:$N$3075,'标准化长表'!$C$2:$C$3075,$C23,'标准化长表'!$J$2:$J$3075,"交通门户",'标准化长表'!$E$2:$E$3075,"建设用地")=0,0,-(SUMIFS('标准化长表'!$N$2:$N$3075,'标准化长表'!$C$2:$C$3075,$C23,'标准化长表'!$J$2:$J$3075,"交通门户",'标准化长表'!$E$2:$E$3075,"建设用地")/F23)*LN(SUMIFS('标准化长表'!$N$2:$N$3075,'标准化长表'!$C$2:$C$3075,$C23,'标准化长表'!$J$2:$J$3075,"交通门户",'标准化长表'!$E$2:$E$3075,"建设用地")/F23))+IF(SUMIFS('标准化长表'!$N$2:$N$3075,'标准化长表'!$C$2:$C$3075,$C23,'标准化长表'!$J$2:$J$3075,"公共空间",'标准化长表'!$E$2:$E$3075,"建设用地")=0,0,-(SUMIFS('标准化长表'!$N$2:$N$3075,'标准化长表'!$C$2:$C$3075,$C23,'标准化长表'!$J$2:$J$3075,"公共空间",'标准化长表'!$E$2:$E$3075,"建设用地")/F23)*LN(SUMIFS('标准化长表'!$N$2:$N$3075,'标准化长表'!$C$2:$C$3075,$C23,'标准化长表'!$J$2:$J$3075,"公共空间",'标准化长表'!$E$2:$E$3075,"建设用地")/F23))+IF(SUMIFS('标准化长表'!$N$2:$N$3075,'标准化长表'!$C$2:$C$3075,$C23,'标准化长表'!$J$2:$J$3075,"其他建设",'标准化长表'!$E$2:$E$3075,"建设用地")=0,0,-(SUMIFS('标准化长表'!$N$2:$N$3075,'标准化长表'!$C$2:$C$3075,$C23,'标准化长表'!$J$2:$J$3075,"其他建设",'标准化长表'!$E$2:$E$3075,"建设用地")/F23)*LN(SUMIFS('标准化长表'!$N$2:$N$3075,'标准化长表'!$C$2:$C$3075,$C23,'标准化长表'!$J$2:$J$3075,"其他建设",'标准化长表'!$E$2:$E$3075,"建设用地")/F23)))/LN(7),0)</x:f>
        <x:v>0.6745342150834491</x:v>
      </x:c>
    </x:row>
    <x:row r="24">
      <x:c r="A24" s="21" t="n">
        <x:v>350600</x:v>
      </x:c>
      <x:c r="B24" s="22" t="str">
        <x:v>漳州市</x:v>
      </x:c>
      <x:c r="C24" s="22" t="n">
        <x:v>350625</x:v>
      </x:c>
      <x:c r="D24" s="22" t="str">
        <x:v>长泰区</x:v>
      </x:c>
      <x:c r="E24" s="33" t="n">
        <x:f>SUMIFS('标准化长表'!$N$2:$N$3075,'标准化长表'!$C$2:$C$3075,$C24)</x:f>
        <x:v>90008.98374000001</x:v>
      </x:c>
      <x:c r="F24" s="33" t="n">
        <x:f>SUMIFS('标准化长表'!$N$2:$N$3075,'标准化长表'!$C$2:$C$3075,$C24,'标准化长表'!$E$2:$E$3075,"建设用地")</x:f>
        <x:v>8236.588497000006</x:v>
      </x:c>
      <x:c r="G24" s="40" t="n">
        <x:f>IFERROR(F24/E24,0)</x:f>
        <x:v>0.09150851564764045</x:v>
      </x:c>
      <x:c r="H24" s="40" t="n">
        <x:f>IFERROR(SUMIFS('标准化长表'!$N$2:$N$3075,'标准化长表'!$C$2:$C$3075,$C24,'标准化长表'!$E$2:$E$3075,"农用地")/E24,0)</x:f>
        <x:v>0.8787421113704932</x:v>
      </x:c>
      <x:c r="I24" s="40" t="n">
        <x:f>IFERROR(SUMIFS('标准化长表'!$N$2:$N$3075,'标准化长表'!$C$2:$C$3075,$C24,'标准化长表'!$E$2:$E$3075,"未利用地")/E24,0)</x:f>
        <x:v>0.029749372981866286</x:v>
      </x:c>
      <x:c r="J24" s="33" t="n">
        <x:f>SUMIFS('标准化长表'!$N$2:$N$3075,'标准化长表'!$C$2:$C$3075,$C24,'标准化长表'!$I$2:$I$3075,"城镇住宅用地")</x:f>
        <x:v>621.0082740000003</x:v>
      </x:c>
      <x:c r="K24" s="33" t="n">
        <x:f>SUMIFS('标准化长表'!$N$2:$N$3075,'标准化长表'!$C$2:$C$3075,$C24,'标准化长表'!$I$2:$I$3075,"农村宅基地")</x:f>
        <x:v>2446.7099840000037</x:v>
      </x:c>
      <x:c r="L24" s="40" t="n">
        <x:f>IFERROR(J24/F24,0)</x:f>
        <x:v>0.07539629717160068</x:v>
      </x:c>
      <x:c r="M24" s="40" t="n">
        <x:f>IFERROR(K24/F24,0)</x:f>
        <x:v>0.29705380873296794</x:v>
      </x:c>
      <x:c r="N24" s="46" t="n">
        <x:f>IFERROR(J24/K24,0)</x:f>
        <x:v>0.2538136019638686</x:v>
      </x:c>
      <x:c r="O24" s="33" t="n">
        <x:f>SUMIFS('标准化长表'!$N$2:$N$3075,'标准化长表'!$C$2:$C$3075,$C24,'标准化长表'!$I$2:$I$3075,"工业用地")</x:f>
        <x:v>2547.1564199999993</x:v>
      </x:c>
      <x:c r="P24" s="33" t="n">
        <x:f>SUMIFS('标准化长表'!$N$2:$N$3075,'标准化长表'!$C$2:$C$3075,$C24,'标准化长表'!$I$2:$I$3075,"物流仓储用地")</x:f>
        <x:v>10.998048</x:v>
      </x:c>
      <x:c r="Q24" s="40" t="n">
        <x:f>IFERROR((O24+P24)/F24,0)</x:f>
        <x:v>0.3105842265801855</x:v>
      </x:c>
      <x:c r="R24" s="40" t="n">
        <x:f>IFERROR((O24+P24)/E24,0)</x:f>
        <x:v>0.028421101557923212</x:v>
      </x:c>
      <x:c r="S24" s="33" t="n">
        <x:f>SUMIFS('标准化长表'!$N$2:$N$3075,'标准化长表'!$C$2:$C$3075,$C24,'标准化长表'!$I$2:$I$3075,"商业服务业设施用地")</x:f>
        <x:v>243.34023199999996</x:v>
      </x:c>
      <x:c r="T24" s="40" t="n">
        <x:f>IFERROR(S24/F24,0)</x:f>
        <x:v>0.029543813204779043</x:v>
      </x:c>
      <x:c r="U24" s="33" t="n">
        <x:f>SUMIFS('标准化长表'!$N$2:$N$3075,'标准化长表'!$C$2:$C$3075,$C24,'标准化长表'!$I$2:$I$3075,"机关团体新闻出版用地")+SUMIFS('标准化长表'!$N$2:$N$3075,'标准化长表'!$C$2:$C$3075,$C24,'标准化长表'!$I$2:$I$3075,"科教文卫用地")+SUMIFS('标准化长表'!$N$2:$N$3075,'标准化长表'!$C$2:$C$3075,$C24,'标准化长表'!$I$2:$I$3075,"高教用地")</x:f>
        <x:v>192.42934999999997</x:v>
      </x:c>
      <x:c r="V24" s="40" t="n">
        <x:f>IFERROR(U24/F24,0)</x:f>
        <x:v>0.023362749039858927</x:v>
      </x:c>
      <x:c r="W24" s="40" t="n">
        <x:f>IFERROR((S24+U24+SUMIFS('标准化长表'!$N$2:$N$3075,'标准化长表'!$C$2:$C$3075,$C24,'标准化长表'!$I$2:$I$3075,"公园与绿地")+SUMIFS('标准化长表'!$N$2:$N$3075,'标准化长表'!$C$2:$C$3075,$C24,'标准化长表'!$I$2:$I$3075,"广场用地"))/F24,0)</x:f>
        <x:v>0.06660286734001682</x:v>
      </x:c>
      <x:c r="X24" s="33" t="n">
        <x:f>SUMIFS('标准化长表'!$N$2:$N$3075,'标准化长表'!$C$2:$C$3075,$C24,'标准化长表'!$I$2:$I$3075,"铁路用地")+SUMIFS('标准化长表'!$N$2:$N$3075,'标准化长表'!$C$2:$C$3075,$C24,'标准化长表'!$I$2:$I$3075,"轨道交通用地")+SUMIFS('标准化长表'!$N$2:$N$3075,'标准化长表'!$C$2:$C$3075,$C24,'标准化长表'!$I$2:$I$3075,"机场用地")+SUMIFS('标准化长表'!$N$2:$N$3075,'标准化长表'!$C$2:$C$3075,$C24,'标准化长表'!$I$2:$I$3075,"港口码头用地")+SUMIFS('标准化长表'!$N$2:$N$3075,'标准化长表'!$C$2:$C$3075,$C24,'标准化长表'!$I$2:$I$3075,"交通服务场站用地")+SUMIFS('标准化长表'!$N$2:$N$3075,'标准化长表'!$C$2:$C$3075,$C24,'标准化长表'!$I$2:$I$3075,"物流仓储用地")</x:f>
        <x:v>77.787659</x:v>
      </x:c>
      <x:c r="Y24" s="40" t="n">
        <x:f>IFERROR(X24/F24,0)</x:f>
        <x:v>0.00944415992474705</x:v>
      </x:c>
      <x:c r="Z24" s="33" t="n">
        <x:f>SUMIFS('标准化长表'!$N$2:$N$3075,'标准化长表'!$C$2:$C$3075,$C24,'标准化长表'!$I$2:$I$3075,"公路用地")</x:f>
        <x:v>1210.0248280000005</x:v>
      </x:c>
      <x:c r="AA24" s="40" t="n">
        <x:f>IFERROR(Z24/F24,0)</x:f>
        <x:v>0.14690849596780575</x:v>
      </x:c>
      <x:c r="AB24" s="33" t="n">
        <x:f>SUMIFS('标准化长表'!$N$2:$N$3075,'标准化长表'!$C$2:$C$3075,$C24,'标准化长表'!$I$2:$I$3075,"港口码头用地")</x:f>
        <x:v>0</x:v>
      </x:c>
      <x:c r="AC24" s="40" t="n">
        <x:f>IFERROR(AB24/F24,0)</x:f>
        <x:v>0</x:v>
      </x:c>
      <x:c r="AD24" s="33" t="n">
        <x:f>SUMIFS('标准化长表'!$N$2:$N$3075,'标准化长表'!$C$2:$C$3075,$C24,'标准化长表'!$I$2:$I$3075,"采矿用地")</x:f>
        <x:v>91.72772200000001</x:v>
      </x:c>
      <x:c r="AE24" s="40" t="n">
        <x:f>IFERROR(AD24/F24,0)</x:f>
        <x:v>0.01113661584931793</x:v>
      </x:c>
      <x:c r="AF24" s="33" t="n">
        <x:f>SUMIFS('标准化长表'!$N$2:$N$3075,'标准化长表'!$C$2:$C$3075,$C24,'标准化长表'!$I$2:$I$3075,"公园与绿地")+SUMIFS('标准化长表'!$N$2:$N$3075,'标准化长表'!$C$2:$C$3075,$C24,'标准化长表'!$I$2:$I$3075,"广场用地")</x:f>
        <x:v>112.81082899999997</x:v>
      </x:c>
      <x:c r="AG24" s="40" t="n">
        <x:f>IFERROR(AF24/F24,0)</x:f>
        <x:v>0.013696305095378846</x:v>
      </x:c>
      <x:c r="AH24" s="47" t="n">
        <x:f>IFERROR((IF(SUMIFS('标准化长表'!$N$2:$N$3075,'标准化长表'!$C$2:$C$3075,$C24,'标准化长表'!$J$2:$J$3075,"居住功能",'标准化长表'!$E$2:$E$3075,"建设用地")=0,0,-(SUMIFS('标准化长表'!$N$2:$N$3075,'标准化长表'!$C$2:$C$3075,$C24,'标准化长表'!$J$2:$J$3075,"居住功能",'标准化长表'!$E$2:$E$3075,"建设用地")/F24)*LN(SUMIFS('标准化长表'!$N$2:$N$3075,'标准化长表'!$C$2:$C$3075,$C24,'标准化长表'!$J$2:$J$3075,"居住功能",'标准化长表'!$E$2:$E$3075,"建设用地")/F24))+IF(SUMIFS('标准化长表'!$N$2:$N$3075,'标准化长表'!$C$2:$C$3075,$C24,'标准化长表'!$J$2:$J$3075,"产业功能",'标准化长表'!$E$2:$E$3075,"建设用地")=0,0,-(SUMIFS('标准化长表'!$N$2:$N$3075,'标准化长表'!$C$2:$C$3075,$C24,'标准化长表'!$J$2:$J$3075,"产业功能",'标准化长表'!$E$2:$E$3075,"建设用地")/F24)*LN(SUMIFS('标准化长表'!$N$2:$N$3075,'标准化长表'!$C$2:$C$3075,$C24,'标准化长表'!$J$2:$J$3075,"产业功能",'标准化长表'!$E$2:$E$3075,"建设用地")/F24))+IF(SUMIFS('标准化长表'!$N$2:$N$3075,'标准化长表'!$C$2:$C$3075,$C24,'标准化长表'!$J$2:$J$3075,"商业服务",'标准化长表'!$E$2:$E$3075,"建设用地")=0,0,-(SUMIFS('标准化长表'!$N$2:$N$3075,'标准化长表'!$C$2:$C$3075,$C24,'标准化长表'!$J$2:$J$3075,"商业服务",'标准化长表'!$E$2:$E$3075,"建设用地")/F24)*LN(SUMIFS('标准化长表'!$N$2:$N$3075,'标准化长表'!$C$2:$C$3075,$C24,'标准化长表'!$J$2:$J$3075,"商业服务",'标准化长表'!$E$2:$E$3075,"建设用地")/F24))+IF(SUMIFS('标准化长表'!$N$2:$N$3075,'标准化长表'!$C$2:$C$3075,$C24,'标准化长表'!$J$2:$J$3075,"公共服务",'标准化长表'!$E$2:$E$3075,"建设用地")=0,0,-(SUMIFS('标准化长表'!$N$2:$N$3075,'标准化长表'!$C$2:$C$3075,$C24,'标准化长表'!$J$2:$J$3075,"公共服务",'标准化长表'!$E$2:$E$3075,"建设用地")/F24)*LN(SUMIFS('标准化长表'!$N$2:$N$3075,'标准化长表'!$C$2:$C$3075,$C24,'标准化长表'!$J$2:$J$3075,"公共服务",'标准化长表'!$E$2:$E$3075,"建设用地")/F24))+IF(SUMIFS('标准化长表'!$N$2:$N$3075,'标准化长表'!$C$2:$C$3075,$C24,'标准化长表'!$J$2:$J$3075,"交通门户",'标准化长表'!$E$2:$E$3075,"建设用地")=0,0,-(SUMIFS('标准化长表'!$N$2:$N$3075,'标准化长表'!$C$2:$C$3075,$C24,'标准化长表'!$J$2:$J$3075,"交通门户",'标准化长表'!$E$2:$E$3075,"建设用地")/F24)*LN(SUMIFS('标准化长表'!$N$2:$N$3075,'标准化长表'!$C$2:$C$3075,$C24,'标准化长表'!$J$2:$J$3075,"交通门户",'标准化长表'!$E$2:$E$3075,"建设用地")/F24))+IF(SUMIFS('标准化长表'!$N$2:$N$3075,'标准化长表'!$C$2:$C$3075,$C24,'标准化长表'!$J$2:$J$3075,"公共空间",'标准化长表'!$E$2:$E$3075,"建设用地")=0,0,-(SUMIFS('标准化长表'!$N$2:$N$3075,'标准化长表'!$C$2:$C$3075,$C24,'标准化长表'!$J$2:$J$3075,"公共空间",'标准化长表'!$E$2:$E$3075,"建设用地")/F24)*LN(SUMIFS('标准化长表'!$N$2:$N$3075,'标准化长表'!$C$2:$C$3075,$C24,'标准化长表'!$J$2:$J$3075,"公共空间",'标准化长表'!$E$2:$E$3075,"建设用地")/F24))+IF(SUMIFS('标准化长表'!$N$2:$N$3075,'标准化长表'!$C$2:$C$3075,$C24,'标准化长表'!$J$2:$J$3075,"其他建设",'标准化长表'!$E$2:$E$3075,"建设用地")=0,0,-(SUMIFS('标准化长表'!$N$2:$N$3075,'标准化长表'!$C$2:$C$3075,$C24,'标准化长表'!$J$2:$J$3075,"其他建设",'标准化长表'!$E$2:$E$3075,"建设用地")/F24)*LN(SUMIFS('标准化长表'!$N$2:$N$3075,'标准化长表'!$C$2:$C$3075,$C24,'标准化长表'!$J$2:$J$3075,"其他建设",'标准化长表'!$E$2:$E$3075,"建设用地")/F24)))/LN(7),0)</x:f>
        <x:v>0.7486260452236478</x:v>
      </x:c>
    </x:row>
    <x:row r="25">
      <x:c r="A25" s="21" t="n">
        <x:v>350600</x:v>
      </x:c>
      <x:c r="B25" s="22" t="str">
        <x:v>漳州市</x:v>
      </x:c>
      <x:c r="C25" s="22" t="n">
        <x:v>350626</x:v>
      </x:c>
      <x:c r="D25" s="22" t="str">
        <x:v>东山县</x:v>
      </x:c>
      <x:c r="E25" s="33" t="n">
        <x:f>SUMIFS('标准化长表'!$N$2:$N$3075,'标准化长表'!$C$2:$C$3075,$C25)</x:f>
        <x:v>24340.42302</x:v>
      </x:c>
      <x:c r="F25" s="33" t="n">
        <x:f>SUMIFS('标准化长表'!$N$2:$N$3075,'标准化长表'!$C$2:$C$3075,$C25,'标准化长表'!$E$2:$E$3075,"建设用地")</x:f>
        <x:v>5317.8266810000005</x:v>
      </x:c>
      <x:c r="G25" s="40" t="n">
        <x:f>IFERROR(F25/E25,0)</x:f>
        <x:v>0.21847716765770495</x:v>
      </x:c>
      <x:c r="H25" s="40" t="n">
        <x:f>IFERROR(SUMIFS('标准化长表'!$N$2:$N$3075,'标准化长表'!$C$2:$C$3075,$C25,'标准化长表'!$E$2:$E$3075,"农用地")/E25,0)</x:f>
        <x:v>0.6737776632117056</x:v>
      </x:c>
      <x:c r="I25" s="40" t="n">
        <x:f>IFERROR(SUMIFS('标准化长表'!$N$2:$N$3075,'标准化长表'!$C$2:$C$3075,$C25,'标准化长表'!$E$2:$E$3075,"未利用地")/E25,0)</x:f>
        <x:v>0.10774516913058975</x:v>
      </x:c>
      <x:c r="J25" s="33" t="n">
        <x:f>SUMIFS('标准化长表'!$N$2:$N$3075,'标准化长表'!$C$2:$C$3075,$C25,'标准化长表'!$I$2:$I$3075,"城镇住宅用地")</x:f>
        <x:v>1072.6131050000013</x:v>
      </x:c>
      <x:c r="K25" s="33" t="n">
        <x:f>SUMIFS('标准化长表'!$N$2:$N$3075,'标准化长表'!$C$2:$C$3075,$C25,'标准化长表'!$I$2:$I$3075,"农村宅基地")</x:f>
        <x:v>974.3550499999997</x:v>
      </x:c>
      <x:c r="L25" s="40" t="n">
        <x:f>IFERROR(J25/F25,0)</x:f>
        <x:v>0.20170140347603427</x:v>
      </x:c>
      <x:c r="M25" s="40" t="n">
        <x:f>IFERROR(K25/F25,0)</x:f>
        <x:v>0.18322429602327228</x:v>
      </x:c>
      <x:c r="N25" s="46" t="n">
        <x:f>IFERROR(J25/K25,0)</x:f>
        <x:v>1.1008441994527576</x:v>
      </x:c>
      <x:c r="O25" s="33" t="n">
        <x:f>SUMIFS('标准化长表'!$N$2:$N$3075,'标准化长表'!$C$2:$C$3075,$C25,'标准化长表'!$I$2:$I$3075,"工业用地")</x:f>
        <x:v>555.730766</x:v>
      </x:c>
      <x:c r="P25" s="33" t="n">
        <x:f>SUMIFS('标准化长表'!$N$2:$N$3075,'标准化长表'!$C$2:$C$3075,$C25,'标准化长表'!$I$2:$I$3075,"物流仓储用地")</x:f>
        <x:v>40.74275300000001</x:v>
      </x:c>
      <x:c r="Q25" s="40" t="n">
        <x:f>IFERROR((O25+P25)/F25,0)</x:f>
        <x:v>0.1121649039693477</x:v>
      </x:c>
      <x:c r="R25" s="40" t="n">
        <x:f>IFERROR((O25+P25)/E25,0)</x:f>
        <x:v>0.02450547052982155</x:v>
      </x:c>
      <x:c r="S25" s="33" t="n">
        <x:f>SUMIFS('标准化长表'!$N$2:$N$3075,'标准化长表'!$C$2:$C$3075,$C25,'标准化长表'!$I$2:$I$3075,"商业服务业设施用地")</x:f>
        <x:v>157.194678</x:v>
      </x:c>
      <x:c r="T25" s="40" t="n">
        <x:f>IFERROR(S25/F25,0)</x:f>
        <x:v>0.029559947593184824</x:v>
      </x:c>
      <x:c r="U25" s="33" t="n">
        <x:f>SUMIFS('标准化长表'!$N$2:$N$3075,'标准化长表'!$C$2:$C$3075,$C25,'标准化长表'!$I$2:$I$3075,"机关团体新闻出版用地")+SUMIFS('标准化长表'!$N$2:$N$3075,'标准化长表'!$C$2:$C$3075,$C25,'标准化长表'!$I$2:$I$3075,"科教文卫用地")+SUMIFS('标准化长表'!$N$2:$N$3075,'标准化长表'!$C$2:$C$3075,$C25,'标准化长表'!$I$2:$I$3075,"高教用地")</x:f>
        <x:v>203.08795199999994</x:v>
      </x:c>
      <x:c r="V25" s="40" t="n">
        <x:f>IFERROR(U25/F25,0)</x:f>
        <x:v>0.038190028404951684</x:v>
      </x:c>
      <x:c r="W25" s="40" t="n">
        <x:f>IFERROR((S25+U25+SUMIFS('标准化长表'!$N$2:$N$3075,'标准化长表'!$C$2:$C$3075,$C25,'标准化长表'!$I$2:$I$3075,"公园与绿地")+SUMIFS('标准化长表'!$N$2:$N$3075,'标准化长表'!$C$2:$C$3075,$C25,'标准化长表'!$I$2:$I$3075,"广场用地"))/F25,0)</x:f>
        <x:v>0.06945109856994226</x:v>
      </x:c>
      <x:c r="X25" s="33" t="n">
        <x:f>SUMIFS('标准化长表'!$N$2:$N$3075,'标准化长表'!$C$2:$C$3075,$C25,'标准化长表'!$I$2:$I$3075,"铁路用地")+SUMIFS('标准化长表'!$N$2:$N$3075,'标准化长表'!$C$2:$C$3075,$C25,'标准化长表'!$I$2:$I$3075,"轨道交通用地")+SUMIFS('标准化长表'!$N$2:$N$3075,'标准化长表'!$C$2:$C$3075,$C25,'标准化长表'!$I$2:$I$3075,"机场用地")+SUMIFS('标准化长表'!$N$2:$N$3075,'标准化长表'!$C$2:$C$3075,$C25,'标准化长表'!$I$2:$I$3075,"港口码头用地")+SUMIFS('标准化长表'!$N$2:$N$3075,'标准化长表'!$C$2:$C$3075,$C25,'标准化长表'!$I$2:$I$3075,"交通服务场站用地")+SUMIFS('标准化长表'!$N$2:$N$3075,'标准化长表'!$C$2:$C$3075,$C25,'标准化长表'!$I$2:$I$3075,"物流仓储用地")</x:f>
        <x:v>109.032375</x:v>
      </x:c>
      <x:c r="Y25" s="40" t="n">
        <x:f>IFERROR(X25/F25,0)</x:f>
        <x:v>0.020503183262734093</x:v>
      </x:c>
      <x:c r="Z25" s="33" t="n">
        <x:f>SUMIFS('标准化长表'!$N$2:$N$3075,'标准化长表'!$C$2:$C$3075,$C25,'标准化长表'!$I$2:$I$3075,"公路用地")</x:f>
        <x:v>622.4010629999996</x:v>
      </x:c>
      <x:c r="AA25" s="40" t="n">
        <x:f>IFERROR(Z25/F25,0)</x:f>
        <x:v>0.11704049423494167</x:v>
      </x:c>
      <x:c r="AB25" s="33" t="n">
        <x:f>SUMIFS('标准化长表'!$N$2:$N$3075,'标准化长表'!$C$2:$C$3075,$C25,'标准化长表'!$I$2:$I$3075,"港口码头用地")</x:f>
        <x:v>47.697869</x:v>
      </x:c>
      <x:c r="AC25" s="40" t="n">
        <x:f>IFERROR(AB25/F25,0)</x:f>
        <x:v>0.008969429028294425</x:v>
      </x:c>
      <x:c r="AD25" s="33" t="n">
        <x:f>SUMIFS('标准化长表'!$N$2:$N$3075,'标准化长表'!$C$2:$C$3075,$C25,'标准化长表'!$I$2:$I$3075,"采矿用地")</x:f>
        <x:v>202.82419100000004</x:v>
      </x:c>
      <x:c r="AE25" s="40" t="n">
        <x:f>IFERROR(AD25/F25,0)</x:f>
        <x:v>0.038140429007336434</x:v>
      </x:c>
      <x:c r="AF25" s="33" t="n">
        <x:f>SUMIFS('标准化长表'!$N$2:$N$3075,'标准化长表'!$C$2:$C$3075,$C25,'标准化长表'!$I$2:$I$3075,"公园与绿地")+SUMIFS('标准化长表'!$N$2:$N$3075,'标准化长表'!$C$2:$C$3075,$C25,'标准化长表'!$I$2:$I$3075,"广场用地")</x:f>
        <x:v>9.046275</x:v>
      </x:c>
      <x:c r="AG25" s="40" t="n">
        <x:f>IFERROR(AF25/F25,0)</x:f>
        <x:v>0.0017011225718057581</x:v>
      </x:c>
      <x:c r="AH25" s="47" t="n">
        <x:f>IFERROR((IF(SUMIFS('标准化长表'!$N$2:$N$3075,'标准化长表'!$C$2:$C$3075,$C25,'标准化长表'!$J$2:$J$3075,"居住功能",'标准化长表'!$E$2:$E$3075,"建设用地")=0,0,-(SUMIFS('标准化长表'!$N$2:$N$3075,'标准化长表'!$C$2:$C$3075,$C25,'标准化长表'!$J$2:$J$3075,"居住功能",'标准化长表'!$E$2:$E$3075,"建设用地")/F25)*LN(SUMIFS('标准化长表'!$N$2:$N$3075,'标准化长表'!$C$2:$C$3075,$C25,'标准化长表'!$J$2:$J$3075,"居住功能",'标准化长表'!$E$2:$E$3075,"建设用地")/F25))+IF(SUMIFS('标准化长表'!$N$2:$N$3075,'标准化长表'!$C$2:$C$3075,$C25,'标准化长表'!$J$2:$J$3075,"产业功能",'标准化长表'!$E$2:$E$3075,"建设用地")=0,0,-(SUMIFS('标准化长表'!$N$2:$N$3075,'标准化长表'!$C$2:$C$3075,$C25,'标准化长表'!$J$2:$J$3075,"产业功能",'标准化长表'!$E$2:$E$3075,"建设用地")/F25)*LN(SUMIFS('标准化长表'!$N$2:$N$3075,'标准化长表'!$C$2:$C$3075,$C25,'标准化长表'!$J$2:$J$3075,"产业功能",'标准化长表'!$E$2:$E$3075,"建设用地")/F25))+IF(SUMIFS('标准化长表'!$N$2:$N$3075,'标准化长表'!$C$2:$C$3075,$C25,'标准化长表'!$J$2:$J$3075,"商业服务",'标准化长表'!$E$2:$E$3075,"建设用地")=0,0,-(SUMIFS('标准化长表'!$N$2:$N$3075,'标准化长表'!$C$2:$C$3075,$C25,'标准化长表'!$J$2:$J$3075,"商业服务",'标准化长表'!$E$2:$E$3075,"建设用地")/F25)*LN(SUMIFS('标准化长表'!$N$2:$N$3075,'标准化长表'!$C$2:$C$3075,$C25,'标准化长表'!$J$2:$J$3075,"商业服务",'标准化长表'!$E$2:$E$3075,"建设用地")/F25))+IF(SUMIFS('标准化长表'!$N$2:$N$3075,'标准化长表'!$C$2:$C$3075,$C25,'标准化长表'!$J$2:$J$3075,"公共服务",'标准化长表'!$E$2:$E$3075,"建设用地")=0,0,-(SUMIFS('标准化长表'!$N$2:$N$3075,'标准化长表'!$C$2:$C$3075,$C25,'标准化长表'!$J$2:$J$3075,"公共服务",'标准化长表'!$E$2:$E$3075,"建设用地")/F25)*LN(SUMIFS('标准化长表'!$N$2:$N$3075,'标准化长表'!$C$2:$C$3075,$C25,'标准化长表'!$J$2:$J$3075,"公共服务",'标准化长表'!$E$2:$E$3075,"建设用地")/F25))+IF(SUMIFS('标准化长表'!$N$2:$N$3075,'标准化长表'!$C$2:$C$3075,$C25,'标准化长表'!$J$2:$J$3075,"交通门户",'标准化长表'!$E$2:$E$3075,"建设用地")=0,0,-(SUMIFS('标准化长表'!$N$2:$N$3075,'标准化长表'!$C$2:$C$3075,$C25,'标准化长表'!$J$2:$J$3075,"交通门户",'标准化长表'!$E$2:$E$3075,"建设用地")/F25)*LN(SUMIFS('标准化长表'!$N$2:$N$3075,'标准化长表'!$C$2:$C$3075,$C25,'标准化长表'!$J$2:$J$3075,"交通门户",'标准化长表'!$E$2:$E$3075,"建设用地")/F25))+IF(SUMIFS('标准化长表'!$N$2:$N$3075,'标准化长表'!$C$2:$C$3075,$C25,'标准化长表'!$J$2:$J$3075,"公共空间",'标准化长表'!$E$2:$E$3075,"建设用地")=0,0,-(SUMIFS('标准化长表'!$N$2:$N$3075,'标准化长表'!$C$2:$C$3075,$C25,'标准化长表'!$J$2:$J$3075,"公共空间",'标准化长表'!$E$2:$E$3075,"建设用地")/F25)*LN(SUMIFS('标准化长表'!$N$2:$N$3075,'标准化长表'!$C$2:$C$3075,$C25,'标准化长表'!$J$2:$J$3075,"公共空间",'标准化长表'!$E$2:$E$3075,"建设用地")/F25))+IF(SUMIFS('标准化长表'!$N$2:$N$3075,'标准化长表'!$C$2:$C$3075,$C25,'标准化长表'!$J$2:$J$3075,"其他建设",'标准化长表'!$E$2:$E$3075,"建设用地")=0,0,-(SUMIFS('标准化长表'!$N$2:$N$3075,'标准化长表'!$C$2:$C$3075,$C25,'标准化长表'!$J$2:$J$3075,"其他建设",'标准化长表'!$E$2:$E$3075,"建设用地")/F25)*LN(SUMIFS('标准化长表'!$N$2:$N$3075,'标准化长表'!$C$2:$C$3075,$C25,'标准化长表'!$J$2:$J$3075,"其他建设",'标准化长表'!$E$2:$E$3075,"建设用地")/F25)))/LN(7),0)</x:f>
        <x:v>0.7310745526334511</x:v>
      </x:c>
    </x:row>
    <x:row r="26">
      <x:c r="A26" s="21" t="n">
        <x:v>350600</x:v>
      </x:c>
      <x:c r="B26" s="22" t="str">
        <x:v>漳州市</x:v>
      </x:c>
      <x:c r="C26" s="22" t="n">
        <x:v>350627</x:v>
      </x:c>
      <x:c r="D26" s="22" t="str">
        <x:v>南靖县</x:v>
      </x:c>
      <x:c r="E26" s="33" t="n">
        <x:f>SUMIFS('标准化长表'!$N$2:$N$3075,'标准化长表'!$C$2:$C$3075,$C26)</x:f>
        <x:v>196197.31088999985</x:v>
      </x:c>
      <x:c r="F26" s="33" t="n">
        <x:f>SUMIFS('标准化长表'!$N$2:$N$3075,'标准化长表'!$C$2:$C$3075,$C26,'标准化长表'!$E$2:$E$3075,"建设用地")</x:f>
        <x:v>10155.956178000006</x:v>
      </x:c>
      <x:c r="G26" s="40" t="n">
        <x:f>IFERROR(F26/E26,0)</x:f>
        <x:v>0.051763992747556324</x:v>
      </x:c>
      <x:c r="H26" s="40" t="n">
        <x:f>IFERROR(SUMIFS('标准化长表'!$N$2:$N$3075,'标准化长表'!$C$2:$C$3075,$C26,'标准化长表'!$E$2:$E$3075,"农用地")/E26,0)</x:f>
        <x:v>0.933073620507664</x:v>
      </x:c>
      <x:c r="I26" s="40" t="n">
        <x:f>IFERROR(SUMIFS('标准化长表'!$N$2:$N$3075,'标准化长表'!$C$2:$C$3075,$C26,'标准化长表'!$E$2:$E$3075,"未利用地")/E26,0)</x:f>
        <x:v>0.015162386744779915</x:v>
      </x:c>
      <x:c r="J26" s="33" t="n">
        <x:f>SUMIFS('标准化长表'!$N$2:$N$3075,'标准化长表'!$C$2:$C$3075,$C26,'标准化长表'!$I$2:$I$3075,"城镇住宅用地")</x:f>
        <x:v>778.6216930000004</x:v>
      </x:c>
      <x:c r="K26" s="33" t="n">
        <x:f>SUMIFS('标准化长表'!$N$2:$N$3075,'标准化长表'!$C$2:$C$3075,$C26,'标准化长表'!$I$2:$I$3075,"农村宅基地")</x:f>
        <x:v>3863.5335720000016</x:v>
      </x:c>
      <x:c r="L26" s="40" t="n">
        <x:f>IFERROR(J26/F26,0)</x:f>
        <x:v>0.07666650774711524</x:v>
      </x:c>
      <x:c r="M26" s="40" t="n">
        <x:f>IFERROR(K26/F26,0)</x:f>
        <x:v>0.3804204650241845</x:v>
      </x:c>
      <x:c r="N26" s="46" t="n">
        <x:f>IFERROR(J26/K26,0)</x:f>
        <x:v>0.20153097636911127</x:v>
      </x:c>
      <x:c r="O26" s="33" t="n">
        <x:f>SUMIFS('标准化长表'!$N$2:$N$3075,'标准化长表'!$C$2:$C$3075,$C26,'标准化长表'!$I$2:$I$3075,"工业用地")</x:f>
        <x:v>1323.4058410000002</x:v>
      </x:c>
      <x:c r="P26" s="33" t="n">
        <x:f>SUMIFS('标准化长表'!$N$2:$N$3075,'标准化长表'!$C$2:$C$3075,$C26,'标准化长表'!$I$2:$I$3075,"物流仓储用地")</x:f>
        <x:v>48.78589199999999</x:v>
      </x:c>
      <x:c r="Q26" s="40" t="n">
        <x:f>IFERROR((O26+P26)/F26,0)</x:f>
        <x:v>0.13511201790851202</x:v>
      </x:c>
      <x:c r="R26" s="40" t="n">
        <x:f>IFERROR((O26+P26)/E26,0)</x:f>
        <x:v>0.006993937515123917</x:v>
      </x:c>
      <x:c r="S26" s="33" t="n">
        <x:f>SUMIFS('标准化长表'!$N$2:$N$3075,'标准化长表'!$C$2:$C$3075,$C26,'标准化长表'!$I$2:$I$3075,"商业服务业设施用地")</x:f>
        <x:v>242.78810600000006</x:v>
      </x:c>
      <x:c r="T26" s="40" t="n">
        <x:f>IFERROR(S26/F26,0)</x:f>
        <x:v>0.023905982040955585</x:v>
      </x:c>
      <x:c r="U26" s="33" t="n">
        <x:f>SUMIFS('标准化长表'!$N$2:$N$3075,'标准化长表'!$C$2:$C$3075,$C26,'标准化长表'!$I$2:$I$3075,"机关团体新闻出版用地")+SUMIFS('标准化长表'!$N$2:$N$3075,'标准化长表'!$C$2:$C$3075,$C26,'标准化长表'!$I$2:$I$3075,"科教文卫用地")+SUMIFS('标准化长表'!$N$2:$N$3075,'标准化长表'!$C$2:$C$3075,$C26,'标准化长表'!$I$2:$I$3075,"高教用地")</x:f>
        <x:v>361.39051700000005</x:v>
      </x:c>
      <x:c r="V26" s="40" t="n">
        <x:f>IFERROR(U26/F26,0)</x:f>
        <x:v>0.035584095743033034</x:v>
      </x:c>
      <x:c r="W26" s="40" t="n">
        <x:f>IFERROR((S26+U26+SUMIFS('标准化长表'!$N$2:$N$3075,'标准化长表'!$C$2:$C$3075,$C26,'标准化长表'!$I$2:$I$3075,"公园与绿地")+SUMIFS('标准化长表'!$N$2:$N$3075,'标准化长表'!$C$2:$C$3075,$C26,'标准化长表'!$I$2:$I$3075,"广场用地"))/F26,0)</x:f>
        <x:v>0.06590245401509842</x:v>
      </x:c>
      <x:c r="X26" s="33" t="n">
        <x:f>SUMIFS('标准化长表'!$N$2:$N$3075,'标准化长表'!$C$2:$C$3075,$C26,'标准化长表'!$I$2:$I$3075,"铁路用地")+SUMIFS('标准化长表'!$N$2:$N$3075,'标准化长表'!$C$2:$C$3075,$C26,'标准化长表'!$I$2:$I$3075,"轨道交通用地")+SUMIFS('标准化长表'!$N$2:$N$3075,'标准化长表'!$C$2:$C$3075,$C26,'标准化长表'!$I$2:$I$3075,"机场用地")+SUMIFS('标准化长表'!$N$2:$N$3075,'标准化长表'!$C$2:$C$3075,$C26,'标准化长表'!$I$2:$I$3075,"港口码头用地")+SUMIFS('标准化长表'!$N$2:$N$3075,'标准化长表'!$C$2:$C$3075,$C26,'标准化长表'!$I$2:$I$3075,"交通服务场站用地")+SUMIFS('标准化长表'!$N$2:$N$3075,'标准化长表'!$C$2:$C$3075,$C26,'标准化长表'!$I$2:$I$3075,"物流仓储用地")</x:f>
        <x:v>278.439867</x:v>
      </x:c>
      <x:c r="Y26" s="40" t="n">
        <x:f>IFERROR(X26/F26,0)</x:f>
        <x:v>0.02741641083516694</x:v>
      </x:c>
      <x:c r="Z26" s="33" t="n">
        <x:f>SUMIFS('标准化长表'!$N$2:$N$3075,'标准化长表'!$C$2:$C$3075,$C26,'标准化长表'!$I$2:$I$3075,"公路用地")</x:f>
        <x:v>2276.992895000001</x:v>
      </x:c>
      <x:c r="AA26" s="40" t="n">
        <x:f>IFERROR(Z26/F26,0)</x:f>
        <x:v>0.22420270972933692</x:v>
      </x:c>
      <x:c r="AB26" s="33" t="n">
        <x:f>SUMIFS('标准化长表'!$N$2:$N$3075,'标准化长表'!$C$2:$C$3075,$C26,'标准化长表'!$I$2:$I$3075,"港口码头用地")</x:f>
        <x:v>0</x:v>
      </x:c>
      <x:c r="AC26" s="40" t="n">
        <x:f>IFERROR(AB26/F26,0)</x:f>
        <x:v>0</x:v>
      </x:c>
      <x:c r="AD26" s="33" t="n">
        <x:f>SUMIFS('标准化长表'!$N$2:$N$3075,'标准化长表'!$C$2:$C$3075,$C26,'标准化长表'!$I$2:$I$3075,"采矿用地")</x:f>
        <x:v>157.07797800000003</x:v>
      </x:c>
      <x:c r="AE26" s="40" t="n">
        <x:f>IFERROR(AD26/F26,0)</x:f>
        <x:v>0.015466586823234315</x:v>
      </x:c>
      <x:c r="AF26" s="33" t="n">
        <x:f>SUMIFS('标准化长表'!$N$2:$N$3075,'标准化长表'!$C$2:$C$3075,$C26,'标准化长表'!$I$2:$I$3075,"公园与绿地")+SUMIFS('标准化长表'!$N$2:$N$3075,'标准化长表'!$C$2:$C$3075,$C26,'标准化长表'!$I$2:$I$3075,"广场用地")</x:f>
        <x:v>65.123812</x:v>
      </x:c>
      <x:c r="AG26" s="40" t="n">
        <x:f>IFERROR(AF26/F26,0)</x:f>
        <x:v>0.006412376231109803</x:v>
      </x:c>
      <x:c r="AH26" s="47" t="n">
        <x:f>IFERROR((IF(SUMIFS('标准化长表'!$N$2:$N$3075,'标准化长表'!$C$2:$C$3075,$C26,'标准化长表'!$J$2:$J$3075,"居住功能",'标准化长表'!$E$2:$E$3075,"建设用地")=0,0,-(SUMIFS('标准化长表'!$N$2:$N$3075,'标准化长表'!$C$2:$C$3075,$C26,'标准化长表'!$J$2:$J$3075,"居住功能",'标准化长表'!$E$2:$E$3075,"建设用地")/F26)*LN(SUMIFS('标准化长表'!$N$2:$N$3075,'标准化长表'!$C$2:$C$3075,$C26,'标准化长表'!$J$2:$J$3075,"居住功能",'标准化长表'!$E$2:$E$3075,"建设用地")/F26))+IF(SUMIFS('标准化长表'!$N$2:$N$3075,'标准化长表'!$C$2:$C$3075,$C26,'标准化长表'!$J$2:$J$3075,"产业功能",'标准化长表'!$E$2:$E$3075,"建设用地")=0,0,-(SUMIFS('标准化长表'!$N$2:$N$3075,'标准化长表'!$C$2:$C$3075,$C26,'标准化长表'!$J$2:$J$3075,"产业功能",'标准化长表'!$E$2:$E$3075,"建设用地")/F26)*LN(SUMIFS('标准化长表'!$N$2:$N$3075,'标准化长表'!$C$2:$C$3075,$C26,'标准化长表'!$J$2:$J$3075,"产业功能",'标准化长表'!$E$2:$E$3075,"建设用地")/F26))+IF(SUMIFS('标准化长表'!$N$2:$N$3075,'标准化长表'!$C$2:$C$3075,$C26,'标准化长表'!$J$2:$J$3075,"商业服务",'标准化长表'!$E$2:$E$3075,"建设用地")=0,0,-(SUMIFS('标准化长表'!$N$2:$N$3075,'标准化长表'!$C$2:$C$3075,$C26,'标准化长表'!$J$2:$J$3075,"商业服务",'标准化长表'!$E$2:$E$3075,"建设用地")/F26)*LN(SUMIFS('标准化长表'!$N$2:$N$3075,'标准化长表'!$C$2:$C$3075,$C26,'标准化长表'!$J$2:$J$3075,"商业服务",'标准化长表'!$E$2:$E$3075,"建设用地")/F26))+IF(SUMIFS('标准化长表'!$N$2:$N$3075,'标准化长表'!$C$2:$C$3075,$C26,'标准化长表'!$J$2:$J$3075,"公共服务",'标准化长表'!$E$2:$E$3075,"建设用地")=0,0,-(SUMIFS('标准化长表'!$N$2:$N$3075,'标准化长表'!$C$2:$C$3075,$C26,'标准化长表'!$J$2:$J$3075,"公共服务",'标准化长表'!$E$2:$E$3075,"建设用地")/F26)*LN(SUMIFS('标准化长表'!$N$2:$N$3075,'标准化长表'!$C$2:$C$3075,$C26,'标准化长表'!$J$2:$J$3075,"公共服务",'标准化长表'!$E$2:$E$3075,"建设用地")/F26))+IF(SUMIFS('标准化长表'!$N$2:$N$3075,'标准化长表'!$C$2:$C$3075,$C26,'标准化长表'!$J$2:$J$3075,"交通门户",'标准化长表'!$E$2:$E$3075,"建设用地")=0,0,-(SUMIFS('标准化长表'!$N$2:$N$3075,'标准化长表'!$C$2:$C$3075,$C26,'标准化长表'!$J$2:$J$3075,"交通门户",'标准化长表'!$E$2:$E$3075,"建设用地")/F26)*LN(SUMIFS('标准化长表'!$N$2:$N$3075,'标准化长表'!$C$2:$C$3075,$C26,'标准化长表'!$J$2:$J$3075,"交通门户",'标准化长表'!$E$2:$E$3075,"建设用地")/F26))+IF(SUMIFS('标准化长表'!$N$2:$N$3075,'标准化长表'!$C$2:$C$3075,$C26,'标准化长表'!$J$2:$J$3075,"公共空间",'标准化长表'!$E$2:$E$3075,"建设用地")=0,0,-(SUMIFS('标准化长表'!$N$2:$N$3075,'标准化长表'!$C$2:$C$3075,$C26,'标准化长表'!$J$2:$J$3075,"公共空间",'标准化长表'!$E$2:$E$3075,"建设用地")/F26)*LN(SUMIFS('标准化长表'!$N$2:$N$3075,'标准化长表'!$C$2:$C$3075,$C26,'标准化长表'!$J$2:$J$3075,"公共空间",'标准化长表'!$E$2:$E$3075,"建设用地")/F26))+IF(SUMIFS('标准化长表'!$N$2:$N$3075,'标准化长表'!$C$2:$C$3075,$C26,'标准化长表'!$J$2:$J$3075,"其他建设",'标准化长表'!$E$2:$E$3075,"建设用地")=0,0,-(SUMIFS('标准化长表'!$N$2:$N$3075,'标准化长表'!$C$2:$C$3075,$C26,'标准化长表'!$J$2:$J$3075,"其他建设",'标准化长表'!$E$2:$E$3075,"建设用地")/F26)*LN(SUMIFS('标准化长表'!$N$2:$N$3075,'标准化长表'!$C$2:$C$3075,$C26,'标准化长表'!$J$2:$J$3075,"其他建设",'标准化长表'!$E$2:$E$3075,"建设用地")/F26)))/LN(7),0)</x:f>
        <x:v>0.7202914078578786</x:v>
      </x:c>
    </x:row>
    <x:row r="27">
      <x:c r="A27" s="21" t="n">
        <x:v>350600</x:v>
      </x:c>
      <x:c r="B27" s="22" t="str">
        <x:v>漳州市</x:v>
      </x:c>
      <x:c r="C27" s="22" t="n">
        <x:v>350628</x:v>
      </x:c>
      <x:c r="D27" s="22" t="str">
        <x:v>平和县</x:v>
      </x:c>
      <x:c r="E27" s="33" t="n">
        <x:f>SUMIFS('标准化长表'!$N$2:$N$3075,'标准化长表'!$C$2:$C$3075,$C27)</x:f>
        <x:v>230953.8921099998</x:v>
      </x:c>
      <x:c r="F27" s="33" t="n">
        <x:f>SUMIFS('标准化长表'!$N$2:$N$3075,'标准化长表'!$C$2:$C$3075,$C27,'标准化长表'!$E$2:$E$3075,"建设用地")</x:f>
        <x:v>8758.264321000004</x:v>
      </x:c>
      <x:c r="G27" s="40" t="n">
        <x:f>IFERROR(F27/E27,0)</x:f>
        <x:v>0.03792213346562082</x:v>
      </x:c>
      <x:c r="H27" s="40" t="n">
        <x:f>IFERROR(SUMIFS('标准化长表'!$N$2:$N$3075,'标准化长表'!$C$2:$C$3075,$C27,'标准化长表'!$E$2:$E$3075,"农用地")/E27,0)</x:f>
        <x:v>0.9508189859056797</x:v>
      </x:c>
      <x:c r="I27" s="40" t="n">
        <x:f>IFERROR(SUMIFS('标准化长表'!$N$2:$N$3075,'标准化长表'!$C$2:$C$3075,$C27,'标准化长表'!$E$2:$E$3075,"未利用地")/E27,0)</x:f>
        <x:v>0.011258880628699364</x:v>
      </x:c>
      <x:c r="J27" s="33" t="n">
        <x:f>SUMIFS('标准化长表'!$N$2:$N$3075,'标准化长表'!$C$2:$C$3075,$C27,'标准化长表'!$I$2:$I$3075,"城镇住宅用地")</x:f>
        <x:v>834.1527020000005</x:v>
      </x:c>
      <x:c r="K27" s="33" t="n">
        <x:f>SUMIFS('标准化长表'!$N$2:$N$3075,'标准化长表'!$C$2:$C$3075,$C27,'标准化长表'!$I$2:$I$3075,"农村宅基地")</x:f>
        <x:v>4334.810864000005</x:v>
      </x:c>
      <x:c r="L27" s="40" t="n">
        <x:f>IFERROR(J27/F27,0)</x:f>
        <x:v>0.09524178209601676</x:v>
      </x:c>
      <x:c r="M27" s="40" t="n">
        <x:f>IFERROR(K27/F27,0)</x:f>
        <x:v>0.49493948859322195</x:v>
      </x:c>
      <x:c r="N27" s="46" t="n">
        <x:f>IFERROR(J27/K27,0)</x:f>
        <x:v>0.19243116439693403</x:v>
      </x:c>
      <x:c r="O27" s="33" t="n">
        <x:f>SUMIFS('标准化长表'!$N$2:$N$3075,'标准化长表'!$C$2:$C$3075,$C27,'标准化长表'!$I$2:$I$3075,"工业用地")</x:f>
        <x:v>654.0104719999999</x:v>
      </x:c>
      <x:c r="P27" s="33" t="n">
        <x:f>SUMIFS('标准化长表'!$N$2:$N$3075,'标准化长表'!$C$2:$C$3075,$C27,'标准化长表'!$I$2:$I$3075,"物流仓储用地")</x:f>
        <x:v>85.729152</x:v>
      </x:c>
      <x:c r="Q27" s="40" t="n">
        <x:f>IFERROR((O27+P27)/F27,0)</x:f>
        <x:v>0.08446189757327827</x:v>
      </x:c>
      <x:c r="R27" s="40" t="n">
        <x:f>IFERROR((O27+P27)/E27,0)</x:f>
        <x:v>0.003202975352533454</x:v>
      </x:c>
      <x:c r="S27" s="33" t="n">
        <x:f>SUMIFS('标准化长表'!$N$2:$N$3075,'标准化长表'!$C$2:$C$3075,$C27,'标准化长表'!$I$2:$I$3075,"商业服务业设施用地")</x:f>
        <x:v>353.82249199999967</x:v>
      </x:c>
      <x:c r="T27" s="40" t="n">
        <x:f>IFERROR(S27/F27,0)</x:f>
        <x:v>0.040398699905828006</x:v>
      </x:c>
      <x:c r="U27" s="33" t="n">
        <x:f>SUMIFS('标准化长表'!$N$2:$N$3075,'标准化长表'!$C$2:$C$3075,$C27,'标准化长表'!$I$2:$I$3075,"机关团体新闻出版用地")+SUMIFS('标准化长表'!$N$2:$N$3075,'标准化长表'!$C$2:$C$3075,$C27,'标准化长表'!$I$2:$I$3075,"科教文卫用地")+SUMIFS('标准化长表'!$N$2:$N$3075,'标准化长表'!$C$2:$C$3075,$C27,'标准化长表'!$I$2:$I$3075,"高教用地")</x:f>
        <x:v>289.23879100000005</x:v>
      </x:c>
      <x:c r="V27" s="40" t="n">
        <x:f>IFERROR(U27/F27,0)</x:f>
        <x:v>0.0330246702313473</x:v>
      </x:c>
      <x:c r="W27" s="40" t="n">
        <x:f>IFERROR((S27+U27+SUMIFS('标准化长表'!$N$2:$N$3075,'标准化长表'!$C$2:$C$3075,$C27,'标准化长表'!$I$2:$I$3075,"公园与绿地")+SUMIFS('标准化长表'!$N$2:$N$3075,'标准化长表'!$C$2:$C$3075,$C27,'标准化长表'!$I$2:$I$3075,"广场用地"))/F27,0)</x:f>
        <x:v>0.07972370510967586</x:v>
      </x:c>
      <x:c r="X27" s="33" t="n">
        <x:f>SUMIFS('标准化长表'!$N$2:$N$3075,'标准化长表'!$C$2:$C$3075,$C27,'标准化长表'!$I$2:$I$3075,"铁路用地")+SUMIFS('标准化长表'!$N$2:$N$3075,'标准化长表'!$C$2:$C$3075,$C27,'标准化长表'!$I$2:$I$3075,"轨道交通用地")+SUMIFS('标准化长表'!$N$2:$N$3075,'标准化长表'!$C$2:$C$3075,$C27,'标准化长表'!$I$2:$I$3075,"机场用地")+SUMIFS('标准化长表'!$N$2:$N$3075,'标准化长表'!$C$2:$C$3075,$C27,'标准化长表'!$I$2:$I$3075,"港口码头用地")+SUMIFS('标准化长表'!$N$2:$N$3075,'标准化长表'!$C$2:$C$3075,$C27,'标准化长表'!$I$2:$I$3075,"交通服务场站用地")+SUMIFS('标准化长表'!$N$2:$N$3075,'标准化长表'!$C$2:$C$3075,$C27,'标准化长表'!$I$2:$I$3075,"物流仓储用地")</x:f>
        <x:v>113.87246400000001</x:v>
      </x:c>
      <x:c r="Y27" s="40" t="n">
        <x:f>IFERROR(X27/F27,0)</x:f>
        <x:v>0.01300171584533752</x:v>
      </x:c>
      <x:c r="Z27" s="33" t="n">
        <x:f>SUMIFS('标准化长表'!$N$2:$N$3075,'标准化长表'!$C$2:$C$3075,$C27,'标准化长表'!$I$2:$I$3075,"公路用地")</x:f>
        <x:v>1469.4654480000013</x:v>
      </x:c>
      <x:c r="AA27" s="40" t="n">
        <x:f>IFERROR(Z27/F27,0)</x:f>
        <x:v>0.16778044075201193</x:v>
      </x:c>
      <x:c r="AB27" s="33" t="n">
        <x:f>SUMIFS('标准化长表'!$N$2:$N$3075,'标准化长表'!$C$2:$C$3075,$C27,'标准化长表'!$I$2:$I$3075,"港口码头用地")</x:f>
        <x:v>0</x:v>
      </x:c>
      <x:c r="AC27" s="40" t="n">
        <x:f>IFERROR(AB27/F27,0)</x:f>
        <x:v>0</x:v>
      </x:c>
      <x:c r="AD27" s="33" t="n">
        <x:f>SUMIFS('标准化长表'!$N$2:$N$3075,'标准化长表'!$C$2:$C$3075,$C27,'标准化长表'!$I$2:$I$3075,"采矿用地")</x:f>
        <x:v>222.324563</x:v>
      </x:c>
      <x:c r="AE27" s="40" t="n">
        <x:f>IFERROR(AD27/F27,0)</x:f>
        <x:v>0.025384545938734054</x:v>
      </x:c>
      <x:c r="AF27" s="33" t="n">
        <x:f>SUMIFS('标准化长表'!$N$2:$N$3075,'标准化长表'!$C$2:$C$3075,$C27,'标准化长表'!$I$2:$I$3075,"公园与绿地")+SUMIFS('标准化长表'!$N$2:$N$3075,'标准化长表'!$C$2:$C$3075,$C27,'标准化长表'!$I$2:$I$3075,"广场用地")</x:f>
        <x:v>55.179999</x:v>
      </x:c>
      <x:c r="AG27" s="40" t="n">
        <x:f>IFERROR(AF27/F27,0)</x:f>
        <x:v>0.006300334972500538</x:v>
      </x:c>
      <x:c r="AH27" s="47" t="n">
        <x:f>IFERROR((IF(SUMIFS('标准化长表'!$N$2:$N$3075,'标准化长表'!$C$2:$C$3075,$C27,'标准化长表'!$J$2:$J$3075,"居住功能",'标准化长表'!$E$2:$E$3075,"建设用地")=0,0,-(SUMIFS('标准化长表'!$N$2:$N$3075,'标准化长表'!$C$2:$C$3075,$C27,'标准化长表'!$J$2:$J$3075,"居住功能",'标准化长表'!$E$2:$E$3075,"建设用地")/F27)*LN(SUMIFS('标准化长表'!$N$2:$N$3075,'标准化长表'!$C$2:$C$3075,$C27,'标准化长表'!$J$2:$J$3075,"居住功能",'标准化长表'!$E$2:$E$3075,"建设用地")/F27))+IF(SUMIFS('标准化长表'!$N$2:$N$3075,'标准化长表'!$C$2:$C$3075,$C27,'标准化长表'!$J$2:$J$3075,"产业功能",'标准化长表'!$E$2:$E$3075,"建设用地")=0,0,-(SUMIFS('标准化长表'!$N$2:$N$3075,'标准化长表'!$C$2:$C$3075,$C27,'标准化长表'!$J$2:$J$3075,"产业功能",'标准化长表'!$E$2:$E$3075,"建设用地")/F27)*LN(SUMIFS('标准化长表'!$N$2:$N$3075,'标准化长表'!$C$2:$C$3075,$C27,'标准化长表'!$J$2:$J$3075,"产业功能",'标准化长表'!$E$2:$E$3075,"建设用地")/F27))+IF(SUMIFS('标准化长表'!$N$2:$N$3075,'标准化长表'!$C$2:$C$3075,$C27,'标准化长表'!$J$2:$J$3075,"商业服务",'标准化长表'!$E$2:$E$3075,"建设用地")=0,0,-(SUMIFS('标准化长表'!$N$2:$N$3075,'标准化长表'!$C$2:$C$3075,$C27,'标准化长表'!$J$2:$J$3075,"商业服务",'标准化长表'!$E$2:$E$3075,"建设用地")/F27)*LN(SUMIFS('标准化长表'!$N$2:$N$3075,'标准化长表'!$C$2:$C$3075,$C27,'标准化长表'!$J$2:$J$3075,"商业服务",'标准化长表'!$E$2:$E$3075,"建设用地")/F27))+IF(SUMIFS('标准化长表'!$N$2:$N$3075,'标准化长表'!$C$2:$C$3075,$C27,'标准化长表'!$J$2:$J$3075,"公共服务",'标准化长表'!$E$2:$E$3075,"建设用地")=0,0,-(SUMIFS('标准化长表'!$N$2:$N$3075,'标准化长表'!$C$2:$C$3075,$C27,'标准化长表'!$J$2:$J$3075,"公共服务",'标准化长表'!$E$2:$E$3075,"建设用地")/F27)*LN(SUMIFS('标准化长表'!$N$2:$N$3075,'标准化长表'!$C$2:$C$3075,$C27,'标准化长表'!$J$2:$J$3075,"公共服务",'标准化长表'!$E$2:$E$3075,"建设用地")/F27))+IF(SUMIFS('标准化长表'!$N$2:$N$3075,'标准化长表'!$C$2:$C$3075,$C27,'标准化长表'!$J$2:$J$3075,"交通门户",'标准化长表'!$E$2:$E$3075,"建设用地")=0,0,-(SUMIFS('标准化长表'!$N$2:$N$3075,'标准化长表'!$C$2:$C$3075,$C27,'标准化长表'!$J$2:$J$3075,"交通门户",'标准化长表'!$E$2:$E$3075,"建设用地")/F27)*LN(SUMIFS('标准化长表'!$N$2:$N$3075,'标准化长表'!$C$2:$C$3075,$C27,'标准化长表'!$J$2:$J$3075,"交通门户",'标准化长表'!$E$2:$E$3075,"建设用地")/F27))+IF(SUMIFS('标准化长表'!$N$2:$N$3075,'标准化长表'!$C$2:$C$3075,$C27,'标准化长表'!$J$2:$J$3075,"公共空间",'标准化长表'!$E$2:$E$3075,"建设用地")=0,0,-(SUMIFS('标准化长表'!$N$2:$N$3075,'标准化长表'!$C$2:$C$3075,$C27,'标准化长表'!$J$2:$J$3075,"公共空间",'标准化长表'!$E$2:$E$3075,"建设用地")/F27)*LN(SUMIFS('标准化长表'!$N$2:$N$3075,'标准化长表'!$C$2:$C$3075,$C27,'标准化长表'!$J$2:$J$3075,"公共空间",'标准化长表'!$E$2:$E$3075,"建设用地")/F27))+IF(SUMIFS('标准化长表'!$N$2:$N$3075,'标准化长表'!$C$2:$C$3075,$C27,'标准化长表'!$J$2:$J$3075,"其他建设",'标准化长表'!$E$2:$E$3075,"建设用地")=0,0,-(SUMIFS('标准化长表'!$N$2:$N$3075,'标准化长表'!$C$2:$C$3075,$C27,'标准化长表'!$J$2:$J$3075,"其他建设",'标准化长表'!$E$2:$E$3075,"建设用地")/F27)*LN(SUMIFS('标准化长表'!$N$2:$N$3075,'标准化长表'!$C$2:$C$3075,$C27,'标准化长表'!$J$2:$J$3075,"其他建设",'标准化长表'!$E$2:$E$3075,"建设用地")/F27)))/LN(7),0)</x:f>
        <x:v>0.6397125373783161</x:v>
      </x:c>
    </x:row>
    <x:row r="28">
      <x:c r="A28" s="21" t="n">
        <x:v>350600</x:v>
      </x:c>
      <x:c r="B28" s="22" t="str">
        <x:v>漳州市</x:v>
      </x:c>
      <x:c r="C28" s="22" t="n">
        <x:v>350629</x:v>
      </x:c>
      <x:c r="D28" s="22" t="str">
        <x:v>华安县</x:v>
      </x:c>
      <x:c r="E28" s="33" t="n">
        <x:f>SUMIFS('标准化长表'!$N$2:$N$3075,'标准化长表'!$C$2:$C$3075,$C28)</x:f>
        <x:v>127760.83967000022</x:v>
      </x:c>
      <x:c r="F28" s="33" t="n">
        <x:f>SUMIFS('标准化长表'!$N$2:$N$3075,'标准化长表'!$C$2:$C$3075,$C28,'标准化长表'!$E$2:$E$3075,"建设用地")</x:f>
        <x:v>4976.498838999998</x:v>
      </x:c>
      <x:c r="G28" s="40" t="n">
        <x:f>IFERROR(F28/E28,0)</x:f>
        <x:v>0.03895167605233374</x:v>
      </x:c>
      <x:c r="H28" s="40" t="n">
        <x:f>IFERROR(SUMIFS('标准化长表'!$N$2:$N$3075,'标准化长表'!$C$2:$C$3075,$C28,'标准化长表'!$E$2:$E$3075,"农用地")/E28,0)</x:f>
        <x:v>0.9374823528819096</x:v>
      </x:c>
      <x:c r="I28" s="40" t="n">
        <x:f>IFERROR(SUMIFS('标准化长表'!$N$2:$N$3075,'标准化长表'!$C$2:$C$3075,$C28,'标准化长表'!$E$2:$E$3075,"未利用地")/E28,0)</x:f>
        <x:v>0.023565971065756666</x:v>
      </x:c>
      <x:c r="J28" s="33" t="n">
        <x:f>SUMIFS('标准化长表'!$N$2:$N$3075,'标准化长表'!$C$2:$C$3075,$C28,'标准化长表'!$I$2:$I$3075,"城镇住宅用地")</x:f>
        <x:v>386.3413130000001</x:v>
      </x:c>
      <x:c r="K28" s="33" t="n">
        <x:f>SUMIFS('标准化长表'!$N$2:$N$3075,'标准化长表'!$C$2:$C$3075,$C28,'标准化长表'!$I$2:$I$3075,"农村宅基地")</x:f>
        <x:v>1822.6559409999986</x:v>
      </x:c>
      <x:c r="L28" s="40" t="n">
        <x:f>IFERROR(J28/F28,0)</x:f>
        <x:v>0.0776331564617894</x:v>
      </x:c>
      <x:c r="M28" s="40" t="n">
        <x:f>IFERROR(K28/F28,0)</x:f>
        <x:v>0.36625266074938984</x:v>
      </x:c>
      <x:c r="N28" s="46" t="n">
        <x:f>IFERROR(J28/K28,0)</x:f>
        <x:v>0.21196612279333107</x:v>
      </x:c>
      <x:c r="O28" s="33" t="n">
        <x:f>SUMIFS('标准化长表'!$N$2:$N$3075,'标准化长表'!$C$2:$C$3075,$C28,'标准化长表'!$I$2:$I$3075,"工业用地")</x:f>
        <x:v>753.903629</x:v>
      </x:c>
      <x:c r="P28" s="33" t="n">
        <x:f>SUMIFS('标准化长表'!$N$2:$N$3075,'标准化长表'!$C$2:$C$3075,$C28,'标准化长表'!$I$2:$I$3075,"物流仓储用地")</x:f>
        <x:v>13.543292000000001</x:v>
      </x:c>
      <x:c r="Q28" s="40" t="n">
        <x:f>IFERROR((O28+P28)/F28,0)</x:f>
        <x:v>0.15421422687485536</x:v>
      </x:c>
      <x:c r="R28" s="40" t="n">
        <x:f>IFERROR((O28+P28)/E28,0)</x:f>
        <x:v>0.006006902607890466</x:v>
      </x:c>
      <x:c r="S28" s="33" t="n">
        <x:f>SUMIFS('标准化长表'!$N$2:$N$3075,'标准化长表'!$C$2:$C$3075,$C28,'标准化长表'!$I$2:$I$3075,"商业服务业设施用地")</x:f>
        <x:v>42.898257</x:v>
      </x:c>
      <x:c r="T28" s="40" t="n">
        <x:f>IFERROR(S28/F28,0)</x:f>
        <x:v>0.008620168192105955</x:v>
      </x:c>
      <x:c r="U28" s="33" t="n">
        <x:f>SUMIFS('标准化长表'!$N$2:$N$3075,'标准化长表'!$C$2:$C$3075,$C28,'标准化长表'!$I$2:$I$3075,"机关团体新闻出版用地")+SUMIFS('标准化长表'!$N$2:$N$3075,'标准化长表'!$C$2:$C$3075,$C28,'标准化长表'!$I$2:$I$3075,"科教文卫用地")+SUMIFS('标准化长表'!$N$2:$N$3075,'标准化长表'!$C$2:$C$3075,$C28,'标准化长表'!$I$2:$I$3075,"高教用地")</x:f>
        <x:v>154.05832300000003</x:v>
      </x:c>
      <x:c r="V28" s="40" t="n">
        <x:f>IFERROR(U28/F28,0)</x:f>
        <x:v>0.03095717048955592</x:v>
      </x:c>
      <x:c r="W28" s="40" t="n">
        <x:f>IFERROR((S28+U28+SUMIFS('标准化长表'!$N$2:$N$3075,'标准化长表'!$C$2:$C$3075,$C28,'标准化长表'!$I$2:$I$3075,"公园与绿地")+SUMIFS('标准化长表'!$N$2:$N$3075,'标准化长表'!$C$2:$C$3075,$C28,'标准化长表'!$I$2:$I$3075,"广场用地"))/F28,0)</x:f>
        <x:v>0.04296267052741096</x:v>
      </x:c>
      <x:c r="X28" s="33" t="n">
        <x:f>SUMIFS('标准化长表'!$N$2:$N$3075,'标准化长表'!$C$2:$C$3075,$C28,'标准化长表'!$I$2:$I$3075,"铁路用地")+SUMIFS('标准化长表'!$N$2:$N$3075,'标准化长表'!$C$2:$C$3075,$C28,'标准化长表'!$I$2:$I$3075,"轨道交通用地")+SUMIFS('标准化长表'!$N$2:$N$3075,'标准化长表'!$C$2:$C$3075,$C28,'标准化长表'!$I$2:$I$3075,"机场用地")+SUMIFS('标准化长表'!$N$2:$N$3075,'标准化长表'!$C$2:$C$3075,$C28,'标准化长表'!$I$2:$I$3075,"港口码头用地")+SUMIFS('标准化长表'!$N$2:$N$3075,'标准化长表'!$C$2:$C$3075,$C28,'标准化长表'!$I$2:$I$3075,"交通服务场站用地")+SUMIFS('标准化长表'!$N$2:$N$3075,'标准化长表'!$C$2:$C$3075,$C28,'标准化长表'!$I$2:$I$3075,"物流仓储用地")</x:f>
        <x:v>172.56740300000004</x:v>
      </x:c>
      <x:c r="Y28" s="40" t="n">
        <x:f>IFERROR(X28/F28,0)</x:f>
        <x:v>0.034676468051718985</x:v>
      </x:c>
      <x:c r="Z28" s="33" t="n">
        <x:f>SUMIFS('标准化长表'!$N$2:$N$3075,'标准化长表'!$C$2:$C$3075,$C28,'标准化长表'!$I$2:$I$3075,"公路用地")</x:f>
        <x:v>1147.8548830000002</x:v>
      </x:c>
      <x:c r="AA28" s="40" t="n">
        <x:f>IFERROR(Z28/F28,0)</x:f>
        <x:v>0.23065510917122123</x:v>
      </x:c>
      <x:c r="AB28" s="33" t="n">
        <x:f>SUMIFS('标准化长表'!$N$2:$N$3075,'标准化长表'!$C$2:$C$3075,$C28,'标准化长表'!$I$2:$I$3075,"港口码头用地")</x:f>
        <x:v>0.36401100000000003</x:v>
      </x:c>
      <x:c r="AC28" s="40" t="n">
        <x:f>IFERROR(AB28/F28,0)</x:f>
        <x:v>0.00007314600319953982</x:v>
      </x:c>
      <x:c r="AD28" s="33" t="n">
        <x:f>SUMIFS('标准化长表'!$N$2:$N$3075,'标准化长表'!$C$2:$C$3075,$C28,'标准化长表'!$I$2:$I$3075,"采矿用地")</x:f>
        <x:v>245.891057</x:v>
      </x:c>
      <x:c r="AE28" s="40" t="n">
        <x:f>IFERROR(AD28/F28,0)</x:f>
        <x:v>0.0494104519974952</x:v>
      </x:c>
      <x:c r="AF28" s="33" t="n">
        <x:f>SUMIFS('标准化长表'!$N$2:$N$3075,'标准化长表'!$C$2:$C$3075,$C28,'标准化长表'!$I$2:$I$3075,"公园与绿地")+SUMIFS('标准化长表'!$N$2:$N$3075,'标准化长表'!$C$2:$C$3075,$C28,'标准化长表'!$I$2:$I$3075,"广场用地")</x:f>
        <x:v>16.8471</x:v>
      </x:c>
      <x:c r="AG28" s="40" t="n">
        <x:f>IFERROR(AF28/F28,0)</x:f>
        <x:v>0.0033853318457490768</x:v>
      </x:c>
      <x:c r="AH28" s="47" t="n">
        <x:f>IFERROR((IF(SUMIFS('标准化长表'!$N$2:$N$3075,'标准化长表'!$C$2:$C$3075,$C28,'标准化长表'!$J$2:$J$3075,"居住功能",'标准化长表'!$E$2:$E$3075,"建设用地")=0,0,-(SUMIFS('标准化长表'!$N$2:$N$3075,'标准化长表'!$C$2:$C$3075,$C28,'标准化长表'!$J$2:$J$3075,"居住功能",'标准化长表'!$E$2:$E$3075,"建设用地")/F28)*LN(SUMIFS('标准化长表'!$N$2:$N$3075,'标准化长表'!$C$2:$C$3075,$C28,'标准化长表'!$J$2:$J$3075,"居住功能",'标准化长表'!$E$2:$E$3075,"建设用地")/F28))+IF(SUMIFS('标准化长表'!$N$2:$N$3075,'标准化长表'!$C$2:$C$3075,$C28,'标准化长表'!$J$2:$J$3075,"产业功能",'标准化长表'!$E$2:$E$3075,"建设用地")=0,0,-(SUMIFS('标准化长表'!$N$2:$N$3075,'标准化长表'!$C$2:$C$3075,$C28,'标准化长表'!$J$2:$J$3075,"产业功能",'标准化长表'!$E$2:$E$3075,"建设用地")/F28)*LN(SUMIFS('标准化长表'!$N$2:$N$3075,'标准化长表'!$C$2:$C$3075,$C28,'标准化长表'!$J$2:$J$3075,"产业功能",'标准化长表'!$E$2:$E$3075,"建设用地")/F28))+IF(SUMIFS('标准化长表'!$N$2:$N$3075,'标准化长表'!$C$2:$C$3075,$C28,'标准化长表'!$J$2:$J$3075,"商业服务",'标准化长表'!$E$2:$E$3075,"建设用地")=0,0,-(SUMIFS('标准化长表'!$N$2:$N$3075,'标准化长表'!$C$2:$C$3075,$C28,'标准化长表'!$J$2:$J$3075,"商业服务",'标准化长表'!$E$2:$E$3075,"建设用地")/F28)*LN(SUMIFS('标准化长表'!$N$2:$N$3075,'标准化长表'!$C$2:$C$3075,$C28,'标准化长表'!$J$2:$J$3075,"商业服务",'标准化长表'!$E$2:$E$3075,"建设用地")/F28))+IF(SUMIFS('标准化长表'!$N$2:$N$3075,'标准化长表'!$C$2:$C$3075,$C28,'标准化长表'!$J$2:$J$3075,"公共服务",'标准化长表'!$E$2:$E$3075,"建设用地")=0,0,-(SUMIFS('标准化长表'!$N$2:$N$3075,'标准化长表'!$C$2:$C$3075,$C28,'标准化长表'!$J$2:$J$3075,"公共服务",'标准化长表'!$E$2:$E$3075,"建设用地")/F28)*LN(SUMIFS('标准化长表'!$N$2:$N$3075,'标准化长表'!$C$2:$C$3075,$C28,'标准化长表'!$J$2:$J$3075,"公共服务",'标准化长表'!$E$2:$E$3075,"建设用地")/F28))+IF(SUMIFS('标准化长表'!$N$2:$N$3075,'标准化长表'!$C$2:$C$3075,$C28,'标准化长表'!$J$2:$J$3075,"交通门户",'标准化长表'!$E$2:$E$3075,"建设用地")=0,0,-(SUMIFS('标准化长表'!$N$2:$N$3075,'标准化长表'!$C$2:$C$3075,$C28,'标准化长表'!$J$2:$J$3075,"交通门户",'标准化长表'!$E$2:$E$3075,"建设用地")/F28)*LN(SUMIFS('标准化长表'!$N$2:$N$3075,'标准化长表'!$C$2:$C$3075,$C28,'标准化长表'!$J$2:$J$3075,"交通门户",'标准化长表'!$E$2:$E$3075,"建设用地")/F28))+IF(SUMIFS('标准化长表'!$N$2:$N$3075,'标准化长表'!$C$2:$C$3075,$C28,'标准化长表'!$J$2:$J$3075,"公共空间",'标准化长表'!$E$2:$E$3075,"建设用地")=0,0,-(SUMIFS('标准化长表'!$N$2:$N$3075,'标准化长表'!$C$2:$C$3075,$C28,'标准化长表'!$J$2:$J$3075,"公共空间",'标准化长表'!$E$2:$E$3075,"建设用地")/F28)*LN(SUMIFS('标准化长表'!$N$2:$N$3075,'标准化长表'!$C$2:$C$3075,$C28,'标准化长表'!$J$2:$J$3075,"公共空间",'标准化长表'!$E$2:$E$3075,"建设用地")/F28))+IF(SUMIFS('标准化长表'!$N$2:$N$3075,'标准化长表'!$C$2:$C$3075,$C28,'标准化长表'!$J$2:$J$3075,"其他建设",'标准化长表'!$E$2:$E$3075,"建设用地")=0,0,-(SUMIFS('标准化长表'!$N$2:$N$3075,'标准化长表'!$C$2:$C$3075,$C28,'标准化长表'!$J$2:$J$3075,"其他建设",'标准化长表'!$E$2:$E$3075,"建设用地")/F28)*LN(SUMIFS('标准化长表'!$N$2:$N$3075,'标准化长表'!$C$2:$C$3075,$C28,'标准化长表'!$J$2:$J$3075,"其他建设",'标准化长表'!$E$2:$E$3075,"建设用地")/F28)))/LN(7),0)</x:f>
        <x:v>0.6765303498347743</x:v>
      </x:c>
    </x:row>
    <x:row r="29">
      <x:c r="A29" s="24" t="n">
        <x:v>350600</x:v>
      </x:c>
      <x:c r="B29" s="25" t="str">
        <x:v>漳州市</x:v>
      </x:c>
      <x:c r="C29" s="25" t="n">
        <x:v>350681</x:v>
      </x:c>
      <x:c r="D29" s="25" t="str">
        <x:v>龙海区</x:v>
      </x:c>
      <x:c r="E29" s="37" t="n">
        <x:f>SUMIFS('标准化长表'!$N$2:$N$3075,'标准化长表'!$C$2:$C$3075,$C29)</x:f>
        <x:v>131983.11397999994</x:v>
      </x:c>
      <x:c r="F29" s="37" t="n">
        <x:f>SUMIFS('标准化长表'!$N$2:$N$3075,'标准化长表'!$C$2:$C$3075,$C29,'标准化长表'!$E$2:$E$3075,"建设用地")</x:f>
        <x:v>24433.721474000024</x:v>
      </x:c>
      <x:c r="G29" s="42" t="n">
        <x:f>IFERROR(F29/E29,0)</x:f>
        <x:v>0.1851276329008466</x:v>
      </x:c>
      <x:c r="H29" s="42" t="n">
        <x:f>IFERROR(SUMIFS('标准化长表'!$N$2:$N$3075,'标准化长表'!$C$2:$C$3075,$C29,'标准化长表'!$E$2:$E$3075,"农用地")/E29,0)</x:f>
        <x:v>0.7224429738220061</x:v>
      </x:c>
      <x:c r="I29" s="42" t="n">
        <x:f>IFERROR(SUMIFS('标准化长表'!$N$2:$N$3075,'标准化长表'!$C$2:$C$3075,$C29,'标准化长表'!$E$2:$E$3075,"未利用地")/E29,0)</x:f>
        <x:v>0.09242939327714748</x:v>
      </x:c>
      <x:c r="J29" s="37" t="n">
        <x:f>SUMIFS('标准化长表'!$N$2:$N$3075,'标准化长表'!$C$2:$C$3075,$C29,'标准化长表'!$I$2:$I$3075,"城镇住宅用地")</x:f>
        <x:v>2642.727612000002</x:v>
      </x:c>
      <x:c r="K29" s="37" t="n">
        <x:f>SUMIFS('标准化长表'!$N$2:$N$3075,'标准化长表'!$C$2:$C$3075,$C29,'标准化长表'!$I$2:$I$3075,"农村宅基地")</x:f>
        <x:v>8084.101308000023</x:v>
      </x:c>
      <x:c r="L29" s="42" t="n">
        <x:f>IFERROR(J29/F29,0)</x:f>
        <x:v>0.10815902992150149</x:v>
      </x:c>
      <x:c r="M29" s="42" t="n">
        <x:f>IFERROR(K29/F29,0)</x:f>
        <x:v>0.3308583719677059</x:v>
      </x:c>
      <x:c r="N29" s="48" t="n">
        <x:f>IFERROR(J29/K29,0)</x:f>
        <x:v>0.3269043164247286</x:v>
      </x:c>
      <x:c r="O29" s="37" t="n">
        <x:f>SUMIFS('标准化长表'!$N$2:$N$3075,'标准化长表'!$C$2:$C$3075,$C29,'标准化长表'!$I$2:$I$3075,"工业用地")</x:f>
        <x:v>4525.875086000002</x:v>
      </x:c>
      <x:c r="P29" s="37" t="n">
        <x:f>SUMIFS('标准化长表'!$N$2:$N$3075,'标准化长表'!$C$2:$C$3075,$C29,'标准化长表'!$I$2:$I$3075,"物流仓储用地")</x:f>
        <x:v>320.702021</x:v>
      </x:c>
      <x:c r="Q29" s="42" t="n">
        <x:f>IFERROR((O29+P29)/F29,0)</x:f>
        <x:v>0.19835607572744313</x:v>
      </x:c>
      <x:c r="R29" s="42" t="n">
        <x:f>IFERROR((O29+P29)/E29,0)</x:f>
        <x:v>0.03672119077092262</x:v>
      </x:c>
      <x:c r="S29" s="37" t="n">
        <x:f>SUMIFS('标准化长表'!$N$2:$N$3075,'标准化长表'!$C$2:$C$3075,$C29,'标准化长表'!$I$2:$I$3075,"商业服务业设施用地")</x:f>
        <x:v>477.48764800000015</x:v>
      </x:c>
      <x:c r="T29" s="42" t="n">
        <x:f>IFERROR(S29/F29,0)</x:f>
        <x:v>0.01954215809933398</x:v>
      </x:c>
      <x:c r="U29" s="37" t="n">
        <x:f>SUMIFS('标准化长表'!$N$2:$N$3075,'标准化长表'!$C$2:$C$3075,$C29,'标准化长表'!$I$2:$I$3075,"机关团体新闻出版用地")+SUMIFS('标准化长表'!$N$2:$N$3075,'标准化长表'!$C$2:$C$3075,$C29,'标准化长表'!$I$2:$I$3075,"科教文卫用地")+SUMIFS('标准化长表'!$N$2:$N$3075,'标准化长表'!$C$2:$C$3075,$C29,'标准化长表'!$I$2:$I$3075,"高教用地")</x:f>
        <x:v>821.6267829999995</x:v>
      </x:c>
      <x:c r="V29" s="42" t="n">
        <x:f>IFERROR(U29/F29,0)</x:f>
        <x:v>0.03362675570621914</x:v>
      </x:c>
      <x:c r="W29" s="42" t="n">
        <x:f>IFERROR((S29+U29+SUMIFS('标准化长表'!$N$2:$N$3075,'标准化长表'!$C$2:$C$3075,$C29,'标准化长表'!$I$2:$I$3075,"公园与绿地")+SUMIFS('标准化长表'!$N$2:$N$3075,'标准化长表'!$C$2:$C$3075,$C29,'标准化长表'!$I$2:$I$3075,"广场用地"))/F29,0)</x:f>
        <x:v>0.0623736927517044</x:v>
      </x:c>
      <x:c r="X29" s="37" t="n">
        <x:f>SUMIFS('标准化长表'!$N$2:$N$3075,'标准化长表'!$C$2:$C$3075,$C29,'标准化长表'!$I$2:$I$3075,"铁路用地")+SUMIFS('标准化长表'!$N$2:$N$3075,'标准化长表'!$C$2:$C$3075,$C29,'标准化长表'!$I$2:$I$3075,"轨道交通用地")+SUMIFS('标准化长表'!$N$2:$N$3075,'标准化长表'!$C$2:$C$3075,$C29,'标准化长表'!$I$2:$I$3075,"机场用地")+SUMIFS('标准化长表'!$N$2:$N$3075,'标准化长表'!$C$2:$C$3075,$C29,'标准化长表'!$I$2:$I$3075,"港口码头用地")+SUMIFS('标准化长表'!$N$2:$N$3075,'标准化长表'!$C$2:$C$3075,$C29,'标准化长表'!$I$2:$I$3075,"交通服务场站用地")+SUMIFS('标准化长表'!$N$2:$N$3075,'标准化长表'!$C$2:$C$3075,$C29,'标准化长表'!$I$2:$I$3075,"物流仓储用地")</x:f>
        <x:v>1102.9794709999999</x:v>
      </x:c>
      <x:c r="Y29" s="42" t="n">
        <x:f>IFERROR(X29/F29,0)</x:f>
        <x:v>0.045141689618328616</x:v>
      </x:c>
      <x:c r="Z29" s="37" t="n">
        <x:f>SUMIFS('标准化长表'!$N$2:$N$3075,'标准化长表'!$C$2:$C$3075,$C29,'标准化长表'!$I$2:$I$3075,"公路用地")</x:f>
        <x:v>3377.586029999998</x:v>
      </x:c>
      <x:c r="AA29" s="42" t="n">
        <x:f>IFERROR(Z29/F29,0)</x:f>
        <x:v>0.13823461291371822</x:v>
      </x:c>
      <x:c r="AB29" s="37" t="n">
        <x:f>SUMIFS('标准化长表'!$N$2:$N$3075,'标准化长表'!$C$2:$C$3075,$C29,'标准化长表'!$I$2:$I$3075,"港口码头用地")</x:f>
        <x:v>254.55534299999994</x:v>
      </x:c>
      <x:c r="AC29" s="42" t="n">
        <x:f>IFERROR(AB29/F29,0)</x:f>
        <x:v>0.010418197787466508</x:v>
      </x:c>
      <x:c r="AD29" s="37" t="n">
        <x:f>SUMIFS('标准化长表'!$N$2:$N$3075,'标准化长表'!$C$2:$C$3075,$C29,'标准化长表'!$I$2:$I$3075,"采矿用地")</x:f>
        <x:v>1218.5353720000005</x:v>
      </x:c>
      <x:c r="AE29" s="42" t="n">
        <x:f>IFERROR(AD29/F29,0)</x:f>
        <x:v>0.04987105109210018</x:v>
      </x:c>
      <x:c r="AF29" s="37" t="n">
        <x:f>SUMIFS('标准化长表'!$N$2:$N$3075,'标准化长表'!$C$2:$C$3075,$C29,'标准化长表'!$I$2:$I$3075,"公园与绿地")+SUMIFS('标准化长表'!$N$2:$N$3075,'标准化长表'!$C$2:$C$3075,$C29,'标准化长表'!$I$2:$I$3075,"广场用地")</x:f>
        <x:v>224.90700500000005</x:v>
      </x:c>
      <x:c r="AG29" s="42" t="n">
        <x:f>IFERROR(AF29/F29,0)</x:f>
        <x:v>0.00920477894615129</x:v>
      </x:c>
      <x:c r="AH29" s="49" t="n">
        <x:f>IFERROR((IF(SUMIFS('标准化长表'!$N$2:$N$3075,'标准化长表'!$C$2:$C$3075,$C29,'标准化长表'!$J$2:$J$3075,"居住功能",'标准化长表'!$E$2:$E$3075,"建设用地")=0,0,-(SUMIFS('标准化长表'!$N$2:$N$3075,'标准化长表'!$C$2:$C$3075,$C29,'标准化长表'!$J$2:$J$3075,"居住功能",'标准化长表'!$E$2:$E$3075,"建设用地")/F29)*LN(SUMIFS('标准化长表'!$N$2:$N$3075,'标准化长表'!$C$2:$C$3075,$C29,'标准化长表'!$J$2:$J$3075,"居住功能",'标准化长表'!$E$2:$E$3075,"建设用地")/F29))+IF(SUMIFS('标准化长表'!$N$2:$N$3075,'标准化长表'!$C$2:$C$3075,$C29,'标准化长表'!$J$2:$J$3075,"产业功能",'标准化长表'!$E$2:$E$3075,"建设用地")=0,0,-(SUMIFS('标准化长表'!$N$2:$N$3075,'标准化长表'!$C$2:$C$3075,$C29,'标准化长表'!$J$2:$J$3075,"产业功能",'标准化长表'!$E$2:$E$3075,"建设用地")/F29)*LN(SUMIFS('标准化长表'!$N$2:$N$3075,'标准化长表'!$C$2:$C$3075,$C29,'标准化长表'!$J$2:$J$3075,"产业功能",'标准化长表'!$E$2:$E$3075,"建设用地")/F29))+IF(SUMIFS('标准化长表'!$N$2:$N$3075,'标准化长表'!$C$2:$C$3075,$C29,'标准化长表'!$J$2:$J$3075,"商业服务",'标准化长表'!$E$2:$E$3075,"建设用地")=0,0,-(SUMIFS('标准化长表'!$N$2:$N$3075,'标准化长表'!$C$2:$C$3075,$C29,'标准化长表'!$J$2:$J$3075,"商业服务",'标准化长表'!$E$2:$E$3075,"建设用地")/F29)*LN(SUMIFS('标准化长表'!$N$2:$N$3075,'标准化长表'!$C$2:$C$3075,$C29,'标准化长表'!$J$2:$J$3075,"商业服务",'标准化长表'!$E$2:$E$3075,"建设用地")/F29))+IF(SUMIFS('标准化长表'!$N$2:$N$3075,'标准化长表'!$C$2:$C$3075,$C29,'标准化长表'!$J$2:$J$3075,"公共服务",'标准化长表'!$E$2:$E$3075,"建设用地")=0,0,-(SUMIFS('标准化长表'!$N$2:$N$3075,'标准化长表'!$C$2:$C$3075,$C29,'标准化长表'!$J$2:$J$3075,"公共服务",'标准化长表'!$E$2:$E$3075,"建设用地")/F29)*LN(SUMIFS('标准化长表'!$N$2:$N$3075,'标准化长表'!$C$2:$C$3075,$C29,'标准化长表'!$J$2:$J$3075,"公共服务",'标准化长表'!$E$2:$E$3075,"建设用地")/F29))+IF(SUMIFS('标准化长表'!$N$2:$N$3075,'标准化长表'!$C$2:$C$3075,$C29,'标准化长表'!$J$2:$J$3075,"交通门户",'标准化长表'!$E$2:$E$3075,"建设用地")=0,0,-(SUMIFS('标准化长表'!$N$2:$N$3075,'标准化长表'!$C$2:$C$3075,$C29,'标准化长表'!$J$2:$J$3075,"交通门户",'标准化长表'!$E$2:$E$3075,"建设用地")/F29)*LN(SUMIFS('标准化长表'!$N$2:$N$3075,'标准化长表'!$C$2:$C$3075,$C29,'标准化长表'!$J$2:$J$3075,"交通门户",'标准化长表'!$E$2:$E$3075,"建设用地")/F29))+IF(SUMIFS('标准化长表'!$N$2:$N$3075,'标准化长表'!$C$2:$C$3075,$C29,'标准化长表'!$J$2:$J$3075,"公共空间",'标准化长表'!$E$2:$E$3075,"建设用地")=0,0,-(SUMIFS('标准化长表'!$N$2:$N$3075,'标准化长表'!$C$2:$C$3075,$C29,'标准化长表'!$J$2:$J$3075,"公共空间",'标准化长表'!$E$2:$E$3075,"建设用地")/F29)*LN(SUMIFS('标准化长表'!$N$2:$N$3075,'标准化长表'!$C$2:$C$3075,$C29,'标准化长表'!$J$2:$J$3075,"公共空间",'标准化长表'!$E$2:$E$3075,"建设用地")/F29))+IF(SUMIFS('标准化长表'!$N$2:$N$3075,'标准化长表'!$C$2:$C$3075,$C29,'标准化长表'!$J$2:$J$3075,"其他建设",'标准化长表'!$E$2:$E$3075,"建设用地")=0,0,-(SUMIFS('标准化长表'!$N$2:$N$3075,'标准化长表'!$C$2:$C$3075,$C29,'标准化长表'!$J$2:$J$3075,"其他建设",'标准化长表'!$E$2:$E$3075,"建设用地")/F29)*LN(SUMIFS('标准化长表'!$N$2:$N$3075,'标准化长表'!$C$2:$C$3075,$C29,'标准化长表'!$J$2:$J$3075,"其他建设",'标准化长表'!$E$2:$E$3075,"建设用地")/F29)))/LN(7),0)</x:f>
        <x:v>0.7267028645450649</x:v>
      </x:c>
    </x:row>
  </x:sheetData>
  <x:pageMargins left="0.7" right="0.7" top="0.75" bottom="0.75" header="0.3" footer="0.3"/>
  <x:tableParts count="1">
    <x:tablePart xmlns:r="http://schemas.openxmlformats.org/officeDocument/2006/relationships" r:id="R8a0bd3b1323045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18" t="str">
        <x:v>地市编码</x:v>
      </x:c>
      <x:c r="B1" s="19" t="str">
        <x:v>城市</x:v>
      </x:c>
      <x:c r="C1" s="19" t="str">
        <x:v>行政区总面积_公顷</x:v>
      </x:c>
      <x:c r="D1" s="19" t="str">
        <x:v>建设用地_公顷</x:v>
      </x:c>
      <x:c r="E1" s="19" t="str">
        <x:v>开发强度</x:v>
      </x:c>
      <x:c r="F1" s="19" t="str">
        <x:v>农用地占比</x:v>
      </x:c>
      <x:c r="G1" s="19" t="str">
        <x:v>未利用地占比</x:v>
      </x:c>
      <x:c r="H1" s="19" t="str">
        <x:v>城镇住宅_公顷</x:v>
      </x:c>
      <x:c r="I1" s="19" t="str">
        <x:v>农村宅基地_公顷</x:v>
      </x:c>
      <x:c r="J1" s="19" t="str">
        <x:v>城镇住宅占建设用地</x:v>
      </x:c>
      <x:c r="K1" s="19" t="str">
        <x:v>农村宅基地占建设用地</x:v>
      </x:c>
      <x:c r="L1" s="19" t="str">
        <x:v>城乡居住结构比</x:v>
      </x:c>
      <x:c r="M1" s="19" t="str">
        <x:v>工业_公顷</x:v>
      </x:c>
      <x:c r="N1" s="19" t="str">
        <x:v>物流仓储_公顷</x:v>
      </x:c>
      <x:c r="O1" s="19" t="str">
        <x:v>工业及仓储占建设用地</x:v>
      </x:c>
      <x:c r="P1" s="19" t="str">
        <x:v>产业开发密度</x:v>
      </x:c>
      <x:c r="Q1" s="19" t="str">
        <x:v>商业服务_公顷</x:v>
      </x:c>
      <x:c r="R1" s="19" t="str">
        <x:v>商业服务占建设用地</x:v>
      </x:c>
      <x:c r="S1" s="19" t="str">
        <x:v>公共服务_公顷</x:v>
      </x:c>
      <x:c r="T1" s="19" t="str">
        <x:v>公共服务占建设用地</x:v>
      </x:c>
      <x:c r="U1" s="19" t="str">
        <x:v>中心功能指数</x:v>
      </x:c>
      <x:c r="V1" s="19" t="str">
        <x:v>交通门户_公顷</x:v>
      </x:c>
      <x:c r="W1" s="19" t="str">
        <x:v>交通门户指数</x:v>
      </x:c>
      <x:c r="X1" s="19" t="str">
        <x:v>公路_公顷</x:v>
      </x:c>
      <x:c r="Y1" s="19" t="str">
        <x:v>公路占建设用地</x:v>
      </x:c>
      <x:c r="Z1" s="19" t="str">
        <x:v>港口码头_公顷</x:v>
      </x:c>
      <x:c r="AA1" s="19" t="str">
        <x:v>港口码头占建设用地</x:v>
      </x:c>
      <x:c r="AB1" s="19" t="str">
        <x:v>采矿_公顷</x:v>
      </x:c>
      <x:c r="AC1" s="19" t="str">
        <x:v>采矿占建设用地</x:v>
      </x:c>
      <x:c r="AD1" s="19" t="str">
        <x:v>公共空间_公顷</x:v>
      </x:c>
      <x:c r="AE1" s="19" t="str">
        <x:v>公共空间占建设用地</x:v>
      </x:c>
      <x:c r="AF1" s="20" t="str">
        <x:v>建设用地混合度</x:v>
      </x:c>
    </x:row>
    <x:row r="2">
      <x:c r="A2" s="21" t="n">
        <x:v>350200</x:v>
      </x:c>
      <x:c r="B2" s="22" t="str">
        <x:v>厦门市</x:v>
      </x:c>
      <x:c r="C2" s="33" t="n">
        <x:f>SUMIFS('标准化长表'!$N$2:$N$3075,'标准化长表'!$A$2:$A$3075,$A2)</x:f>
        <x:v>169878.25855000003</x:v>
      </x:c>
      <x:c r="D2" s="33" t="n">
        <x:f>SUMIFS('标准化长表'!$N$2:$N$3075,'标准化长表'!$A$2:$A$3075,$A2,'标准化长表'!$E$2:$E$3075,"建设用地")</x:f>
        <x:v>54546.77354300003</x:v>
      </x:c>
      <x:c r="E2" s="40" t="n">
        <x:f>IFERROR(D2/C2,0)</x:f>
        <x:v>0.32109331711182665</x:v>
      </x:c>
      <x:c r="F2" s="40" t="n">
        <x:f>IFERROR(SUMIFS('标准化长表'!$N$2:$N$3075,'标准化长表'!$A$2:$A$3075,$A2,'标准化长表'!$E$2:$E$3075,"农用地")/C2,0)</x:f>
        <x:v>0.5828404678451412</x:v>
      </x:c>
      <x:c r="G2" s="40" t="n">
        <x:f>IFERROR(SUMIFS('标准化长表'!$N$2:$N$3075,'标准化长表'!$A$2:$A$3075,$A2,'标准化长表'!$E$2:$E$3075,"未利用地")/C2,0)</x:f>
        <x:v>0.09606621504303149</x:v>
      </x:c>
      <x:c r="H2" s="33" t="n">
        <x:f>SUMIFS('标准化长表'!$N$2:$N$3075,'标准化长表'!$A$2:$A$3075,$A2,'标准化长表'!$I$2:$I$3075,"城镇住宅用地")</x:f>
        <x:v>6233.459051999999</x:v>
      </x:c>
      <x:c r="I2" s="33" t="n">
        <x:f>SUMIFS('标准化长表'!$N$2:$N$3075,'标准化长表'!$A$2:$A$3075,$A2,'标准化长表'!$I$2:$I$3075,"农村宅基地")</x:f>
        <x:v>10750.29161500001</x:v>
      </x:c>
      <x:c r="J2" s="40" t="n">
        <x:f>IFERROR(H2/D2,0)</x:f>
        <x:v>0.11427731920910172</x:v>
      </x:c>
      <x:c r="K2" s="40" t="n">
        <x:f>IFERROR(I2/D2,0)</x:f>
        <x:v>0.19708391379969328</x:v>
      </x:c>
      <x:c r="L2" s="46" t="n">
        <x:f>IFERROR(H2/I2,0)</x:f>
        <x:v>0.5798409266686664</x:v>
      </x:c>
      <x:c r="M2" s="33" t="n">
        <x:f>SUMIFS('标准化长表'!$N$2:$N$3075,'标准化长表'!$A$2:$A$3075,$A2,'标准化长表'!$I$2:$I$3075,"工业用地")</x:f>
        <x:v>9236.304210000004</x:v>
      </x:c>
      <x:c r="N2" s="33" t="n">
        <x:f>SUMIFS('标准化长表'!$N$2:$N$3075,'标准化长表'!$A$2:$A$3075,$A2,'标准化长表'!$I$2:$I$3075,"物流仓储用地")</x:f>
        <x:v>1187.344409</x:v>
      </x:c>
      <x:c r="O2" s="40" t="n">
        <x:f>IFERROR((M2+N2)/D2,0)</x:f>
        <x:v>0.19109560368007625</x:v>
      </x:c>
      <x:c r="P2" s="40" t="n">
        <x:f>IFERROR((M2+N2)/C2,0)</x:f>
        <x:v>0.06135952127112267</x:v>
      </x:c>
      <x:c r="Q2" s="33" t="n">
        <x:f>SUMIFS('标准化长表'!$N$2:$N$3075,'标准化长表'!$A$2:$A$3075,$A2,'标准化长表'!$I$2:$I$3075,"商业服务业设施用地")</x:f>
        <x:v>3180.202538999999</x:v>
      </x:c>
      <x:c r="R2" s="40" t="n">
        <x:f>IFERROR(Q2/D2,0)</x:f>
        <x:v>0.05830230337075754</x:v>
      </x:c>
      <x:c r="S2" s="33" t="n">
        <x:f>SUMIFS('标准化长表'!$N$2:$N$3075,'标准化长表'!$A$2:$A$3075,$A2,'标准化长表'!$I$2:$I$3075,"机关团体新闻出版用地")+SUMIFS('标准化长表'!$N$2:$N$3075,'标准化长表'!$A$2:$A$3075,$A2,'标准化长表'!$I$2:$I$3075,"科教文卫用地")+SUMIFS('标准化长表'!$N$2:$N$3075,'标准化长表'!$A$2:$A$3075,$A2,'标准化长表'!$I$2:$I$3075,"高教用地")</x:f>
        <x:v>3545.1291459999993</x:v>
      </x:c>
      <x:c r="T2" s="40" t="n">
        <x:f>IFERROR(S2/D2,0)</x:f>
        <x:v>0.0649924627201886</x:v>
      </x:c>
      <x:c r="U2" s="40" t="n">
        <x:f>IFERROR((Q2+S2+SUMIFS('标准化长表'!$N$2:$N$3075,'标准化长表'!$A$2:$A$3075,$A2,'标准化长表'!$I$2:$I$3075,"公园与绿地")+SUMIFS('标准化长表'!$N$2:$N$3075,'标准化长表'!$A$2:$A$3075,$A2,'标准化长表'!$I$2:$I$3075,"广场用地"))/D2,0)</x:f>
        <x:v>0.14944897427477882</x:v>
      </x:c>
      <x:c r="V2" s="33" t="n">
        <x:f>SUMIFS('标准化长表'!$N$2:$N$3075,'标准化长表'!$A$2:$A$3075,$A2,'标准化长表'!$I$2:$I$3075,"铁路用地")+SUMIFS('标准化长表'!$N$2:$N$3075,'标准化长表'!$A$2:$A$3075,$A2,'标准化长表'!$I$2:$I$3075,"轨道交通用地")+SUMIFS('标准化长表'!$N$2:$N$3075,'标准化长表'!$A$2:$A$3075,$A2,'标准化长表'!$I$2:$I$3075,"机场用地")+SUMIFS('标准化长表'!$N$2:$N$3075,'标准化长表'!$A$2:$A$3075,$A2,'标准化长表'!$I$2:$I$3075,"港口码头用地")+SUMIFS('标准化长表'!$N$2:$N$3075,'标准化长表'!$A$2:$A$3075,$A2,'标准化长表'!$I$2:$I$3075,"交通服务场站用地")+SUMIFS('标准化长表'!$N$2:$N$3075,'标准化长表'!$A$2:$A$3075,$A2,'标准化长表'!$I$2:$I$3075,"物流仓储用地")</x:f>
        <x:v>5332.997421</x:v>
      </x:c>
      <x:c r="W2" s="40" t="n">
        <x:f>IFERROR(V2/D2,0)</x:f>
        <x:v>0.0977692551658609</x:v>
      </x:c>
      <x:c r="X2" s="33" t="n">
        <x:f>SUMIFS('标准化长表'!$N$2:$N$3075,'标准化长表'!$A$2:$A$3075,$A2,'标准化长表'!$I$2:$I$3075,"公路用地")</x:f>
        <x:v>5739.876065000002</x:v>
      </x:c>
      <x:c r="Y2" s="40" t="n">
        <x:f>IFERROR(X2/D2,0)</x:f>
        <x:v>0.10522851659548979</x:v>
      </x:c>
      <x:c r="Z2" s="33" t="n">
        <x:f>SUMIFS('标准化长表'!$N$2:$N$3075,'标准化长表'!$A$2:$A$3075,$A2,'标准化长表'!$I$2:$I$3075,"港口码头用地")</x:f>
        <x:v>790.379696</x:v>
      </x:c>
      <x:c r="AA2" s="40" t="n">
        <x:f>IFERROR(Z2/D2,0)</x:f>
        <x:v>0.014489944036322</x:v>
      </x:c>
      <x:c r="AB2" s="33" t="n">
        <x:f>SUMIFS('标准化长表'!$N$2:$N$3075,'标准化长表'!$A$2:$A$3075,$A2,'标准化长表'!$I$2:$I$3075,"采矿用地")</x:f>
        <x:v>1432.7778780000003</x:v>
      </x:c>
      <x:c r="AC2" s="40" t="n">
        <x:f>IFERROR(AB2/D2,0)</x:f>
        <x:v>0.026266959252329018</x:v>
      </x:c>
      <x:c r="AD2" s="33" t="n">
        <x:f>SUMIFS('标准化长表'!$N$2:$N$3075,'标准化长表'!$A$2:$A$3075,$A2,'标准化长表'!$I$2:$I$3075,"公园与绿地")+SUMIFS('标准化长表'!$N$2:$N$3075,'标准化长表'!$A$2:$A$3075,$A2,'标准化长表'!$I$2:$I$3075,"广场用地")</x:f>
        <x:v>1426.6276710000004</x:v>
      </x:c>
      <x:c r="AE2" s="40" t="n">
        <x:f>IFERROR(AD2/D2,0)</x:f>
        <x:v>0.0261542081838327</x:v>
      </x:c>
      <x:c r="AF2" s="47" t="n">
        <x:f>IFERROR((IF(SUMIFS('标准化长表'!$N$2:$N$3075,'标准化长表'!$A$2:$A$3075,$A2,'标准化长表'!$J$2:$J$3075,"居住功能",'标准化长表'!$E$2:$E$3075,"建设用地")=0,0,-(SUMIFS('标准化长表'!$N$2:$N$3075,'标准化长表'!$A$2:$A$3075,$A2,'标准化长表'!$J$2:$J$3075,"居住功能",'标准化长表'!$E$2:$E$3075,"建设用地")/D2)*LN(SUMIFS('标准化长表'!$N$2:$N$3075,'标准化长表'!$A$2:$A$3075,$A2,'标准化长表'!$J$2:$J$3075,"居住功能",'标准化长表'!$E$2:$E$3075,"建设用地")/D2))+IF(SUMIFS('标准化长表'!$N$2:$N$3075,'标准化长表'!$A$2:$A$3075,$A2,'标准化长表'!$J$2:$J$3075,"产业功能",'标准化长表'!$E$2:$E$3075,"建设用地")=0,0,-(SUMIFS('标准化长表'!$N$2:$N$3075,'标准化长表'!$A$2:$A$3075,$A2,'标准化长表'!$J$2:$J$3075,"产业功能",'标准化长表'!$E$2:$E$3075,"建设用地")/D2)*LN(SUMIFS('标准化长表'!$N$2:$N$3075,'标准化长表'!$A$2:$A$3075,$A2,'标准化长表'!$J$2:$J$3075,"产业功能",'标准化长表'!$E$2:$E$3075,"建设用地")/D2))+IF(SUMIFS('标准化长表'!$N$2:$N$3075,'标准化长表'!$A$2:$A$3075,$A2,'标准化长表'!$J$2:$J$3075,"商业服务",'标准化长表'!$E$2:$E$3075,"建设用地")=0,0,-(SUMIFS('标准化长表'!$N$2:$N$3075,'标准化长表'!$A$2:$A$3075,$A2,'标准化长表'!$J$2:$J$3075,"商业服务",'标准化长表'!$E$2:$E$3075,"建设用地")/D2)*LN(SUMIFS('标准化长表'!$N$2:$N$3075,'标准化长表'!$A$2:$A$3075,$A2,'标准化长表'!$J$2:$J$3075,"商业服务",'标准化长表'!$E$2:$E$3075,"建设用地")/D2))+IF(SUMIFS('标准化长表'!$N$2:$N$3075,'标准化长表'!$A$2:$A$3075,$A2,'标准化长表'!$J$2:$J$3075,"公共服务",'标准化长表'!$E$2:$E$3075,"建设用地")=0,0,-(SUMIFS('标准化长表'!$N$2:$N$3075,'标准化长表'!$A$2:$A$3075,$A2,'标准化长表'!$J$2:$J$3075,"公共服务",'标准化长表'!$E$2:$E$3075,"建设用地")/D2)*LN(SUMIFS('标准化长表'!$N$2:$N$3075,'标准化长表'!$A$2:$A$3075,$A2,'标准化长表'!$J$2:$J$3075,"公共服务",'标准化长表'!$E$2:$E$3075,"建设用地")/D2))+IF(SUMIFS('标准化长表'!$N$2:$N$3075,'标准化长表'!$A$2:$A$3075,$A2,'标准化长表'!$J$2:$J$3075,"交通门户",'标准化长表'!$E$2:$E$3075,"建设用地")=0,0,-(SUMIFS('标准化长表'!$N$2:$N$3075,'标准化长表'!$A$2:$A$3075,$A2,'标准化长表'!$J$2:$J$3075,"交通门户",'标准化长表'!$E$2:$E$3075,"建设用地")/D2)*LN(SUMIFS('标准化长表'!$N$2:$N$3075,'标准化长表'!$A$2:$A$3075,$A2,'标准化长表'!$J$2:$J$3075,"交通门户",'标准化长表'!$E$2:$E$3075,"建设用地")/D2))+IF(SUMIFS('标准化长表'!$N$2:$N$3075,'标准化长表'!$A$2:$A$3075,$A2,'标准化长表'!$J$2:$J$3075,"公共空间",'标准化长表'!$E$2:$E$3075,"建设用地")=0,0,-(SUMIFS('标准化长表'!$N$2:$N$3075,'标准化长表'!$A$2:$A$3075,$A2,'标准化长表'!$J$2:$J$3075,"公共空间",'标准化长表'!$E$2:$E$3075,"建设用地")/D2)*LN(SUMIFS('标准化长表'!$N$2:$N$3075,'标准化长表'!$A$2:$A$3075,$A2,'标准化长表'!$J$2:$J$3075,"公共空间",'标准化长表'!$E$2:$E$3075,"建设用地")/D2))+IF(SUMIFS('标准化长表'!$N$2:$N$3075,'标准化长表'!$A$2:$A$3075,$A2,'标准化长表'!$J$2:$J$3075,"其他建设",'标准化长表'!$E$2:$E$3075,"建设用地")=0,0,-(SUMIFS('标准化长表'!$N$2:$N$3075,'标准化长表'!$A$2:$A$3075,$A2,'标准化长表'!$J$2:$J$3075,"其他建设",'标准化长表'!$E$2:$E$3075,"建设用地")/D2)*LN(SUMIFS('标准化长表'!$N$2:$N$3075,'标准化长表'!$A$2:$A$3075,$A2,'标准化长表'!$J$2:$J$3075,"其他建设",'标准化长表'!$E$2:$E$3075,"建设用地")/D2)))/LN(7),0)</x:f>
        <x:v>0.8468675704932801</x:v>
      </x:c>
    </x:row>
    <x:row r="3">
      <x:c r="A3" s="21" t="n">
        <x:v>350500</x:v>
      </x:c>
      <x:c r="B3" s="22" t="str">
        <x:v>泉州市</x:v>
      </x:c>
      <x:c r="C3" s="33" t="n">
        <x:f>SUMIFS('标准化长表'!$N$2:$N$3075,'标准化长表'!$A$2:$A$3075,$A3)</x:f>
        <x:v>1129519.8338900004</x:v>
      </x:c>
      <x:c r="D3" s="33" t="n">
        <x:f>SUMIFS('标准化长表'!$N$2:$N$3075,'标准化长表'!$A$2:$A$3075,$A3,'标准化长表'!$E$2:$E$3075,"建设用地")</x:f>
        <x:v>168499.66371000008</x:v>
      </x:c>
      <x:c r="E3" s="40" t="n">
        <x:f>IFERROR(D3/C3,0)</x:f>
        <x:v>0.14917813627910992</x:v>
      </x:c>
      <x:c r="F3" s="40" t="n">
        <x:f>IFERROR(SUMIFS('标准化长表'!$N$2:$N$3075,'标准化长表'!$A$2:$A$3075,$A3,'标准化长表'!$E$2:$E$3075,"农用地")/C3,0)</x:f>
        <x:v>0.8027839211429951</x:v>
      </x:c>
      <x:c r="G3" s="40" t="n">
        <x:f>IFERROR(SUMIFS('标准化长表'!$N$2:$N$3075,'标准化长表'!$A$2:$A$3075,$A3,'标准化长表'!$E$2:$E$3075,"未利用地")/C3,0)</x:f>
        <x:v>0.0480379425778938</x:v>
      </x:c>
      <x:c r="H3" s="33" t="n">
        <x:f>SUMIFS('标准化长表'!$N$2:$N$3075,'标准化长表'!$A$2:$A$3075,$A3,'标准化长表'!$I$2:$I$3075,"城镇住宅用地")</x:f>
        <x:v>23592.746105</x:v>
      </x:c>
      <x:c r="I3" s="33" t="n">
        <x:f>SUMIFS('标准化长表'!$N$2:$N$3075,'标准化长表'!$A$2:$A$3075,$A3,'标准化长表'!$I$2:$I$3075,"农村宅基地")</x:f>
        <x:v>59656.164835000054</x:v>
      </x:c>
      <x:c r="J3" s="40" t="n">
        <x:f>IFERROR(H3/D3,0)</x:f>
        <x:v>0.14001657680222315</x:v>
      </x:c>
      <x:c r="K3" s="40" t="n">
        <x:f>IFERROR(I3/D3,0)</x:f>
        <x:v>0.3540432278706061</x:v>
      </x:c>
      <x:c r="L3" s="46" t="n">
        <x:f>IFERROR(H3/I3,0)</x:f>
        <x:v>0.3954787601625745</x:v>
      </x:c>
      <x:c r="M3" s="33" t="n">
        <x:f>SUMIFS('标准化长表'!$N$2:$N$3075,'标准化长表'!$A$2:$A$3075,$A3,'标准化长表'!$I$2:$I$3075,"工业用地")</x:f>
        <x:v>28701.179048999995</x:v>
      </x:c>
      <x:c r="N3" s="33" t="n">
        <x:f>SUMIFS('标准化长表'!$N$2:$N$3075,'标准化长表'!$A$2:$A$3075,$A3,'标准化长表'!$I$2:$I$3075,"物流仓储用地")</x:f>
        <x:v>1215.7985169999997</x:v>
      </x:c>
      <x:c r="O3" s="40" t="n">
        <x:f>IFERROR((M3+N3)/D3,0)</x:f>
        <x:v>0.17754918263510153</x:v>
      </x:c>
      <x:c r="P3" s="40" t="n">
        <x:f>IFERROR((M3+N3)/C3,0)</x:f>
        <x:v>0.026486456163383753</x:v>
      </x:c>
      <x:c r="Q3" s="33" t="n">
        <x:f>SUMIFS('标准化长表'!$N$2:$N$3075,'标准化长表'!$A$2:$A$3075,$A3,'标准化长表'!$I$2:$I$3075,"商业服务业设施用地")</x:f>
        <x:v>4182.420021</x:v>
      </x:c>
      <x:c r="R3" s="40" t="n">
        <x:f>IFERROR(Q3/D3,0)</x:f>
        <x:v>0.024821533342631725</x:v>
      </x:c>
      <x:c r="S3" s="33" t="n">
        <x:f>SUMIFS('标准化长表'!$N$2:$N$3075,'标准化长表'!$A$2:$A$3075,$A3,'标准化长表'!$I$2:$I$3075,"机关团体新闻出版用地")+SUMIFS('标准化长表'!$N$2:$N$3075,'标准化长表'!$A$2:$A$3075,$A3,'标准化长表'!$I$2:$I$3075,"科教文卫用地")+SUMIFS('标准化长表'!$N$2:$N$3075,'标准化长表'!$A$2:$A$3075,$A3,'标准化长表'!$I$2:$I$3075,"高教用地")</x:f>
        <x:v>6571.954569000001</x:v>
      </x:c>
      <x:c r="T3" s="40" t="n">
        <x:f>IFERROR(S3/D3,0)</x:f>
        <x:v>0.039002775580079516</x:v>
      </x:c>
      <x:c r="U3" s="40" t="n">
        <x:f>IFERROR((Q3+S3+SUMIFS('标准化长表'!$N$2:$N$3075,'标准化长表'!$A$2:$A$3075,$A3,'标准化长表'!$I$2:$I$3075,"公园与绿地")+SUMIFS('标准化长表'!$N$2:$N$3075,'标准化长表'!$A$2:$A$3075,$A3,'标准化长表'!$I$2:$I$3075,"广场用地"))/D3,0)</x:f>
        <x:v>0.07593855589541221</x:v>
      </x:c>
      <x:c r="V3" s="33" t="n">
        <x:f>SUMIFS('标准化长表'!$N$2:$N$3075,'标准化长表'!$A$2:$A$3075,$A3,'标准化长表'!$I$2:$I$3075,"铁路用地")+SUMIFS('标准化长表'!$N$2:$N$3075,'标准化长表'!$A$2:$A$3075,$A3,'标准化长表'!$I$2:$I$3075,"轨道交通用地")+SUMIFS('标准化长表'!$N$2:$N$3075,'标准化长表'!$A$2:$A$3075,$A3,'标准化长表'!$I$2:$I$3075,"机场用地")+SUMIFS('标准化长表'!$N$2:$N$3075,'标准化长表'!$A$2:$A$3075,$A3,'标准化长表'!$I$2:$I$3075,"港口码头用地")+SUMIFS('标准化长表'!$N$2:$N$3075,'标准化长表'!$A$2:$A$3075,$A3,'标准化长表'!$I$2:$I$3075,"交通服务场站用地")+SUMIFS('标准化长表'!$N$2:$N$3075,'标准化长表'!$A$2:$A$3075,$A3,'标准化长表'!$I$2:$I$3075,"物流仓储用地")</x:f>
        <x:v>3893.3511499999995</x:v>
      </x:c>
      <x:c r="W3" s="40" t="n">
        <x:f>IFERROR(V3/D3,0)</x:f>
        <x:v>0.023105987657641467</x:v>
      </x:c>
      <x:c r="X3" s="33" t="n">
        <x:f>SUMIFS('标准化长表'!$N$2:$N$3075,'标准化长表'!$A$2:$A$3075,$A3,'标准化长表'!$I$2:$I$3075,"公路用地")</x:f>
        <x:v>20421.395291000004</x:v>
      </x:c>
      <x:c r="Y3" s="40" t="n">
        <x:f>IFERROR(X3/D3,0)</x:f>
        <x:v>0.12119546615918877</x:v>
      </x:c>
      <x:c r="Z3" s="33" t="n">
        <x:f>SUMIFS('标准化长表'!$N$2:$N$3075,'标准化长表'!$A$2:$A$3075,$A3,'标准化长表'!$I$2:$I$3075,"港口码头用地")</x:f>
        <x:v>462.843227</x:v>
      </x:c>
      <x:c r="AA3" s="40" t="n">
        <x:f>IFERROR(Z3/D3,0)</x:f>
        <x:v>0.0027468495592761905</x:v>
      </x:c>
      <x:c r="AB3" s="33" t="n">
        <x:f>SUMIFS('标准化长表'!$N$2:$N$3075,'标准化长表'!$A$2:$A$3075,$A3,'标准化长表'!$I$2:$I$3075,"采矿用地")</x:f>
        <x:v>5702.74257</x:v>
      </x:c>
      <x:c r="AC3" s="40" t="n">
        <x:f>IFERROR(AB3/D3,0)</x:f>
        <x:v>0.033844237100762564</x:v>
      </x:c>
      <x:c r="AD3" s="33" t="n">
        <x:f>SUMIFS('标准化长表'!$N$2:$N$3075,'标准化长表'!$A$2:$A$3075,$A3,'标准化长表'!$I$2:$I$3075,"公园与绿地")+SUMIFS('标准化长表'!$N$2:$N$3075,'标准化长表'!$A$2:$A$3075,$A3,'标准化长表'!$I$2:$I$3075,"广场用地")</x:f>
        <x:v>2041.2465409999993</x:v>
      </x:c>
      <x:c r="AE3" s="40" t="n">
        <x:f>IFERROR(AD3/D3,0)</x:f>
        <x:v>0.012114246972700965</x:v>
      </x:c>
      <x:c r="AF3" s="47" t="n">
        <x:f>IFERROR((IF(SUMIFS('标准化长表'!$N$2:$N$3075,'标准化长表'!$A$2:$A$3075,$A3,'标准化长表'!$J$2:$J$3075,"居住功能",'标准化长表'!$E$2:$E$3075,"建设用地")=0,0,-(SUMIFS('标准化长表'!$N$2:$N$3075,'标准化长表'!$A$2:$A$3075,$A3,'标准化长表'!$J$2:$J$3075,"居住功能",'标准化长表'!$E$2:$E$3075,"建设用地")/D3)*LN(SUMIFS('标准化长表'!$N$2:$N$3075,'标准化长表'!$A$2:$A$3075,$A3,'标准化长表'!$J$2:$J$3075,"居住功能",'标准化长表'!$E$2:$E$3075,"建设用地")/D3))+IF(SUMIFS('标准化长表'!$N$2:$N$3075,'标准化长表'!$A$2:$A$3075,$A3,'标准化长表'!$J$2:$J$3075,"产业功能",'标准化长表'!$E$2:$E$3075,"建设用地")=0,0,-(SUMIFS('标准化长表'!$N$2:$N$3075,'标准化长表'!$A$2:$A$3075,$A3,'标准化长表'!$J$2:$J$3075,"产业功能",'标准化长表'!$E$2:$E$3075,"建设用地")/D3)*LN(SUMIFS('标准化长表'!$N$2:$N$3075,'标准化长表'!$A$2:$A$3075,$A3,'标准化长表'!$J$2:$J$3075,"产业功能",'标准化长表'!$E$2:$E$3075,"建设用地")/D3))+IF(SUMIFS('标准化长表'!$N$2:$N$3075,'标准化长表'!$A$2:$A$3075,$A3,'标准化长表'!$J$2:$J$3075,"商业服务",'标准化长表'!$E$2:$E$3075,"建设用地")=0,0,-(SUMIFS('标准化长表'!$N$2:$N$3075,'标准化长表'!$A$2:$A$3075,$A3,'标准化长表'!$J$2:$J$3075,"商业服务",'标准化长表'!$E$2:$E$3075,"建设用地")/D3)*LN(SUMIFS('标准化长表'!$N$2:$N$3075,'标准化长表'!$A$2:$A$3075,$A3,'标准化长表'!$J$2:$J$3075,"商业服务",'标准化长表'!$E$2:$E$3075,"建设用地")/D3))+IF(SUMIFS('标准化长表'!$N$2:$N$3075,'标准化长表'!$A$2:$A$3075,$A3,'标准化长表'!$J$2:$J$3075,"公共服务",'标准化长表'!$E$2:$E$3075,"建设用地")=0,0,-(SUMIFS('标准化长表'!$N$2:$N$3075,'标准化长表'!$A$2:$A$3075,$A3,'标准化长表'!$J$2:$J$3075,"公共服务",'标准化长表'!$E$2:$E$3075,"建设用地")/D3)*LN(SUMIFS('标准化长表'!$N$2:$N$3075,'标准化长表'!$A$2:$A$3075,$A3,'标准化长表'!$J$2:$J$3075,"公共服务",'标准化长表'!$E$2:$E$3075,"建设用地")/D3))+IF(SUMIFS('标准化长表'!$N$2:$N$3075,'标准化长表'!$A$2:$A$3075,$A3,'标准化长表'!$J$2:$J$3075,"交通门户",'标准化长表'!$E$2:$E$3075,"建设用地")=0,0,-(SUMIFS('标准化长表'!$N$2:$N$3075,'标准化长表'!$A$2:$A$3075,$A3,'标准化长表'!$J$2:$J$3075,"交通门户",'标准化长表'!$E$2:$E$3075,"建设用地")/D3)*LN(SUMIFS('标准化长表'!$N$2:$N$3075,'标准化长表'!$A$2:$A$3075,$A3,'标准化长表'!$J$2:$J$3075,"交通门户",'标准化长表'!$E$2:$E$3075,"建设用地")/D3))+IF(SUMIFS('标准化长表'!$N$2:$N$3075,'标准化长表'!$A$2:$A$3075,$A3,'标准化长表'!$J$2:$J$3075,"公共空间",'标准化长表'!$E$2:$E$3075,"建设用地")=0,0,-(SUMIFS('标准化长表'!$N$2:$N$3075,'标准化长表'!$A$2:$A$3075,$A3,'标准化长表'!$J$2:$J$3075,"公共空间",'标准化长表'!$E$2:$E$3075,"建设用地")/D3)*LN(SUMIFS('标准化长表'!$N$2:$N$3075,'标准化长表'!$A$2:$A$3075,$A3,'标准化长表'!$J$2:$J$3075,"公共空间",'标准化长表'!$E$2:$E$3075,"建设用地")/D3))+IF(SUMIFS('标准化长表'!$N$2:$N$3075,'标准化长表'!$A$2:$A$3075,$A3,'标准化长表'!$J$2:$J$3075,"其他建设",'标准化长表'!$E$2:$E$3075,"建设用地")=0,0,-(SUMIFS('标准化长表'!$N$2:$N$3075,'标准化长表'!$A$2:$A$3075,$A3,'标准化长表'!$J$2:$J$3075,"其他建设",'标准化长表'!$E$2:$E$3075,"建设用地")/D3)*LN(SUMIFS('标准化长表'!$N$2:$N$3075,'标准化长表'!$A$2:$A$3075,$A3,'标准化长表'!$J$2:$J$3075,"其他建设",'标准化长表'!$E$2:$E$3075,"建设用地")/D3)))/LN(7),0)</x:f>
        <x:v>0.715032966133212</x:v>
      </x:c>
    </x:row>
    <x:row r="4">
      <x:c r="A4" s="24" t="n">
        <x:v>350600</x:v>
      </x:c>
      <x:c r="B4" s="25" t="str">
        <x:v>漳州市</x:v>
      </x:c>
      <x:c r="C4" s="37" t="n">
        <x:f>SUMIFS('标准化长表'!$N$2:$N$3075,'标准化长表'!$A$2:$A$3075,$A4)</x:f>
        <x:v>1289153.19138</x:v>
      </x:c>
      <x:c r="D4" s="37" t="n">
        <x:f>SUMIFS('标准化长表'!$N$2:$N$3075,'标准化长表'!$A$2:$A$3075,$A4,'标准化长表'!$E$2:$E$3075,"建设用地")</x:f>
        <x:v>112169.93580800004</x:v>
      </x:c>
      <x:c r="E4" s="42" t="n">
        <x:f>IFERROR(D4/C4,0)</x:f>
        <x:v>0.08701055588895953</x:v>
      </x:c>
      <x:c r="F4" s="42" t="n">
        <x:f>IFERROR(SUMIFS('标准化长表'!$N$2:$N$3075,'标准化长表'!$A$2:$A$3075,$A4,'标准化长表'!$E$2:$E$3075,"农用地")/C4,0)</x:f>
        <x:v>0.8645977333150421</x:v>
      </x:c>
      <x:c r="G4" s="42" t="n">
        <x:f>IFERROR(SUMIFS('标准化长表'!$N$2:$N$3075,'标准化长表'!$A$2:$A$3075,$A4,'标准化长表'!$E$2:$E$3075,"未利用地")/C4,0)</x:f>
        <x:v>0.048391710795998924</x:v>
      </x:c>
      <x:c r="H4" s="37" t="n">
        <x:f>SUMIFS('标准化长表'!$N$2:$N$3075,'标准化长表'!$A$2:$A$3075,$A4,'标准化长表'!$I$2:$I$3075,"城镇住宅用地")</x:f>
        <x:v>12264.688665000005</x:v>
      </x:c>
      <x:c r="I4" s="37" t="n">
        <x:f>SUMIFS('标准化长表'!$N$2:$N$3075,'标准化长表'!$A$2:$A$3075,$A4,'标准化长表'!$I$2:$I$3075,"农村宅基地")</x:f>
        <x:v>39031.57846299998</x:v>
      </x:c>
      <x:c r="J4" s="42" t="n">
        <x:f>IFERROR(H4/D4,0)</x:f>
        <x:v>0.10934024858490896</x:v>
      </x:c>
      <x:c r="K4" s="42" t="n">
        <x:f>IFERROR(I4/D4,0)</x:f>
        <x:v>0.34796826958883065</x:v>
      </x:c>
      <x:c r="L4" s="48" t="n">
        <x:f>IFERROR(H4/I4,0)</x:f>
        <x:v>0.31422476743097455</x:v>
      </x:c>
      <x:c r="M4" s="37" t="n">
        <x:f>SUMIFS('标准化长表'!$N$2:$N$3075,'标准化长表'!$A$2:$A$3075,$A4,'标准化长表'!$I$2:$I$3075,"工业用地")</x:f>
        <x:v>18996.527069999996</x:v>
      </x:c>
      <x:c r="N4" s="37" t="n">
        <x:f>SUMIFS('标准化长表'!$N$2:$N$3075,'标准化长表'!$A$2:$A$3075,$A4,'标准化长表'!$I$2:$I$3075,"物流仓储用地")</x:f>
        <x:v>908.3529330000002</x:v>
      </x:c>
      <x:c r="O4" s="42" t="n">
        <x:f>IFERROR((M4+N4)/D4,0)</x:f>
        <x:v>0.17745289644340126</x:v>
      </x:c>
      <x:c r="P4" s="42" t="n">
        <x:f>IFERROR((M4+N4)/C4,0)</x:f>
        <x:v>0.015440275163646315</x:v>
      </x:c>
      <x:c r="Q4" s="37" t="n">
        <x:f>SUMIFS('标准化长表'!$N$2:$N$3075,'标准化长表'!$A$2:$A$3075,$A4,'标准化长表'!$I$2:$I$3075,"商业服务业设施用地")</x:f>
        <x:v>2894.018457000001</x:v>
      </x:c>
      <x:c r="R4" s="42" t="n">
        <x:f>IFERROR(Q4/D4,0)</x:f>
        <x:v>0.02580030412029172</x:v>
      </x:c>
      <x:c r="S4" s="37" t="n">
        <x:f>SUMIFS('标准化长表'!$N$2:$N$3075,'标准化长表'!$A$2:$A$3075,$A4,'标准化长表'!$I$2:$I$3075,"机关团体新闻出版用地")+SUMIFS('标准化长表'!$N$2:$N$3075,'标准化长表'!$A$2:$A$3075,$A4,'标准化长表'!$I$2:$I$3075,"科教文卫用地")+SUMIFS('标准化长表'!$N$2:$N$3075,'标准化长表'!$A$2:$A$3075,$A4,'标准化长表'!$I$2:$I$3075,"高教用地")</x:f>
        <x:v>3974.131039</x:v>
      </x:c>
      <x:c r="T4" s="42" t="n">
        <x:f>IFERROR(S4/D4,0)</x:f>
        <x:v>0.03542955614954147</x:v>
      </x:c>
      <x:c r="U4" s="42" t="n">
        <x:f>IFERROR((Q4+S4+SUMIFS('标准化长表'!$N$2:$N$3075,'标准化长表'!$A$2:$A$3075,$A4,'标准化长表'!$I$2:$I$3075,"公园与绿地")+SUMIFS('标准化长表'!$N$2:$N$3075,'标准化长表'!$A$2:$A$3075,$A4,'标准化长表'!$I$2:$I$3075,"广场用地"))/D4,0)</x:f>
        <x:v>0.07185681050755441</x:v>
      </x:c>
      <x:c r="V4" s="37" t="n">
        <x:f>SUMIFS('标准化长表'!$N$2:$N$3075,'标准化长表'!$A$2:$A$3075,$A4,'标准化长表'!$I$2:$I$3075,"铁路用地")+SUMIFS('标准化长表'!$N$2:$N$3075,'标准化长表'!$A$2:$A$3075,$A4,'标准化长表'!$I$2:$I$3075,"轨道交通用地")+SUMIFS('标准化长表'!$N$2:$N$3075,'标准化长表'!$A$2:$A$3075,$A4,'标准化长表'!$I$2:$I$3075,"机场用地")+SUMIFS('标准化长表'!$N$2:$N$3075,'标准化长表'!$A$2:$A$3075,$A4,'标准化长表'!$I$2:$I$3075,"港口码头用地")+SUMIFS('标准化长表'!$N$2:$N$3075,'标准化长表'!$A$2:$A$3075,$A4,'标准化长表'!$I$2:$I$3075,"交通服务场站用地")+SUMIFS('标准化长表'!$N$2:$N$3075,'标准化长表'!$A$2:$A$3075,$A4,'标准化长表'!$I$2:$I$3075,"物流仓储用地")</x:f>
        <x:v>2922.6553380000005</x:v>
      </x:c>
      <x:c r="W4" s="42" t="n">
        <x:f>IFERROR(V4/D4,0)</x:f>
        <x:v>0.026055603196588034</x:v>
      </x:c>
      <x:c r="X4" s="37" t="n">
        <x:f>SUMIFS('标准化长表'!$N$2:$N$3075,'标准化长表'!$A$2:$A$3075,$A4,'标准化长表'!$I$2:$I$3075,"公路用地")</x:f>
        <x:v>16487.449207000005</x:v>
      </x:c>
      <x:c r="Y4" s="42" t="n">
        <x:f>IFERROR(X4/D4,0)</x:f>
        <x:v>0.14698634788577733</x:v>
      </x:c>
      <x:c r="Z4" s="37" t="n">
        <x:f>SUMIFS('标准化长表'!$N$2:$N$3075,'标准化长表'!$A$2:$A$3075,$A4,'标准化长表'!$I$2:$I$3075,"港口码头用地")</x:f>
        <x:v>388.20491499999997</x:v>
      </x:c>
      <x:c r="AA4" s="42" t="n">
        <x:f>IFERROR(Z4/D4,0)</x:f>
        <x:v>0.003460864198625252</x:v>
      </x:c>
      <x:c r="AB4" s="37" t="n">
        <x:f>SUMIFS('标准化长表'!$N$2:$N$3075,'标准化长表'!$A$2:$A$3075,$A4,'标准化长表'!$I$2:$I$3075,"采矿用地")</x:f>
        <x:v>3557.679029000001</x:v>
      </x:c>
      <x:c r="AC4" s="42" t="n">
        <x:f>IFERROR(AB4/D4,0)</x:f>
        <x:v>0.0317168678342621</x:v>
      </x:c>
      <x:c r="AD4" s="37" t="n">
        <x:f>SUMIFS('标准化长表'!$N$2:$N$3075,'标准化长表'!$A$2:$A$3075,$A4,'标准化长表'!$I$2:$I$3075,"公园与绿地")+SUMIFS('标准化长表'!$N$2:$N$3075,'标准化长表'!$A$2:$A$3075,$A4,'标准化长表'!$I$2:$I$3075,"广场用地")</x:f>
        <x:v>1192.0243259999997</x:v>
      </x:c>
      <x:c r="AE4" s="42" t="n">
        <x:f>IFERROR(AD4/D4,0)</x:f>
        <x:v>0.010626950237721217</x:v>
      </x:c>
      <x:c r="AF4" s="49" t="n">
        <x:f>IFERROR((IF(SUMIFS('标准化长表'!$N$2:$N$3075,'标准化长表'!$A$2:$A$3075,$A4,'标准化长表'!$J$2:$J$3075,"居住功能",'标准化长表'!$E$2:$E$3075,"建设用地")=0,0,-(SUMIFS('标准化长表'!$N$2:$N$3075,'标准化长表'!$A$2:$A$3075,$A4,'标准化长表'!$J$2:$J$3075,"居住功能",'标准化长表'!$E$2:$E$3075,"建设用地")/D4)*LN(SUMIFS('标准化长表'!$N$2:$N$3075,'标准化长表'!$A$2:$A$3075,$A4,'标准化长表'!$J$2:$J$3075,"居住功能",'标准化长表'!$E$2:$E$3075,"建设用地")/D4))+IF(SUMIFS('标准化长表'!$N$2:$N$3075,'标准化长表'!$A$2:$A$3075,$A4,'标准化长表'!$J$2:$J$3075,"产业功能",'标准化长表'!$E$2:$E$3075,"建设用地")=0,0,-(SUMIFS('标准化长表'!$N$2:$N$3075,'标准化长表'!$A$2:$A$3075,$A4,'标准化长表'!$J$2:$J$3075,"产业功能",'标准化长表'!$E$2:$E$3075,"建设用地")/D4)*LN(SUMIFS('标准化长表'!$N$2:$N$3075,'标准化长表'!$A$2:$A$3075,$A4,'标准化长表'!$J$2:$J$3075,"产业功能",'标准化长表'!$E$2:$E$3075,"建设用地")/D4))+IF(SUMIFS('标准化长表'!$N$2:$N$3075,'标准化长表'!$A$2:$A$3075,$A4,'标准化长表'!$J$2:$J$3075,"商业服务",'标准化长表'!$E$2:$E$3075,"建设用地")=0,0,-(SUMIFS('标准化长表'!$N$2:$N$3075,'标准化长表'!$A$2:$A$3075,$A4,'标准化长表'!$J$2:$J$3075,"商业服务",'标准化长表'!$E$2:$E$3075,"建设用地")/D4)*LN(SUMIFS('标准化长表'!$N$2:$N$3075,'标准化长表'!$A$2:$A$3075,$A4,'标准化长表'!$J$2:$J$3075,"商业服务",'标准化长表'!$E$2:$E$3075,"建设用地")/D4))+IF(SUMIFS('标准化长表'!$N$2:$N$3075,'标准化长表'!$A$2:$A$3075,$A4,'标准化长表'!$J$2:$J$3075,"公共服务",'标准化长表'!$E$2:$E$3075,"建设用地")=0,0,-(SUMIFS('标准化长表'!$N$2:$N$3075,'标准化长表'!$A$2:$A$3075,$A4,'标准化长表'!$J$2:$J$3075,"公共服务",'标准化长表'!$E$2:$E$3075,"建设用地")/D4)*LN(SUMIFS('标准化长表'!$N$2:$N$3075,'标准化长表'!$A$2:$A$3075,$A4,'标准化长表'!$J$2:$J$3075,"公共服务",'标准化长表'!$E$2:$E$3075,"建设用地")/D4))+IF(SUMIFS('标准化长表'!$N$2:$N$3075,'标准化长表'!$A$2:$A$3075,$A4,'标准化长表'!$J$2:$J$3075,"交通门户",'标准化长表'!$E$2:$E$3075,"建设用地")=0,0,-(SUMIFS('标准化长表'!$N$2:$N$3075,'标准化长表'!$A$2:$A$3075,$A4,'标准化长表'!$J$2:$J$3075,"交通门户",'标准化长表'!$E$2:$E$3075,"建设用地")/D4)*LN(SUMIFS('标准化长表'!$N$2:$N$3075,'标准化长表'!$A$2:$A$3075,$A4,'标准化长表'!$J$2:$J$3075,"交通门户",'标准化长表'!$E$2:$E$3075,"建设用地")/D4))+IF(SUMIFS('标准化长表'!$N$2:$N$3075,'标准化长表'!$A$2:$A$3075,$A4,'标准化长表'!$J$2:$J$3075,"公共空间",'标准化长表'!$E$2:$E$3075,"建设用地")=0,0,-(SUMIFS('标准化长表'!$N$2:$N$3075,'标准化长表'!$A$2:$A$3075,$A4,'标准化长表'!$J$2:$J$3075,"公共空间",'标准化长表'!$E$2:$E$3075,"建设用地")/D4)*LN(SUMIFS('标准化长表'!$N$2:$N$3075,'标准化长表'!$A$2:$A$3075,$A4,'标准化长表'!$J$2:$J$3075,"公共空间",'标准化长表'!$E$2:$E$3075,"建设用地")/D4))+IF(SUMIFS('标准化长表'!$N$2:$N$3075,'标准化长表'!$A$2:$A$3075,$A4,'标准化长表'!$J$2:$J$3075,"其他建设",'标准化长表'!$E$2:$E$3075,"建设用地")=0,0,-(SUMIFS('标准化长表'!$N$2:$N$3075,'标准化长表'!$A$2:$A$3075,$A4,'标准化长表'!$J$2:$J$3075,"其他建设",'标准化长表'!$E$2:$E$3075,"建设用地")/D4)*LN(SUMIFS('标准化长表'!$N$2:$N$3075,'标准化长表'!$A$2:$A$3075,$A4,'标准化长表'!$J$2:$J$3075,"其他建设",'标准化长表'!$E$2:$E$3075,"建设用地")/D4)))/LN(7),0)</x:f>
        <x:v>0.7293467621536233</x:v>
      </x:c>
    </x:row>
  </x:sheetData>
  <x:pageMargins left="0.7" right="0.7" top="0.75" bottom="0.75" header="0.3" footer="0.3"/>
  <x:tableParts count="1">
    <x:tablePart xmlns:r="http://schemas.openxmlformats.org/officeDocument/2006/relationships" r:id="Re2beb01fab304f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8" t="str">
        <x:v>地市编码</x:v>
      </x:c>
      <x:c r="B1" s="19" t="str">
        <x:v>城市</x:v>
      </x:c>
      <x:c r="C1" s="19" t="str">
        <x:v>区县编码</x:v>
      </x:c>
      <x:c r="D1" s="19" t="str">
        <x:v>区县</x:v>
      </x:c>
      <x:c r="E1" s="19" t="str">
        <x:v>功能类别</x:v>
      </x:c>
      <x:c r="F1" s="19" t="str">
        <x:v>功能面积_公顷</x:v>
      </x:c>
      <x:c r="G1" s="19" t="str">
        <x:v>区县建设用地_公顷</x:v>
      </x:c>
      <x:c r="H1" s="19" t="str">
        <x:v>区县功能占比</x:v>
      </x:c>
      <x:c r="I1" s="19" t="str">
        <x:v>都市圈功能占比</x:v>
      </x:c>
      <x:c r="J1" s="20" t="str">
        <x:v>区位熵LQ</x:v>
      </x:c>
    </x:row>
    <x:row r="2">
      <x:c r="A2" s="21" t="n">
        <x:v>350200</x:v>
      </x:c>
      <x:c r="B2" s="22" t="str">
        <x:v>厦门市</x:v>
      </x:c>
      <x:c r="C2" s="22" t="n">
        <x:v>350203</x:v>
      </x:c>
      <x:c r="D2" s="22" t="str">
        <x:v>思明区</x:v>
      </x:c>
      <x:c r="E2" s="22" t="str">
        <x:v>居住功能</x:v>
      </x:c>
      <x:c r="F2" s="33" t="n">
        <x:f>SUMIFS('标准化长表'!$N$2:$N$3075,'标准化长表'!$C$2:$C$3075,$C2,'标准化长表'!$J$2:$J$3075,$E2,'标准化长表'!$E$2:$E$3075,"建设用地")</x:f>
        <x:v>1832.295229</x:v>
      </x:c>
      <x:c r="G2" s="33" t="n">
        <x:f>SUMIFS('标准化长表'!$N$2:$N$3075,'标准化长表'!$C$2:$C$3075,$C2,'标准化长表'!$E$2:$E$3075,"建设用地")</x:f>
        <x:v>4754.056130000002</x:v>
      </x:c>
      <x:c r="H2" s="40" t="n">
        <x:f>IFERROR(F2/G2,0)</x:f>
        <x:v>0.3854172476924456</x:v>
      </x:c>
      <x:c r="I2" s="40" t="n">
        <x:f>IFERROR(SUMIFS('标准化长表'!$N$2:$N$3075,'标准化长表'!$J$2:$J$3075,$E2,'标准化长表'!$E$2:$E$3075,"建设用地")/SUMIFS('标准化长表'!$N$2:$N$3075,'标准化长表'!$E$2:$E$3075,"建设用地"),0)</x:f>
        <x:v>0.4520331968015951</x:v>
      </x:c>
      <x:c r="J2" s="50" t="n">
        <x:f>IFERROR(H2/I2,0)</x:f>
        <x:v>0.8526304050664927</x:v>
      </x:c>
    </x:row>
    <x:row r="3">
      <x:c r="A3" s="21" t="n">
        <x:v>350200</x:v>
      </x:c>
      <x:c r="B3" s="22" t="str">
        <x:v>厦门市</x:v>
      </x:c>
      <x:c r="C3" s="22" t="n">
        <x:v>350203</x:v>
      </x:c>
      <x:c r="D3" s="22" t="str">
        <x:v>思明区</x:v>
      </x:c>
      <x:c r="E3" s="22" t="str">
        <x:v>产业功能</x:v>
      </x:c>
      <x:c r="F3" s="33" t="n">
        <x:f>SUMIFS('标准化长表'!$N$2:$N$3075,'标准化长表'!$C$2:$C$3075,$C3,'标准化长表'!$J$2:$J$3075,$E3,'标准化长表'!$E$2:$E$3075,"建设用地")</x:f>
        <x:v>131.863362</x:v>
      </x:c>
      <x:c r="G3" s="33" t="n">
        <x:f>SUMIFS('标准化长表'!$N$2:$N$3075,'标准化长表'!$C$2:$C$3075,$C3,'标准化长表'!$E$2:$E$3075,"建设用地")</x:f>
        <x:v>4754.056130000002</x:v>
      </x:c>
      <x:c r="H3" s="40" t="n">
        <x:f>IFERROR(F3/G3,0)</x:f>
        <x:v>0.027737022532798732</x:v>
      </x:c>
      <x:c r="I3" s="40" t="n">
        <x:f>IFERROR(SUMIFS('标准化长表'!$N$2:$N$3075,'标准化长表'!$J$2:$J$3075,$E3,'标准化长表'!$E$2:$E$3075,"建设用地")/SUMIFS('标准化长表'!$N$2:$N$3075,'标准化长表'!$E$2:$E$3075,"建设用地"),0)</x:f>
        <x:v>0.2200846460431537</x:v>
      </x:c>
      <x:c r="J3" s="50" t="n">
        <x:f>IFERROR(H3/I3,0)</x:f>
        <x:v>0.12602888493802572</x:v>
      </x:c>
    </x:row>
    <x:row r="4">
      <x:c r="A4" s="21" t="n">
        <x:v>350200</x:v>
      </x:c>
      <x:c r="B4" s="22" t="str">
        <x:v>厦门市</x:v>
      </x:c>
      <x:c r="C4" s="22" t="n">
        <x:v>350203</x:v>
      </x:c>
      <x:c r="D4" s="22" t="str">
        <x:v>思明区</x:v>
      </x:c>
      <x:c r="E4" s="22" t="str">
        <x:v>商业服务</x:v>
      </x:c>
      <x:c r="F4" s="33" t="n">
        <x:f>SUMIFS('标准化长表'!$N$2:$N$3075,'标准化长表'!$C$2:$C$3075,$C4,'标准化长表'!$J$2:$J$3075,$E4,'标准化长表'!$E$2:$E$3075,"建设用地")</x:f>
        <x:v>717.563393</x:v>
      </x:c>
      <x:c r="G4" s="33" t="n">
        <x:f>SUMIFS('标准化长表'!$N$2:$N$3075,'标准化长表'!$C$2:$C$3075,$C4,'标准化长表'!$E$2:$E$3075,"建设用地")</x:f>
        <x:v>4754.056130000002</x:v>
      </x:c>
      <x:c r="H4" s="40" t="n">
        <x:f>IFERROR(F4/G4,0)</x:f>
        <x:v>0.15093708895691976</x:v>
      </x:c>
      <x:c r="I4" s="40" t="n">
        <x:f>IFERROR(SUMIFS('标准化长表'!$N$2:$N$3075,'标准化长表'!$J$2:$J$3075,$E4,'标准化长表'!$E$2:$E$3075,"建设用地")/SUMIFS('标准化长表'!$N$2:$N$3075,'标准化长表'!$E$2:$E$3075,"建设用地"),0)</x:f>
        <x:v>0.030597076519092263</x:v>
      </x:c>
      <x:c r="J4" s="50" t="n">
        <x:f>IFERROR(H4/I4,0)</x:f>
        <x:v>4.933055903649375</x:v>
      </x:c>
    </x:row>
    <x:row r="5">
      <x:c r="A5" s="21" t="n">
        <x:v>350200</x:v>
      </x:c>
      <x:c r="B5" s="22" t="str">
        <x:v>厦门市</x:v>
      </x:c>
      <x:c r="C5" s="22" t="n">
        <x:v>350203</x:v>
      </x:c>
      <x:c r="D5" s="22" t="str">
        <x:v>思明区</x:v>
      </x:c>
      <x:c r="E5" s="22" t="str">
        <x:v>公共服务</x:v>
      </x:c>
      <x:c r="F5" s="33" t="n">
        <x:f>SUMIFS('标准化长表'!$N$2:$N$3075,'标准化长表'!$C$2:$C$3075,$C5,'标准化长表'!$J$2:$J$3075,$E5,'标准化长表'!$E$2:$E$3075,"建设用地")</x:f>
        <x:v>578.9903769999997</x:v>
      </x:c>
      <x:c r="G5" s="33" t="n">
        <x:f>SUMIFS('标准化长表'!$N$2:$N$3075,'标准化长表'!$C$2:$C$3075,$C5,'标准化长表'!$E$2:$E$3075,"建设用地")</x:f>
        <x:v>4754.056130000002</x:v>
      </x:c>
      <x:c r="H5" s="40" t="n">
        <x:f>IFERROR(F5/G5,0)</x:f>
        <x:v>0.12178871287327428</x:v>
      </x:c>
      <x:c r="I5" s="40" t="n">
        <x:f>IFERROR(SUMIFS('标准化长表'!$N$2:$N$3075,'标准化长表'!$J$2:$J$3075,$E5,'标准化长表'!$E$2:$E$3075,"建设用地")/SUMIFS('标准化长表'!$N$2:$N$3075,'标准化长表'!$E$2:$E$3075,"建设用地"),0)</x:f>
        <x:v>0.042036176888757715</x:v>
      </x:c>
      <x:c r="J5" s="50" t="n">
        <x:f>IFERROR(H5/I5,0)</x:f>
        <x:v>2.897235711886202</x:v>
      </x:c>
    </x:row>
    <x:row r="6">
      <x:c r="A6" s="21" t="n">
        <x:v>350200</x:v>
      </x:c>
      <x:c r="B6" s="22" t="str">
        <x:v>厦门市</x:v>
      </x:c>
      <x:c r="C6" s="22" t="n">
        <x:v>350203</x:v>
      </x:c>
      <x:c r="D6" s="22" t="str">
        <x:v>思明区</x:v>
      </x:c>
      <x:c r="E6" s="22" t="str">
        <x:v>交通门户</x:v>
      </x:c>
      <x:c r="F6" s="33" t="n">
        <x:f>SUMIFS('标准化长表'!$N$2:$N$3075,'标准化长表'!$C$2:$C$3075,$C6,'标准化长表'!$J$2:$J$3075,$E6,'标准化长表'!$E$2:$E$3075,"建设用地")</x:f>
        <x:v>953.9260480000002</x:v>
      </x:c>
      <x:c r="G6" s="33" t="n">
        <x:f>SUMIFS('标准化长表'!$N$2:$N$3075,'标准化长表'!$C$2:$C$3075,$C6,'标准化长表'!$E$2:$E$3075,"建设用地")</x:f>
        <x:v>4754.056130000002</x:v>
      </x:c>
      <x:c r="H6" s="40" t="n">
        <x:f>IFERROR(F6/G6,0)</x:f>
        <x:v>0.2006551925166268</x:v>
      </x:c>
      <x:c r="I6" s="40" t="n">
        <x:f>IFERROR(SUMIFS('标准化长表'!$N$2:$N$3075,'标准化长表'!$J$2:$J$3075,$E6,'标准化长表'!$E$2:$E$3075,"建设用地")/SUMIFS('标准化长表'!$N$2:$N$3075,'标准化长表'!$E$2:$E$3075,"建设用地"),0)</x:f>
        <x:v>0.1936476595437284</x:v>
      </x:c>
      <x:c r="J6" s="50" t="n">
        <x:f>IFERROR(H6/I6,0)</x:f>
        <x:v>1.0361870264242259</x:v>
      </x:c>
    </x:row>
    <x:row r="7">
      <x:c r="A7" s="21" t="n">
        <x:v>350200</x:v>
      </x:c>
      <x:c r="B7" s="22" t="str">
        <x:v>厦门市</x:v>
      </x:c>
      <x:c r="C7" s="22" t="n">
        <x:v>350203</x:v>
      </x:c>
      <x:c r="D7" s="22" t="str">
        <x:v>思明区</x:v>
      </x:c>
      <x:c r="E7" s="22" t="str">
        <x:v>公共空间</x:v>
      </x:c>
      <x:c r="F7" s="33" t="n">
        <x:f>SUMIFS('标准化长表'!$N$2:$N$3075,'标准化长表'!$C$2:$C$3075,$C7,'标准化长表'!$J$2:$J$3075,$E7,'标准化长表'!$E$2:$E$3075,"建设用地")</x:f>
        <x:v>133.25139999999996</x:v>
      </x:c>
      <x:c r="G7" s="33" t="n">
        <x:f>SUMIFS('标准化长表'!$N$2:$N$3075,'标准化长表'!$C$2:$C$3075,$C7,'标准化长表'!$E$2:$E$3075,"建设用地")</x:f>
        <x:v>4754.056130000002</x:v>
      </x:c>
      <x:c r="H7" s="40" t="n">
        <x:f>IFERROR(F7/G7,0)</x:f>
        <x:v>0.0280289917401543</x:v>
      </x:c>
      <x:c r="I7" s="40" t="n">
        <x:f>IFERROR(SUMIFS('标准化长表'!$N$2:$N$3075,'标准化长表'!$J$2:$J$3075,$E7,'标准化长表'!$E$2:$E$3075,"建设用地")/SUMIFS('标准化长表'!$N$2:$N$3075,'标准化长表'!$E$2:$E$3075,"建设用地"),0)</x:f>
        <x:v>0.013901166268963908</x:v>
      </x:c>
      <x:c r="J7" s="50" t="n">
        <x:f>IFERROR(H7/I7,0)</x:f>
        <x:v>2.0163050493635577</x:v>
      </x:c>
    </x:row>
    <x:row r="8">
      <x:c r="A8" s="21" t="n">
        <x:v>350200</x:v>
      </x:c>
      <x:c r="B8" s="22" t="str">
        <x:v>厦门市</x:v>
      </x:c>
      <x:c r="C8" s="22" t="n">
        <x:v>350203</x:v>
      </x:c>
      <x:c r="D8" s="22" t="str">
        <x:v>思明区</x:v>
      </x:c>
      <x:c r="E8" s="22" t="str">
        <x:v>其他建设</x:v>
      </x:c>
      <x:c r="F8" s="33" t="n">
        <x:f>SUMIFS('标准化长表'!$N$2:$N$3075,'标准化长表'!$C$2:$C$3075,$C8,'标准化长表'!$J$2:$J$3075,$E8,'标准化长表'!$E$2:$E$3075,"建设用地")</x:f>
        <x:v>406.16632100000004</x:v>
      </x:c>
      <x:c r="G8" s="33" t="n">
        <x:f>SUMIFS('标准化长表'!$N$2:$N$3075,'标准化长表'!$C$2:$C$3075,$C8,'标准化长表'!$E$2:$E$3075,"建设用地")</x:f>
        <x:v>4754.056130000002</x:v>
      </x:c>
      <x:c r="H8" s="40" t="n">
        <x:f>IFERROR(F8/G8,0)</x:f>
        <x:v>0.08543574368778012</x:v>
      </x:c>
      <x:c r="I8" s="40" t="n">
        <x:f>IFERROR(SUMIFS('标准化长表'!$N$2:$N$3075,'标准化长表'!$J$2:$J$3075,$E8,'标准化长表'!$E$2:$E$3075,"建设用地")/SUMIFS('标准化长表'!$N$2:$N$3075,'标准化长表'!$E$2:$E$3075,"建设用地"),0)</x:f>
        <x:v>0.04770007793470843</x:v>
      </x:c>
      <x:c r="J8" s="50" t="n">
        <x:f>IFERROR(H8/I8,0)</x:f>
        <x:v>1.7911028112936007</x:v>
      </x:c>
    </x:row>
    <x:row r="9">
      <x:c r="A9" s="21" t="n">
        <x:v>350200</x:v>
      </x:c>
      <x:c r="B9" s="22" t="str">
        <x:v>厦门市</x:v>
      </x:c>
      <x:c r="C9" s="22" t="n">
        <x:v>350205</x:v>
      </x:c>
      <x:c r="D9" s="22" t="str">
        <x:v>海沧区</x:v>
      </x:c>
      <x:c r="E9" s="22" t="str">
        <x:v>居住功能</x:v>
      </x:c>
      <x:c r="F9" s="33" t="n">
        <x:f>SUMIFS('标准化长表'!$N$2:$N$3075,'标准化长表'!$C$2:$C$3075,$C9,'标准化长表'!$J$2:$J$3075,$E9,'标准化长表'!$E$2:$E$3075,"建设用地")</x:f>
        <x:v>1782.4173840000003</x:v>
      </x:c>
      <x:c r="G9" s="33" t="n">
        <x:f>SUMIFS('标准化长表'!$N$2:$N$3075,'标准化长表'!$C$2:$C$3075,$C9,'标准化长表'!$E$2:$E$3075,"建设用地")</x:f>
        <x:v>7933.324313</x:v>
      </x:c>
      <x:c r="H9" s="40" t="n">
        <x:f>IFERROR(F9/G9,0)</x:f>
        <x:v>0.22467471562699498</x:v>
      </x:c>
      <x:c r="I9" s="40" t="n">
        <x:f>IFERROR(SUMIFS('标准化长表'!$N$2:$N$3075,'标准化长表'!$J$2:$J$3075,$E9,'标准化长表'!$E$2:$E$3075,"建设用地")/SUMIFS('标准化长表'!$N$2:$N$3075,'标准化长表'!$E$2:$E$3075,"建设用地"),0)</x:f>
        <x:v>0.4520331968015951</x:v>
      </x:c>
      <x:c r="J9" s="50" t="n">
        <x:f>IFERROR(H9/I9,0)</x:f>
        <x:v>0.4970314508241935</x:v>
      </x:c>
    </x:row>
    <x:row r="10">
      <x:c r="A10" s="21" t="n">
        <x:v>350200</x:v>
      </x:c>
      <x:c r="B10" s="22" t="str">
        <x:v>厦门市</x:v>
      </x:c>
      <x:c r="C10" s="22" t="n">
        <x:v>350205</x:v>
      </x:c>
      <x:c r="D10" s="22" t="str">
        <x:v>海沧区</x:v>
      </x:c>
      <x:c r="E10" s="22" t="str">
        <x:v>产业功能</x:v>
      </x:c>
      <x:c r="F10" s="33" t="n">
        <x:f>SUMIFS('标准化长表'!$N$2:$N$3075,'标准化长表'!$C$2:$C$3075,$C10,'标准化长表'!$J$2:$J$3075,$E10,'标准化长表'!$E$2:$E$3075,"建设用地")</x:f>
        <x:v>2461.1432779999996</x:v>
      </x:c>
      <x:c r="G10" s="33" t="n">
        <x:f>SUMIFS('标准化长表'!$N$2:$N$3075,'标准化长表'!$C$2:$C$3075,$C10,'标准化长表'!$E$2:$E$3075,"建设用地")</x:f>
        <x:v>7933.324313</x:v>
      </x:c>
      <x:c r="H10" s="40" t="n">
        <x:f>IFERROR(F10/G10,0)</x:f>
        <x:v>0.31022849702072924</x:v>
      </x:c>
      <x:c r="I10" s="40" t="n">
        <x:f>IFERROR(SUMIFS('标准化长表'!$N$2:$N$3075,'标准化长表'!$J$2:$J$3075,$E10,'标准化长表'!$E$2:$E$3075,"建设用地")/SUMIFS('标准化长表'!$N$2:$N$3075,'标准化长表'!$E$2:$E$3075,"建设用地"),0)</x:f>
        <x:v>0.2200846460431537</x:v>
      </x:c>
      <x:c r="J10" s="50" t="n">
        <x:f>IFERROR(H10/I10,0)</x:f>
        <x:v>1.4095871865586678</x:v>
      </x:c>
    </x:row>
    <x:row r="11">
      <x:c r="A11" s="21" t="n">
        <x:v>350200</x:v>
      </x:c>
      <x:c r="B11" s="22" t="str">
        <x:v>厦门市</x:v>
      </x:c>
      <x:c r="C11" s="22" t="n">
        <x:v>350205</x:v>
      </x:c>
      <x:c r="D11" s="22" t="str">
        <x:v>海沧区</x:v>
      </x:c>
      <x:c r="E11" s="22" t="str">
        <x:v>商业服务</x:v>
      </x:c>
      <x:c r="F11" s="33" t="n">
        <x:f>SUMIFS('标准化长表'!$N$2:$N$3075,'标准化长表'!$C$2:$C$3075,$C11,'标准化长表'!$J$2:$J$3075,$E11,'标准化长表'!$E$2:$E$3075,"建设用地")</x:f>
        <x:v>383.00256999999993</x:v>
      </x:c>
      <x:c r="G11" s="33" t="n">
        <x:f>SUMIFS('标准化长表'!$N$2:$N$3075,'标准化长表'!$C$2:$C$3075,$C11,'标准化长表'!$E$2:$E$3075,"建设用地")</x:f>
        <x:v>7933.324313</x:v>
      </x:c>
      <x:c r="H11" s="40" t="n">
        <x:f>IFERROR(F11/G11,0)</x:f>
        <x:v>0.04827768976649423</x:v>
      </x:c>
      <x:c r="I11" s="40" t="n">
        <x:f>IFERROR(SUMIFS('标准化长表'!$N$2:$N$3075,'标准化长表'!$J$2:$J$3075,$E11,'标准化长表'!$E$2:$E$3075,"建设用地")/SUMIFS('标准化长表'!$N$2:$N$3075,'标准化长表'!$E$2:$E$3075,"建设用地"),0)</x:f>
        <x:v>0.030597076519092263</x:v>
      </x:c>
      <x:c r="J11" s="50" t="n">
        <x:f>IFERROR(H11/I11,0)</x:f>
        <x:v>1.5778530258068755</x:v>
      </x:c>
    </x:row>
    <x:row r="12">
      <x:c r="A12" s="21" t="n">
        <x:v>350200</x:v>
      </x:c>
      <x:c r="B12" s="22" t="str">
        <x:v>厦门市</x:v>
      </x:c>
      <x:c r="C12" s="22" t="n">
        <x:v>350205</x:v>
      </x:c>
      <x:c r="D12" s="22" t="str">
        <x:v>海沧区</x:v>
      </x:c>
      <x:c r="E12" s="22" t="str">
        <x:v>公共服务</x:v>
      </x:c>
      <x:c r="F12" s="33" t="n">
        <x:f>SUMIFS('标准化长表'!$N$2:$N$3075,'标准化长表'!$C$2:$C$3075,$C12,'标准化长表'!$J$2:$J$3075,$E12,'标准化长表'!$E$2:$E$3075,"建设用地")</x:f>
        <x:v>362.347505</x:v>
      </x:c>
      <x:c r="G12" s="33" t="n">
        <x:f>SUMIFS('标准化长表'!$N$2:$N$3075,'标准化长表'!$C$2:$C$3075,$C12,'标准化长表'!$E$2:$E$3075,"建设用地")</x:f>
        <x:v>7933.324313</x:v>
      </x:c>
      <x:c r="H12" s="40" t="n">
        <x:f>IFERROR(F12/G12,0)</x:f>
        <x:v>0.04567410718432834</x:v>
      </x:c>
      <x:c r="I12" s="40" t="n">
        <x:f>IFERROR(SUMIFS('标准化长表'!$N$2:$N$3075,'标准化长表'!$J$2:$J$3075,$E12,'标准化长表'!$E$2:$E$3075,"建设用地")/SUMIFS('标准化长表'!$N$2:$N$3075,'标准化长表'!$E$2:$E$3075,"建设用地"),0)</x:f>
        <x:v>0.042036176888757715</x:v>
      </x:c>
      <x:c r="J12" s="50" t="n">
        <x:f>IFERROR(H12/I12,0)</x:f>
        <x:v>1.086542843922221</x:v>
      </x:c>
    </x:row>
    <x:row r="13">
      <x:c r="A13" s="21" t="n">
        <x:v>350200</x:v>
      </x:c>
      <x:c r="B13" s="22" t="str">
        <x:v>厦门市</x:v>
      </x:c>
      <x:c r="C13" s="22" t="n">
        <x:v>350205</x:v>
      </x:c>
      <x:c r="D13" s="22" t="str">
        <x:v>海沧区</x:v>
      </x:c>
      <x:c r="E13" s="22" t="str">
        <x:v>交通门户</x:v>
      </x:c>
      <x:c r="F13" s="33" t="n">
        <x:f>SUMIFS('标准化长表'!$N$2:$N$3075,'标准化长表'!$C$2:$C$3075,$C13,'标准化长表'!$J$2:$J$3075,$E13,'标准化长表'!$E$2:$E$3075,"建设用地")</x:f>
        <x:v>2507.2359849999993</x:v>
      </x:c>
      <x:c r="G13" s="33" t="n">
        <x:f>SUMIFS('标准化长表'!$N$2:$N$3075,'标准化长表'!$C$2:$C$3075,$C13,'标准化长表'!$E$2:$E$3075,"建设用地")</x:f>
        <x:v>7933.324313</x:v>
      </x:c>
      <x:c r="H13" s="40" t="n">
        <x:f>IFERROR(F13/G13,0)</x:f>
        <x:v>0.31603850871084377</x:v>
      </x:c>
      <x:c r="I13" s="40" t="n">
        <x:f>IFERROR(SUMIFS('标准化长表'!$N$2:$N$3075,'标准化长表'!$J$2:$J$3075,$E13,'标准化长表'!$E$2:$E$3075,"建设用地")/SUMIFS('标准化长表'!$N$2:$N$3075,'标准化长表'!$E$2:$E$3075,"建设用地"),0)</x:f>
        <x:v>0.1936476595437284</x:v>
      </x:c>
      <x:c r="J13" s="50" t="n">
        <x:f>IFERROR(H13/I13,0)</x:f>
        <x:v>1.6320285484239367</x:v>
      </x:c>
    </x:row>
    <x:row r="14">
      <x:c r="A14" s="21" t="n">
        <x:v>350200</x:v>
      </x:c>
      <x:c r="B14" s="22" t="str">
        <x:v>厦门市</x:v>
      </x:c>
      <x:c r="C14" s="22" t="n">
        <x:v>350205</x:v>
      </x:c>
      <x:c r="D14" s="22" t="str">
        <x:v>海沧区</x:v>
      </x:c>
      <x:c r="E14" s="22" t="str">
        <x:v>公共空间</x:v>
      </x:c>
      <x:c r="F14" s="33" t="n">
        <x:f>SUMIFS('标准化长表'!$N$2:$N$3075,'标准化长表'!$C$2:$C$3075,$C14,'标准化长表'!$J$2:$J$3075,$E14,'标准化长表'!$E$2:$E$3075,"建设用地")</x:f>
        <x:v>198.574182</x:v>
      </x:c>
      <x:c r="G14" s="33" t="n">
        <x:f>SUMIFS('标准化长表'!$N$2:$N$3075,'标准化长表'!$C$2:$C$3075,$C14,'标准化长表'!$E$2:$E$3075,"建设用地")</x:f>
        <x:v>7933.324313</x:v>
      </x:c>
      <x:c r="H14" s="40" t="n">
        <x:f>IFERROR(F14/G14,0)</x:f>
        <x:v>0.02503038753560156</x:v>
      </x:c>
      <x:c r="I14" s="40" t="n">
        <x:f>IFERROR(SUMIFS('标准化长表'!$N$2:$N$3075,'标准化长表'!$J$2:$J$3075,$E14,'标准化长表'!$E$2:$E$3075,"建设用地")/SUMIFS('标准化长表'!$N$2:$N$3075,'标准化长表'!$E$2:$E$3075,"建设用地"),0)</x:f>
        <x:v>0.013901166268963908</x:v>
      </x:c>
      <x:c r="J14" s="50" t="n">
        <x:f>IFERROR(H14/I14,0)</x:f>
        <x:v>1.8005962270579434</x:v>
      </x:c>
    </x:row>
    <x:row r="15">
      <x:c r="A15" s="21" t="n">
        <x:v>350200</x:v>
      </x:c>
      <x:c r="B15" s="22" t="str">
        <x:v>厦门市</x:v>
      </x:c>
      <x:c r="C15" s="22" t="n">
        <x:v>350205</x:v>
      </x:c>
      <x:c r="D15" s="22" t="str">
        <x:v>海沧区</x:v>
      </x:c>
      <x:c r="E15" s="22" t="str">
        <x:v>其他建设</x:v>
      </x:c>
      <x:c r="F15" s="33" t="n">
        <x:f>SUMIFS('标准化长表'!$N$2:$N$3075,'标准化长表'!$C$2:$C$3075,$C15,'标准化长表'!$J$2:$J$3075,$E15,'标准化长表'!$E$2:$E$3075,"建设用地")</x:f>
        <x:v>238.60340900000003</x:v>
      </x:c>
      <x:c r="G15" s="33" t="n">
        <x:f>SUMIFS('标准化长表'!$N$2:$N$3075,'标准化长表'!$C$2:$C$3075,$C15,'标准化长表'!$E$2:$E$3075,"建设用地")</x:f>
        <x:v>7933.324313</x:v>
      </x:c>
      <x:c r="H15" s="40" t="n">
        <x:f>IFERROR(F15/G15,0)</x:f>
        <x:v>0.03007609415500773</x:v>
      </x:c>
      <x:c r="I15" s="40" t="n">
        <x:f>IFERROR(SUMIFS('标准化长表'!$N$2:$N$3075,'标准化长表'!$J$2:$J$3075,$E15,'标准化长表'!$E$2:$E$3075,"建设用地")/SUMIFS('标准化长表'!$N$2:$N$3075,'标准化长表'!$E$2:$E$3075,"建设用地"),0)</x:f>
        <x:v>0.04770007793470843</x:v>
      </x:c>
      <x:c r="J15" s="50" t="n">
        <x:f>IFERROR(H15/I15,0)</x:f>
        <x:v>0.6305250527300124</x:v>
      </x:c>
    </x:row>
    <x:row r="16">
      <x:c r="A16" s="21" t="n">
        <x:v>350200</x:v>
      </x:c>
      <x:c r="B16" s="22" t="str">
        <x:v>厦门市</x:v>
      </x:c>
      <x:c r="C16" s="22" t="n">
        <x:v>350206</x:v>
      </x:c>
      <x:c r="D16" s="22" t="str">
        <x:v>湖里区</x:v>
      </x:c>
      <x:c r="E16" s="22" t="str">
        <x:v>居住功能</x:v>
      </x:c>
      <x:c r="F16" s="33" t="n">
        <x:f>SUMIFS('标准化长表'!$N$2:$N$3075,'标准化长表'!$C$2:$C$3075,$C16,'标准化长表'!$J$2:$J$3075,$E16,'标准化长表'!$E$2:$E$3075,"建设用地")</x:f>
        <x:v>1563.6534710000003</x:v>
      </x:c>
      <x:c r="G16" s="33" t="n">
        <x:f>SUMIFS('标准化长表'!$N$2:$N$3075,'标准化长表'!$C$2:$C$3075,$C16,'标准化长表'!$E$2:$E$3075,"建设用地")</x:f>
        <x:v>5866.296335</x:v>
      </x:c>
      <x:c r="H16" s="40" t="n">
        <x:f>IFERROR(F16/G16,0)</x:f>
        <x:v>0.26654866745663647</x:v>
      </x:c>
      <x:c r="I16" s="40" t="n">
        <x:f>IFERROR(SUMIFS('标准化长表'!$N$2:$N$3075,'标准化长表'!$J$2:$J$3075,$E16,'标准化长表'!$E$2:$E$3075,"建设用地")/SUMIFS('标准化长表'!$N$2:$N$3075,'标准化长表'!$E$2:$E$3075,"建设用地"),0)</x:f>
        <x:v>0.4520331968015951</x:v>
      </x:c>
      <x:c r="J16" s="50" t="n">
        <x:f>IFERROR(H16/I16,0)</x:f>
        <x:v>0.5896661336880289</x:v>
      </x:c>
    </x:row>
    <x:row r="17">
      <x:c r="A17" s="21" t="n">
        <x:v>350200</x:v>
      </x:c>
      <x:c r="B17" s="22" t="str">
        <x:v>厦门市</x:v>
      </x:c>
      <x:c r="C17" s="22" t="n">
        <x:v>350206</x:v>
      </x:c>
      <x:c r="D17" s="22" t="str">
        <x:v>湖里区</x:v>
      </x:c>
      <x:c r="E17" s="22" t="str">
        <x:v>产业功能</x:v>
      </x:c>
      <x:c r="F17" s="33" t="n">
        <x:f>SUMIFS('标准化长表'!$N$2:$N$3075,'标准化长表'!$C$2:$C$3075,$C17,'标准化长表'!$J$2:$J$3075,$E17,'标准化长表'!$E$2:$E$3075,"建设用地")</x:f>
        <x:v>854.4890750000001</x:v>
      </x:c>
      <x:c r="G17" s="33" t="n">
        <x:f>SUMIFS('标准化长表'!$N$2:$N$3075,'标准化长表'!$C$2:$C$3075,$C17,'标准化长表'!$E$2:$E$3075,"建设用地")</x:f>
        <x:v>5866.296335</x:v>
      </x:c>
      <x:c r="H17" s="40" t="n">
        <x:f>IFERROR(F17/G17,0)</x:f>
        <x:v>0.1456607416679369</x:v>
      </x:c>
      <x:c r="I17" s="40" t="n">
        <x:f>IFERROR(SUMIFS('标准化长表'!$N$2:$N$3075,'标准化长表'!$J$2:$J$3075,$E17,'标准化长表'!$E$2:$E$3075,"建设用地")/SUMIFS('标准化长表'!$N$2:$N$3075,'标准化长表'!$E$2:$E$3075,"建设用地"),0)</x:f>
        <x:v>0.2200846460431537</x:v>
      </x:c>
      <x:c r="J17" s="50" t="n">
        <x:f>IFERROR(H17/I17,0)</x:f>
        <x:v>0.6618396343712959</x:v>
      </x:c>
    </x:row>
    <x:row r="18">
      <x:c r="A18" s="21" t="n">
        <x:v>350200</x:v>
      </x:c>
      <x:c r="B18" s="22" t="str">
        <x:v>厦门市</x:v>
      </x:c>
      <x:c r="C18" s="22" t="n">
        <x:v>350206</x:v>
      </x:c>
      <x:c r="D18" s="22" t="str">
        <x:v>湖里区</x:v>
      </x:c>
      <x:c r="E18" s="22" t="str">
        <x:v>商业服务</x:v>
      </x:c>
      <x:c r="F18" s="33" t="n">
        <x:f>SUMIFS('标准化长表'!$N$2:$N$3075,'标准化长表'!$C$2:$C$3075,$C18,'标准化长表'!$J$2:$J$3075,$E18,'标准化长表'!$E$2:$E$3075,"建设用地")</x:f>
        <x:v>691.0391929999994</x:v>
      </x:c>
      <x:c r="G18" s="33" t="n">
        <x:f>SUMIFS('标准化长表'!$N$2:$N$3075,'标准化长表'!$C$2:$C$3075,$C18,'标准化长表'!$E$2:$E$3075,"建设用地")</x:f>
        <x:v>5866.296335</x:v>
      </x:c>
      <x:c r="H18" s="40" t="n">
        <x:f>IFERROR(F18/G18,0)</x:f>
        <x:v>0.11779820751247463</x:v>
      </x:c>
      <x:c r="I18" s="40" t="n">
        <x:f>IFERROR(SUMIFS('标准化长表'!$N$2:$N$3075,'标准化长表'!$J$2:$J$3075,$E18,'标准化长表'!$E$2:$E$3075,"建设用地")/SUMIFS('标准化长表'!$N$2:$N$3075,'标准化长表'!$E$2:$E$3075,"建设用地"),0)</x:f>
        <x:v>0.030597076519092263</x:v>
      </x:c>
      <x:c r="J18" s="50" t="n">
        <x:f>IFERROR(H18/I18,0)</x:f>
        <x:v>3.849982446491898</x:v>
      </x:c>
    </x:row>
    <x:row r="19">
      <x:c r="A19" s="21" t="n">
        <x:v>350200</x:v>
      </x:c>
      <x:c r="B19" s="22" t="str">
        <x:v>厦门市</x:v>
      </x:c>
      <x:c r="C19" s="22" t="n">
        <x:v>350206</x:v>
      </x:c>
      <x:c r="D19" s="22" t="str">
        <x:v>湖里区</x:v>
      </x:c>
      <x:c r="E19" s="22" t="str">
        <x:v>公共服务</x:v>
      </x:c>
      <x:c r="F19" s="33" t="n">
        <x:f>SUMIFS('标准化长表'!$N$2:$N$3075,'标准化长表'!$C$2:$C$3075,$C19,'标准化长表'!$J$2:$J$3075,$E19,'标准化长表'!$E$2:$E$3075,"建设用地")</x:f>
        <x:v>353.86059800000004</x:v>
      </x:c>
      <x:c r="G19" s="33" t="n">
        <x:f>SUMIFS('标准化长表'!$N$2:$N$3075,'标准化长表'!$C$2:$C$3075,$C19,'标准化长表'!$E$2:$E$3075,"建设用地")</x:f>
        <x:v>5866.296335</x:v>
      </x:c>
      <x:c r="H19" s="40" t="n">
        <x:f>IFERROR(F19/G19,0)</x:f>
        <x:v>0.06032095512951956</x:v>
      </x:c>
      <x:c r="I19" s="40" t="n">
        <x:f>IFERROR(SUMIFS('标准化长表'!$N$2:$N$3075,'标准化长表'!$J$2:$J$3075,$E19,'标准化长表'!$E$2:$E$3075,"建设用地")/SUMIFS('标准化长表'!$N$2:$N$3075,'标准化长表'!$E$2:$E$3075,"建设用地"),0)</x:f>
        <x:v>0.042036176888757715</x:v>
      </x:c>
      <x:c r="J19" s="50" t="n">
        <x:f>IFERROR(H19/I19,0)</x:f>
        <x:v>1.434977193314932</x:v>
      </x:c>
    </x:row>
    <x:row r="20">
      <x:c r="A20" s="21" t="n">
        <x:v>350200</x:v>
      </x:c>
      <x:c r="B20" s="22" t="str">
        <x:v>厦门市</x:v>
      </x:c>
      <x:c r="C20" s="22" t="n">
        <x:v>350206</x:v>
      </x:c>
      <x:c r="D20" s="22" t="str">
        <x:v>湖里区</x:v>
      </x:c>
      <x:c r="E20" s="22" t="str">
        <x:v>交通门户</x:v>
      </x:c>
      <x:c r="F20" s="33" t="n">
        <x:f>SUMIFS('标准化长表'!$N$2:$N$3075,'标准化长表'!$C$2:$C$3075,$C20,'标准化长表'!$J$2:$J$3075,$E20,'标准化长表'!$E$2:$E$3075,"建设用地")</x:f>
        <x:v>1960.9612310000011</x:v>
      </x:c>
      <x:c r="G20" s="33" t="n">
        <x:f>SUMIFS('标准化长表'!$N$2:$N$3075,'标准化长表'!$C$2:$C$3075,$C20,'标准化长表'!$E$2:$E$3075,"建设用地")</x:f>
        <x:v>5866.296335</x:v>
      </x:c>
      <x:c r="H20" s="40" t="n">
        <x:f>IFERROR(F20/G20,0)</x:f>
        <x:v>0.33427585635255863</x:v>
      </x:c>
      <x:c r="I20" s="40" t="n">
        <x:f>IFERROR(SUMIFS('标准化长表'!$N$2:$N$3075,'标准化长表'!$J$2:$J$3075,$E20,'标准化长表'!$E$2:$E$3075,"建设用地")/SUMIFS('标准化长表'!$N$2:$N$3075,'标准化长表'!$E$2:$E$3075,"建设用地"),0)</x:f>
        <x:v>0.1936476595437284</x:v>
      </x:c>
      <x:c r="J20" s="50" t="n">
        <x:f>IFERROR(H20/I20,0)</x:f>
        <x:v>1.726206539961173</x:v>
      </x:c>
    </x:row>
    <x:row r="21">
      <x:c r="A21" s="21" t="n">
        <x:v>350200</x:v>
      </x:c>
      <x:c r="B21" s="22" t="str">
        <x:v>厦门市</x:v>
      </x:c>
      <x:c r="C21" s="22" t="n">
        <x:v>350206</x:v>
      </x:c>
      <x:c r="D21" s="22" t="str">
        <x:v>湖里区</x:v>
      </x:c>
      <x:c r="E21" s="22" t="str">
        <x:v>公共空间</x:v>
      </x:c>
      <x:c r="F21" s="33" t="n">
        <x:f>SUMIFS('标准化长表'!$N$2:$N$3075,'标准化长表'!$C$2:$C$3075,$C21,'标准化长表'!$J$2:$J$3075,$E21,'标准化长表'!$E$2:$E$3075,"建设用地")</x:f>
        <x:v>209.68681800000007</x:v>
      </x:c>
      <x:c r="G21" s="33" t="n">
        <x:f>SUMIFS('标准化长表'!$N$2:$N$3075,'标准化长表'!$C$2:$C$3075,$C21,'标准化长表'!$E$2:$E$3075,"建设用地")</x:f>
        <x:v>5866.296335</x:v>
      </x:c>
      <x:c r="H21" s="40" t="n">
        <x:f>IFERROR(F21/G21,0)</x:f>
        <x:v>0.03574432760052516</x:v>
      </x:c>
      <x:c r="I21" s="40" t="n">
        <x:f>IFERROR(SUMIFS('标准化长表'!$N$2:$N$3075,'标准化长表'!$J$2:$J$3075,$E21,'标准化长表'!$E$2:$E$3075,"建设用地")/SUMIFS('标准化长表'!$N$2:$N$3075,'标准化长表'!$E$2:$E$3075,"建设用地"),0)</x:f>
        <x:v>0.013901166268963908</x:v>
      </x:c>
      <x:c r="J21" s="50" t="n">
        <x:f>IFERROR(H21/I21,0)</x:f>
        <x:v>2.5713186152106418</x:v>
      </x:c>
    </x:row>
    <x:row r="22">
      <x:c r="A22" s="21" t="n">
        <x:v>350200</x:v>
      </x:c>
      <x:c r="B22" s="22" t="str">
        <x:v>厦门市</x:v>
      </x:c>
      <x:c r="C22" s="22" t="n">
        <x:v>350206</x:v>
      </x:c>
      <x:c r="D22" s="22" t="str">
        <x:v>湖里区</x:v>
      </x:c>
      <x:c r="E22" s="22" t="str">
        <x:v>其他建设</x:v>
      </x:c>
      <x:c r="F22" s="33" t="n">
        <x:f>SUMIFS('标准化长表'!$N$2:$N$3075,'标准化长表'!$C$2:$C$3075,$C22,'标准化长表'!$J$2:$J$3075,$E22,'标准化长表'!$E$2:$E$3075,"建设用地")</x:f>
        <x:v>232.60594900000007</x:v>
      </x:c>
      <x:c r="G22" s="33" t="n">
        <x:f>SUMIFS('标准化长表'!$N$2:$N$3075,'标准化长表'!$C$2:$C$3075,$C22,'标准化长表'!$E$2:$E$3075,"建设用地")</x:f>
        <x:v>5866.296335</x:v>
      </x:c>
      <x:c r="H22" s="40" t="n">
        <x:f>IFERROR(F22/G22,0)</x:f>
        <x:v>0.03965124428034883</x:v>
      </x:c>
      <x:c r="I22" s="40" t="n">
        <x:f>IFERROR(SUMIFS('标准化长表'!$N$2:$N$3075,'标准化长表'!$J$2:$J$3075,$E22,'标准化长表'!$E$2:$E$3075,"建设用地")/SUMIFS('标准化长表'!$N$2:$N$3075,'标准化长表'!$E$2:$E$3075,"建设用地"),0)</x:f>
        <x:v>0.04770007793470843</x:v>
      </x:c>
      <x:c r="J22" s="50" t="n">
        <x:f>IFERROR(H22/I22,0)</x:f>
        <x:v>0.8312616246586265</x:v>
      </x:c>
    </x:row>
    <x:row r="23">
      <x:c r="A23" s="21" t="n">
        <x:v>350200</x:v>
      </x:c>
      <x:c r="B23" s="22" t="str">
        <x:v>厦门市</x:v>
      </x:c>
      <x:c r="C23" s="22" t="n">
        <x:v>350211</x:v>
      </x:c>
      <x:c r="D23" s="22" t="str">
        <x:v>集美区</x:v>
      </x:c>
      <x:c r="E23" s="22" t="str">
        <x:v>居住功能</x:v>
      </x:c>
      <x:c r="F23" s="33" t="n">
        <x:f>SUMIFS('标准化长表'!$N$2:$N$3075,'标准化长表'!$C$2:$C$3075,$C23,'标准化长表'!$J$2:$J$3075,$E23,'标准化长表'!$E$2:$E$3075,"建设用地")</x:f>
        <x:v>2673.5229370000006</x:v>
      </x:c>
      <x:c r="G23" s="33" t="n">
        <x:f>SUMIFS('标准化长表'!$N$2:$N$3075,'标准化长表'!$C$2:$C$3075,$C23,'标准化长表'!$E$2:$E$3075,"建设用地")</x:f>
        <x:v>10004.699344999999</x:v>
      </x:c>
      <x:c r="H23" s="40" t="n">
        <x:f>IFERROR(F23/G23,0)</x:f>
        <x:v>0.2672267146474656</x:v>
      </x:c>
      <x:c r="I23" s="40" t="n">
        <x:f>IFERROR(SUMIFS('标准化长表'!$N$2:$N$3075,'标准化长表'!$J$2:$J$3075,$E23,'标准化长表'!$E$2:$E$3075,"建设用地")/SUMIFS('标准化长表'!$N$2:$N$3075,'标准化长表'!$E$2:$E$3075,"建设用地"),0)</x:f>
        <x:v>0.4520331968015951</x:v>
      </x:c>
      <x:c r="J23" s="50" t="n">
        <x:f>IFERROR(H23/I23,0)</x:f>
        <x:v>0.5911661279265644</x:v>
      </x:c>
    </x:row>
    <x:row r="24">
      <x:c r="A24" s="21" t="n">
        <x:v>350200</x:v>
      </x:c>
      <x:c r="B24" s="22" t="str">
        <x:v>厦门市</x:v>
      </x:c>
      <x:c r="C24" s="22" t="n">
        <x:v>350211</x:v>
      </x:c>
      <x:c r="D24" s="22" t="str">
        <x:v>集美区</x:v>
      </x:c>
      <x:c r="E24" s="22" t="str">
        <x:v>产业功能</x:v>
      </x:c>
      <x:c r="F24" s="33" t="n">
        <x:f>SUMIFS('标准化长表'!$N$2:$N$3075,'标准化长表'!$C$2:$C$3075,$C24,'标准化长表'!$J$2:$J$3075,$E24,'标准化长表'!$E$2:$E$3075,"建设用地")</x:f>
        <x:v>2149.788748000001</x:v>
      </x:c>
      <x:c r="G24" s="33" t="n">
        <x:f>SUMIFS('标准化长表'!$N$2:$N$3075,'标准化长表'!$C$2:$C$3075,$C24,'标准化长表'!$E$2:$E$3075,"建设用地")</x:f>
        <x:v>10004.699344999999</x:v>
      </x:c>
      <x:c r="H24" s="40" t="n">
        <x:f>IFERROR(F24/G24,0)</x:f>
        <x:v>0.21487789626325857</x:v>
      </x:c>
      <x:c r="I24" s="40" t="n">
        <x:f>IFERROR(SUMIFS('标准化长表'!$N$2:$N$3075,'标准化长表'!$J$2:$J$3075,$E24,'标准化长表'!$E$2:$E$3075,"建设用地")/SUMIFS('标准化长表'!$N$2:$N$3075,'标准化长表'!$E$2:$E$3075,"建设用地"),0)</x:f>
        <x:v>0.2200846460431537</x:v>
      </x:c>
      <x:c r="J24" s="50" t="n">
        <x:f>IFERROR(H24/I24,0)</x:f>
        <x:v>0.9763420580512727</x:v>
      </x:c>
    </x:row>
    <x:row r="25">
      <x:c r="A25" s="21" t="n">
        <x:v>350200</x:v>
      </x:c>
      <x:c r="B25" s="22" t="str">
        <x:v>厦门市</x:v>
      </x:c>
      <x:c r="C25" s="22" t="n">
        <x:v>350211</x:v>
      </x:c>
      <x:c r="D25" s="22" t="str">
        <x:v>集美区</x:v>
      </x:c>
      <x:c r="E25" s="22" t="str">
        <x:v>商业服务</x:v>
      </x:c>
      <x:c r="F25" s="33" t="n">
        <x:f>SUMIFS('标准化长表'!$N$2:$N$3075,'标准化长表'!$C$2:$C$3075,$C25,'标准化长表'!$J$2:$J$3075,$E25,'标准化长表'!$E$2:$E$3075,"建设用地")</x:f>
        <x:v>587.5009570000003</x:v>
      </x:c>
      <x:c r="G25" s="33" t="n">
        <x:f>SUMIFS('标准化长表'!$N$2:$N$3075,'标准化长表'!$C$2:$C$3075,$C25,'标准化长表'!$E$2:$E$3075,"建设用地")</x:f>
        <x:v>10004.699344999999</x:v>
      </x:c>
      <x:c r="H25" s="40" t="n">
        <x:f>IFERROR(F25/G25,0)</x:f>
        <x:v>0.05872249997133726</x:v>
      </x:c>
      <x:c r="I25" s="40" t="n">
        <x:f>IFERROR(SUMIFS('标准化长表'!$N$2:$N$3075,'标准化长表'!$J$2:$J$3075,$E25,'标准化长表'!$E$2:$E$3075,"建设用地")/SUMIFS('标准化长表'!$N$2:$N$3075,'标准化长表'!$E$2:$E$3075,"建设用地"),0)</x:f>
        <x:v>0.030597076519092263</x:v>
      </x:c>
      <x:c r="J25" s="50" t="n">
        <x:f>IFERROR(H25/I25,0)</x:f>
        <x:v>1.919219306285521</x:v>
      </x:c>
    </x:row>
    <x:row r="26">
      <x:c r="A26" s="21" t="n">
        <x:v>350200</x:v>
      </x:c>
      <x:c r="B26" s="22" t="str">
        <x:v>厦门市</x:v>
      </x:c>
      <x:c r="C26" s="22" t="n">
        <x:v>350211</x:v>
      </x:c>
      <x:c r="D26" s="22" t="str">
        <x:v>集美区</x:v>
      </x:c>
      <x:c r="E26" s="22" t="str">
        <x:v>公共服务</x:v>
      </x:c>
      <x:c r="F26" s="33" t="n">
        <x:f>SUMIFS('标准化长表'!$N$2:$N$3075,'标准化长表'!$C$2:$C$3075,$C26,'标准化长表'!$J$2:$J$3075,$E26,'标准化长表'!$E$2:$E$3075,"建设用地")</x:f>
        <x:v>1035.853661</x:v>
      </x:c>
      <x:c r="G26" s="33" t="n">
        <x:f>SUMIFS('标准化长表'!$N$2:$N$3075,'标准化长表'!$C$2:$C$3075,$C26,'标准化长表'!$E$2:$E$3075,"建设用地")</x:f>
        <x:v>10004.699344999999</x:v>
      </x:c>
      <x:c r="H26" s="40" t="n">
        <x:f>IFERROR(F26/G26,0)</x:f>
        <x:v>0.10353671062765957</x:v>
      </x:c>
      <x:c r="I26" s="40" t="n">
        <x:f>IFERROR(SUMIFS('标准化长表'!$N$2:$N$3075,'标准化长表'!$J$2:$J$3075,$E26,'标准化长表'!$E$2:$E$3075,"建设用地")/SUMIFS('标准化长表'!$N$2:$N$3075,'标准化长表'!$E$2:$E$3075,"建设用地"),0)</x:f>
        <x:v>0.042036176888757715</x:v>
      </x:c>
      <x:c r="J26" s="50" t="n">
        <x:f>IFERROR(H26/I26,0)</x:f>
        <x:v>2.4630382278020564</x:v>
      </x:c>
    </x:row>
    <x:row r="27">
      <x:c r="A27" s="21" t="n">
        <x:v>350200</x:v>
      </x:c>
      <x:c r="B27" s="22" t="str">
        <x:v>厦门市</x:v>
      </x:c>
      <x:c r="C27" s="22" t="n">
        <x:v>350211</x:v>
      </x:c>
      <x:c r="D27" s="22" t="str">
        <x:v>集美区</x:v>
      </x:c>
      <x:c r="E27" s="22" t="str">
        <x:v>交通门户</x:v>
      </x:c>
      <x:c r="F27" s="33" t="n">
        <x:f>SUMIFS('标准化长表'!$N$2:$N$3075,'标准化长表'!$C$2:$C$3075,$C27,'标准化长表'!$J$2:$J$3075,$E27,'标准化长表'!$E$2:$E$3075,"建设用地")</x:f>
        <x:v>2477.4896430000003</x:v>
      </x:c>
      <x:c r="G27" s="33" t="n">
        <x:f>SUMIFS('标准化长表'!$N$2:$N$3075,'标准化长表'!$C$2:$C$3075,$C27,'标准化长表'!$E$2:$E$3075,"建设用地")</x:f>
        <x:v>10004.699344999999</x:v>
      </x:c>
      <x:c r="H27" s="40" t="n">
        <x:f>IFERROR(F27/G27,0)</x:f>
        <x:v>0.24763259320113037</x:v>
      </x:c>
      <x:c r="I27" s="40" t="n">
        <x:f>IFERROR(SUMIFS('标准化长表'!$N$2:$N$3075,'标准化长表'!$J$2:$J$3075,$E27,'标准化长表'!$E$2:$E$3075,"建设用地")/SUMIFS('标准化长表'!$N$2:$N$3075,'标准化长表'!$E$2:$E$3075,"建设用地"),0)</x:f>
        <x:v>0.1936476595437284</x:v>
      </x:c>
      <x:c r="J27" s="50" t="n">
        <x:f>IFERROR(H27/I27,0)</x:f>
        <x:v>1.2787791692633983</x:v>
      </x:c>
    </x:row>
    <x:row r="28">
      <x:c r="A28" s="21" t="n">
        <x:v>350200</x:v>
      </x:c>
      <x:c r="B28" s="22" t="str">
        <x:v>厦门市</x:v>
      </x:c>
      <x:c r="C28" s="22" t="n">
        <x:v>350211</x:v>
      </x:c>
      <x:c r="D28" s="22" t="str">
        <x:v>集美区</x:v>
      </x:c>
      <x:c r="E28" s="22" t="str">
        <x:v>公共空间</x:v>
      </x:c>
      <x:c r="F28" s="33" t="n">
        <x:f>SUMIFS('标准化长表'!$N$2:$N$3075,'标准化长表'!$C$2:$C$3075,$C28,'标准化长表'!$J$2:$J$3075,$E28,'标准化长表'!$E$2:$E$3075,"建设用地")</x:f>
        <x:v>491.83934300000004</x:v>
      </x:c>
      <x:c r="G28" s="33" t="n">
        <x:f>SUMIFS('标准化长表'!$N$2:$N$3075,'标准化长表'!$C$2:$C$3075,$C28,'标准化长表'!$E$2:$E$3075,"建设用地")</x:f>
        <x:v>10004.699344999999</x:v>
      </x:c>
      <x:c r="H28" s="40" t="n">
        <x:f>IFERROR(F28/G28,0)</x:f>
        <x:v>0.04916083192902786</x:v>
      </x:c>
      <x:c r="I28" s="40" t="n">
        <x:f>IFERROR(SUMIFS('标准化长表'!$N$2:$N$3075,'标准化长表'!$J$2:$J$3075,$E28,'标准化长表'!$E$2:$E$3075,"建设用地")/SUMIFS('标准化长表'!$N$2:$N$3075,'标准化长表'!$E$2:$E$3075,"建设用地"),0)</x:f>
        <x:v>0.013901166268963908</x:v>
      </x:c>
      <x:c r="J28" s="50" t="n">
        <x:f>IFERROR(H28/I28,0)</x:f>
        <x:v>3.5364537750178244</x:v>
      </x:c>
    </x:row>
    <x:row r="29">
      <x:c r="A29" s="21" t="n">
        <x:v>350200</x:v>
      </x:c>
      <x:c r="B29" s="22" t="str">
        <x:v>厦门市</x:v>
      </x:c>
      <x:c r="C29" s="22" t="n">
        <x:v>350211</x:v>
      </x:c>
      <x:c r="D29" s="22" t="str">
        <x:v>集美区</x:v>
      </x:c>
      <x:c r="E29" s="22" t="str">
        <x:v>其他建设</x:v>
      </x:c>
      <x:c r="F29" s="33" t="n">
        <x:f>SUMIFS('标准化长表'!$N$2:$N$3075,'标准化长表'!$C$2:$C$3075,$C29,'标准化长表'!$J$2:$J$3075,$E29,'标准化长表'!$E$2:$E$3075,"建设用地")</x:f>
        <x:v>588.704056</x:v>
      </x:c>
      <x:c r="G29" s="33" t="n">
        <x:f>SUMIFS('标准化长表'!$N$2:$N$3075,'标准化长表'!$C$2:$C$3075,$C29,'标准化长表'!$E$2:$E$3075,"建设用地")</x:f>
        <x:v>10004.699344999999</x:v>
      </x:c>
      <x:c r="H29" s="40" t="n">
        <x:f>IFERROR(F29/G29,0)</x:f>
        <x:v>0.0588427533601211</x:v>
      </x:c>
      <x:c r="I29" s="40" t="n">
        <x:f>IFERROR(SUMIFS('标准化长表'!$N$2:$N$3075,'标准化长表'!$J$2:$J$3075,$E29,'标准化长表'!$E$2:$E$3075,"建设用地")/SUMIFS('标准化长表'!$N$2:$N$3075,'标准化长表'!$E$2:$E$3075,"建设用地"),0)</x:f>
        <x:v>0.04770007793470843</x:v>
      </x:c>
      <x:c r="J29" s="50" t="n">
        <x:f>IFERROR(H29/I29,0)</x:f>
        <x:v>1.2335986838567579</x:v>
      </x:c>
    </x:row>
    <x:row r="30">
      <x:c r="A30" s="21" t="n">
        <x:v>350200</x:v>
      </x:c>
      <x:c r="B30" s="22" t="str">
        <x:v>厦门市</x:v>
      </x:c>
      <x:c r="C30" s="22" t="n">
        <x:v>350212</x:v>
      </x:c>
      <x:c r="D30" s="22" t="str">
        <x:v>同安区</x:v>
      </x:c>
      <x:c r="E30" s="22" t="str">
        <x:v>居住功能</x:v>
      </x:c>
      <x:c r="F30" s="33" t="n">
        <x:f>SUMIFS('标准化长表'!$N$2:$N$3075,'标准化长表'!$C$2:$C$3075,$C30,'标准化长表'!$J$2:$J$3075,$E30,'标准化长表'!$E$2:$E$3075,"建设用地")</x:f>
        <x:v>4947.18771000001</x:v>
      </x:c>
      <x:c r="G30" s="33" t="n">
        <x:f>SUMIFS('标准化长表'!$N$2:$N$3075,'标准化长表'!$C$2:$C$3075,$C30,'标准化长表'!$E$2:$E$3075,"建设用地")</x:f>
        <x:v>12971.44194800001</x:v>
      </x:c>
      <x:c r="H30" s="40" t="n">
        <x:f>IFERROR(F30/G30,0)</x:f>
        <x:v>0.3813907297147321</x:v>
      </x:c>
      <x:c r="I30" s="40" t="n">
        <x:f>IFERROR(SUMIFS('标准化长表'!$N$2:$N$3075,'标准化长表'!$J$2:$J$3075,$E30,'标准化长表'!$E$2:$E$3075,"建设用地")/SUMIFS('标准化长表'!$N$2:$N$3075,'标准化长表'!$E$2:$E$3075,"建设用地"),0)</x:f>
        <x:v>0.4520331968015951</x:v>
      </x:c>
      <x:c r="J30" s="50" t="n">
        <x:f>IFERROR(H30/I30,0)</x:f>
        <x:v>0.8437228336619951</x:v>
      </x:c>
    </x:row>
    <x:row r="31">
      <x:c r="A31" s="21" t="n">
        <x:v>350200</x:v>
      </x:c>
      <x:c r="B31" s="22" t="str">
        <x:v>厦门市</x:v>
      </x:c>
      <x:c r="C31" s="22" t="n">
        <x:v>350212</x:v>
      </x:c>
      <x:c r="D31" s="22" t="str">
        <x:v>同安区</x:v>
      </x:c>
      <x:c r="E31" s="22" t="str">
        <x:v>产业功能</x:v>
      </x:c>
      <x:c r="F31" s="33" t="n">
        <x:f>SUMIFS('标准化长表'!$N$2:$N$3075,'标准化长表'!$C$2:$C$3075,$C31,'标准化长表'!$J$2:$J$3075,$E31,'标准化长表'!$E$2:$E$3075,"建设用地")</x:f>
        <x:v>3292.511963000003</x:v>
      </x:c>
      <x:c r="G31" s="33" t="n">
        <x:f>SUMIFS('标准化长表'!$N$2:$N$3075,'标准化长表'!$C$2:$C$3075,$C31,'标准化长表'!$E$2:$E$3075,"建设用地")</x:f>
        <x:v>12971.44194800001</x:v>
      </x:c>
      <x:c r="H31" s="40" t="n">
        <x:f>IFERROR(F31/G31,0)</x:f>
        <x:v>0.2538277530130454</x:v>
      </x:c>
      <x:c r="I31" s="40" t="n">
        <x:f>IFERROR(SUMIFS('标准化长表'!$N$2:$N$3075,'标准化长表'!$J$2:$J$3075,$E31,'标准化长表'!$E$2:$E$3075,"建设用地")/SUMIFS('标准化长表'!$N$2:$N$3075,'标准化长表'!$E$2:$E$3075,"建设用地"),0)</x:f>
        <x:v>0.2200846460431537</x:v>
      </x:c>
      <x:c r="J31" s="50" t="n">
        <x:f>IFERROR(H31/I31,0)</x:f>
        <x:v>1.153318768830768</x:v>
      </x:c>
    </x:row>
    <x:row r="32">
      <x:c r="A32" s="21" t="n">
        <x:v>350200</x:v>
      </x:c>
      <x:c r="B32" s="22" t="str">
        <x:v>厦门市</x:v>
      </x:c>
      <x:c r="C32" s="22" t="n">
        <x:v>350212</x:v>
      </x:c>
      <x:c r="D32" s="22" t="str">
        <x:v>同安区</x:v>
      </x:c>
      <x:c r="E32" s="22" t="str">
        <x:v>商业服务</x:v>
      </x:c>
      <x:c r="F32" s="33" t="n">
        <x:f>SUMIFS('标准化长表'!$N$2:$N$3075,'标准化长表'!$C$2:$C$3075,$C32,'标准化长表'!$J$2:$J$3075,$E32,'标准化长表'!$E$2:$E$3075,"建设用地")</x:f>
        <x:v>566.7247740000001</x:v>
      </x:c>
      <x:c r="G32" s="33" t="n">
        <x:f>SUMIFS('标准化长表'!$N$2:$N$3075,'标准化长表'!$C$2:$C$3075,$C32,'标准化长表'!$E$2:$E$3075,"建设用地")</x:f>
        <x:v>12971.44194800001</x:v>
      </x:c>
      <x:c r="H32" s="40" t="n">
        <x:f>IFERROR(F32/G32,0)</x:f>
        <x:v>0.04369019082626971</x:v>
      </x:c>
      <x:c r="I32" s="40" t="n">
        <x:f>IFERROR(SUMIFS('标准化长表'!$N$2:$N$3075,'标准化长表'!$J$2:$J$3075,$E32,'标准化长表'!$E$2:$E$3075,"建设用地")/SUMIFS('标准化长表'!$N$2:$N$3075,'标准化长表'!$E$2:$E$3075,"建设用地"),0)</x:f>
        <x:v>0.030597076519092263</x:v>
      </x:c>
      <x:c r="J32" s="50" t="n">
        <x:f>IFERROR(H32/I32,0)</x:f>
        <x:v>1.4279204354379242</x:v>
      </x:c>
    </x:row>
    <x:row r="33">
      <x:c r="A33" s="21" t="n">
        <x:v>350200</x:v>
      </x:c>
      <x:c r="B33" s="22" t="str">
        <x:v>厦门市</x:v>
      </x:c>
      <x:c r="C33" s="22" t="n">
        <x:v>350212</x:v>
      </x:c>
      <x:c r="D33" s="22" t="str">
        <x:v>同安区</x:v>
      </x:c>
      <x:c r="E33" s="22" t="str">
        <x:v>公共服务</x:v>
      </x:c>
      <x:c r="F33" s="33" t="n">
        <x:f>SUMIFS('标准化长表'!$N$2:$N$3075,'标准化长表'!$C$2:$C$3075,$C33,'标准化长表'!$J$2:$J$3075,$E33,'标准化长表'!$E$2:$E$3075,"建设用地")</x:f>
        <x:v>468.6056299999999</x:v>
      </x:c>
      <x:c r="G33" s="33" t="n">
        <x:f>SUMIFS('标准化长表'!$N$2:$N$3075,'标准化长表'!$C$2:$C$3075,$C33,'标准化长表'!$E$2:$E$3075,"建设用地")</x:f>
        <x:v>12971.44194800001</x:v>
      </x:c>
      <x:c r="H33" s="40" t="n">
        <x:f>IFERROR(F33/G33,0)</x:f>
        <x:v>0.03612594743734342</x:v>
      </x:c>
      <x:c r="I33" s="40" t="n">
        <x:f>IFERROR(SUMIFS('标准化长表'!$N$2:$N$3075,'标准化长表'!$J$2:$J$3075,$E33,'标准化长表'!$E$2:$E$3075,"建设用地")/SUMIFS('标准化长表'!$N$2:$N$3075,'标准化长表'!$E$2:$E$3075,"建设用地"),0)</x:f>
        <x:v>0.042036176888757715</x:v>
      </x:c>
      <x:c r="J33" s="50" t="n">
        <x:f>IFERROR(H33/I33,0)</x:f>
        <x:v>0.859401356430324</x:v>
      </x:c>
    </x:row>
    <x:row r="34">
      <x:c r="A34" s="21" t="n">
        <x:v>350200</x:v>
      </x:c>
      <x:c r="B34" s="22" t="str">
        <x:v>厦门市</x:v>
      </x:c>
      <x:c r="C34" s="22" t="n">
        <x:v>350212</x:v>
      </x:c>
      <x:c r="D34" s="22" t="str">
        <x:v>同安区</x:v>
      </x:c>
      <x:c r="E34" s="22" t="str">
        <x:v>交通门户</x:v>
      </x:c>
      <x:c r="F34" s="33" t="n">
        <x:f>SUMIFS('标准化长表'!$N$2:$N$3075,'标准化长表'!$C$2:$C$3075,$C34,'标准化长表'!$J$2:$J$3075,$E34,'标准化长表'!$E$2:$E$3075,"建设用地")</x:f>
        <x:v>2836.379633000001</x:v>
      </x:c>
      <x:c r="G34" s="33" t="n">
        <x:f>SUMIFS('标准化长表'!$N$2:$N$3075,'标准化长表'!$C$2:$C$3075,$C34,'标准化长表'!$E$2:$E$3075,"建设用地")</x:f>
        <x:v>12971.44194800001</x:v>
      </x:c>
      <x:c r="H34" s="40" t="n">
        <x:f>IFERROR(F34/G34,0)</x:f>
        <x:v>0.2186634026016919</x:v>
      </x:c>
      <x:c r="I34" s="40" t="n">
        <x:f>IFERROR(SUMIFS('标准化长表'!$N$2:$N$3075,'标准化长表'!$J$2:$J$3075,$E34,'标准化长表'!$E$2:$E$3075,"建设用地")/SUMIFS('标准化长表'!$N$2:$N$3075,'标准化长表'!$E$2:$E$3075,"建设用地"),0)</x:f>
        <x:v>0.1936476595437284</x:v>
      </x:c>
      <x:c r="J34" s="50" t="n">
        <x:f>IFERROR(H34/I34,0)</x:f>
        <x:v>1.1291817474939045</x:v>
      </x:c>
    </x:row>
    <x:row r="35">
      <x:c r="A35" s="21" t="n">
        <x:v>350200</x:v>
      </x:c>
      <x:c r="B35" s="22" t="str">
        <x:v>厦门市</x:v>
      </x:c>
      <x:c r="C35" s="22" t="n">
        <x:v>350212</x:v>
      </x:c>
      <x:c r="D35" s="22" t="str">
        <x:v>同安区</x:v>
      </x:c>
      <x:c r="E35" s="22" t="str">
        <x:v>公共空间</x:v>
      </x:c>
      <x:c r="F35" s="33" t="n">
        <x:f>SUMIFS('标准化长表'!$N$2:$N$3075,'标准化长表'!$C$2:$C$3075,$C35,'标准化长表'!$J$2:$J$3075,$E35,'标准化长表'!$E$2:$E$3075,"建设用地")</x:f>
        <x:v>221.63588300000006</x:v>
      </x:c>
      <x:c r="G35" s="33" t="n">
        <x:f>SUMIFS('标准化长表'!$N$2:$N$3075,'标准化长表'!$C$2:$C$3075,$C35,'标准化长表'!$E$2:$E$3075,"建设用地")</x:f>
        <x:v>12971.44194800001</x:v>
      </x:c>
      <x:c r="H35" s="40" t="n">
        <x:f>IFERROR(F35/G35,0)</x:f>
        <x:v>0.017086449130982912</x:v>
      </x:c>
      <x:c r="I35" s="40" t="n">
        <x:f>IFERROR(SUMIFS('标准化长表'!$N$2:$N$3075,'标准化长表'!$J$2:$J$3075,$E35,'标准化长表'!$E$2:$E$3075,"建设用地")/SUMIFS('标准化长表'!$N$2:$N$3075,'标准化长表'!$E$2:$E$3075,"建设用地"),0)</x:f>
        <x:v>0.013901166268963908</x:v>
      </x:c>
      <x:c r="J35" s="50" t="n">
        <x:f>IFERROR(H35/I35,0)</x:f>
        <x:v>1.2291378147983558</x:v>
      </x:c>
    </x:row>
    <x:row r="36">
      <x:c r="A36" s="21" t="n">
        <x:v>350200</x:v>
      </x:c>
      <x:c r="B36" s="22" t="str">
        <x:v>厦门市</x:v>
      </x:c>
      <x:c r="C36" s="22" t="n">
        <x:v>350212</x:v>
      </x:c>
      <x:c r="D36" s="22" t="str">
        <x:v>同安区</x:v>
      </x:c>
      <x:c r="E36" s="22" t="str">
        <x:v>其他建设</x:v>
      </x:c>
      <x:c r="F36" s="33" t="n">
        <x:f>SUMIFS('标准化长表'!$N$2:$N$3075,'标准化长表'!$C$2:$C$3075,$C36,'标准化长表'!$J$2:$J$3075,$E36,'标准化长表'!$E$2:$E$3075,"建设用地")</x:f>
        <x:v>638.3963549999995</x:v>
      </x:c>
      <x:c r="G36" s="33" t="n">
        <x:f>SUMIFS('标准化长表'!$N$2:$N$3075,'标准化长表'!$C$2:$C$3075,$C36,'标准化长表'!$E$2:$E$3075,"建设用地")</x:f>
        <x:v>12971.44194800001</x:v>
      </x:c>
      <x:c r="H36" s="40" t="n">
        <x:f>IFERROR(F36/G36,0)</x:f>
        <x:v>0.04921552727593481</x:v>
      </x:c>
      <x:c r="I36" s="40" t="n">
        <x:f>IFERROR(SUMIFS('标准化长表'!$N$2:$N$3075,'标准化长表'!$J$2:$J$3075,$E36,'标准化长表'!$E$2:$E$3075,"建设用地")/SUMIFS('标准化长表'!$N$2:$N$3075,'标准化长表'!$E$2:$E$3075,"建设用地"),0)</x:f>
        <x:v>0.04770007793470843</x:v>
      </x:c>
      <x:c r="J36" s="50" t="n">
        <x:f>IFERROR(H36/I36,0)</x:f>
        <x:v>1.031770374532736</x:v>
      </x:c>
    </x:row>
    <x:row r="37">
      <x:c r="A37" s="21" t="n">
        <x:v>350200</x:v>
      </x:c>
      <x:c r="B37" s="22" t="str">
        <x:v>厦门市</x:v>
      </x:c>
      <x:c r="C37" s="22" t="n">
        <x:v>350213</x:v>
      </x:c>
      <x:c r="D37" s="22" t="str">
        <x:v>翔安区</x:v>
      </x:c>
      <x:c r="E37" s="22" t="str">
        <x:v>居住功能</x:v>
      </x:c>
      <x:c r="F37" s="33" t="n">
        <x:f>SUMIFS('标准化长表'!$N$2:$N$3075,'标准化长表'!$C$2:$C$3075,$C37,'标准化长表'!$J$2:$J$3075,$E37,'标准化长表'!$E$2:$E$3075,"建设用地")</x:f>
        <x:v>4184.673935999999</x:v>
      </x:c>
      <x:c r="G37" s="33" t="n">
        <x:f>SUMIFS('标准化长表'!$N$2:$N$3075,'标准化长表'!$C$2:$C$3075,$C37,'标准化长表'!$E$2:$E$3075,"建设用地")</x:f>
        <x:v>13016.955472</x:v>
      </x:c>
      <x:c r="H37" s="40" t="n">
        <x:f>IFERROR(F37/G37,0)</x:f>
        <x:v>0.3214787009912881</x:v>
      </x:c>
      <x:c r="I37" s="40" t="n">
        <x:f>IFERROR(SUMIFS('标准化长表'!$N$2:$N$3075,'标准化长表'!$J$2:$J$3075,$E37,'标准化长表'!$E$2:$E$3075,"建设用地")/SUMIFS('标准化长表'!$N$2:$N$3075,'标准化长表'!$E$2:$E$3075,"建设用地"),0)</x:f>
        <x:v>0.4520331968015951</x:v>
      </x:c>
      <x:c r="J37" s="50" t="n">
        <x:f>IFERROR(H37/I37,0)</x:f>
        <x:v>0.7111838317759447</x:v>
      </x:c>
    </x:row>
    <x:row r="38">
      <x:c r="A38" s="21" t="n">
        <x:v>350200</x:v>
      </x:c>
      <x:c r="B38" s="22" t="str">
        <x:v>厦门市</x:v>
      </x:c>
      <x:c r="C38" s="22" t="n">
        <x:v>350213</x:v>
      </x:c>
      <x:c r="D38" s="22" t="str">
        <x:v>翔安区</x:v>
      </x:c>
      <x:c r="E38" s="22" t="str">
        <x:v>产业功能</x:v>
      </x:c>
      <x:c r="F38" s="33" t="n">
        <x:f>SUMIFS('标准化长表'!$N$2:$N$3075,'标准化长表'!$C$2:$C$3075,$C38,'标准化长表'!$J$2:$J$3075,$E38,'标准化长表'!$E$2:$E$3075,"建设用地")</x:f>
        <x:v>2966.630071</x:v>
      </x:c>
      <x:c r="G38" s="33" t="n">
        <x:f>SUMIFS('标准化长表'!$N$2:$N$3075,'标准化长表'!$C$2:$C$3075,$C38,'标准化长表'!$E$2:$E$3075,"建设用地")</x:f>
        <x:v>13016.955472</x:v>
      </x:c>
      <x:c r="H38" s="40" t="n">
        <x:f>IFERROR(F38/G38,0)</x:f>
        <x:v>0.22790506408209985</x:v>
      </x:c>
      <x:c r="I38" s="40" t="n">
        <x:f>IFERROR(SUMIFS('标准化长表'!$N$2:$N$3075,'标准化长表'!$J$2:$J$3075,$E38,'标准化长表'!$E$2:$E$3075,"建设用地")/SUMIFS('标准化长表'!$N$2:$N$3075,'标准化长表'!$E$2:$E$3075,"建设用地"),0)</x:f>
        <x:v>0.2200846460431537</x:v>
      </x:c>
      <x:c r="J38" s="50" t="n">
        <x:f>IFERROR(H38/I38,0)</x:f>
        <x:v>1.0355336829694732</x:v>
      </x:c>
    </x:row>
    <x:row r="39">
      <x:c r="A39" s="21" t="n">
        <x:v>350200</x:v>
      </x:c>
      <x:c r="B39" s="22" t="str">
        <x:v>厦门市</x:v>
      </x:c>
      <x:c r="C39" s="22" t="n">
        <x:v>350213</x:v>
      </x:c>
      <x:c r="D39" s="22" t="str">
        <x:v>翔安区</x:v>
      </x:c>
      <x:c r="E39" s="22" t="str">
        <x:v>商业服务</x:v>
      </x:c>
      <x:c r="F39" s="33" t="n">
        <x:f>SUMIFS('标准化长表'!$N$2:$N$3075,'标准化长表'!$C$2:$C$3075,$C39,'标准化长表'!$J$2:$J$3075,$E39,'标准化长表'!$E$2:$E$3075,"建设用地")</x:f>
        <x:v>234.37165200000007</x:v>
      </x:c>
      <x:c r="G39" s="33" t="n">
        <x:f>SUMIFS('标准化长表'!$N$2:$N$3075,'标准化长表'!$C$2:$C$3075,$C39,'标准化长表'!$E$2:$E$3075,"建设用地")</x:f>
        <x:v>13016.955472</x:v>
      </x:c>
      <x:c r="H39" s="40" t="n">
        <x:f>IFERROR(F39/G39,0)</x:f>
        <x:v>0.018005105149521562</x:v>
      </x:c>
      <x:c r="I39" s="40" t="n">
        <x:f>IFERROR(SUMIFS('标准化长表'!$N$2:$N$3075,'标准化长表'!$J$2:$J$3075,$E39,'标准化长表'!$E$2:$E$3075,"建设用地")/SUMIFS('标准化长表'!$N$2:$N$3075,'标准化长表'!$E$2:$E$3075,"建设用地"),0)</x:f>
        <x:v>0.030597076519092263</x:v>
      </x:c>
      <x:c r="J39" s="50" t="n">
        <x:f>IFERROR(H39/I39,0)</x:f>
        <x:v>0.5884583495513553</x:v>
      </x:c>
    </x:row>
    <x:row r="40">
      <x:c r="A40" s="21" t="n">
        <x:v>350200</x:v>
      </x:c>
      <x:c r="B40" s="22" t="str">
        <x:v>厦门市</x:v>
      </x:c>
      <x:c r="C40" s="22" t="n">
        <x:v>350213</x:v>
      </x:c>
      <x:c r="D40" s="22" t="str">
        <x:v>翔安区</x:v>
      </x:c>
      <x:c r="E40" s="22" t="str">
        <x:v>公共服务</x:v>
      </x:c>
      <x:c r="F40" s="33" t="n">
        <x:f>SUMIFS('标准化长表'!$N$2:$N$3075,'标准化长表'!$C$2:$C$3075,$C40,'标准化长表'!$J$2:$J$3075,$E40,'标准化长表'!$E$2:$E$3075,"建设用地")</x:f>
        <x:v>745.4713749999999</x:v>
      </x:c>
      <x:c r="G40" s="33" t="n">
        <x:f>SUMIFS('标准化长表'!$N$2:$N$3075,'标准化长表'!$C$2:$C$3075,$C40,'标准化长表'!$E$2:$E$3075,"建设用地")</x:f>
        <x:v>13016.955472</x:v>
      </x:c>
      <x:c r="H40" s="40" t="n">
        <x:f>IFERROR(F40/G40,0)</x:f>
        <x:v>0.05726925751597899</x:v>
      </x:c>
      <x:c r="I40" s="40" t="n">
        <x:f>IFERROR(SUMIFS('标准化长表'!$N$2:$N$3075,'标准化长表'!$J$2:$J$3075,$E40,'标准化长表'!$E$2:$E$3075,"建设用地")/SUMIFS('标准化长表'!$N$2:$N$3075,'标准化长表'!$E$2:$E$3075,"建设用地"),0)</x:f>
        <x:v>0.042036176888757715</x:v>
      </x:c>
      <x:c r="J40" s="50" t="n">
        <x:f>IFERROR(H40/I40,0)</x:f>
        <x:v>1.3623802580223527</x:v>
      </x:c>
    </x:row>
    <x:row r="41">
      <x:c r="A41" s="21" t="n">
        <x:v>350200</x:v>
      </x:c>
      <x:c r="B41" s="22" t="str">
        <x:v>厦门市</x:v>
      </x:c>
      <x:c r="C41" s="22" t="n">
        <x:v>350213</x:v>
      </x:c>
      <x:c r="D41" s="22" t="str">
        <x:v>翔安区</x:v>
      </x:c>
      <x:c r="E41" s="22" t="str">
        <x:v>交通门户</x:v>
      </x:c>
      <x:c r="F41" s="33" t="n">
        <x:f>SUMIFS('标准化长表'!$N$2:$N$3075,'标准化长表'!$C$2:$C$3075,$C41,'标准化长表'!$J$2:$J$3075,$E41,'标准化长表'!$E$2:$E$3075,"建设用地")</x:f>
        <x:v>3742.0088020000026</x:v>
      </x:c>
      <x:c r="G41" s="33" t="n">
        <x:f>SUMIFS('标准化长表'!$N$2:$N$3075,'标准化长表'!$C$2:$C$3075,$C41,'标准化长表'!$E$2:$E$3075,"建设用地")</x:f>
        <x:v>13016.955472</x:v>
      </x:c>
      <x:c r="H41" s="40" t="n">
        <x:f>IFERROR(F41/G41,0)</x:f>
        <x:v>0.2874718908003654</x:v>
      </x:c>
      <x:c r="I41" s="40" t="n">
        <x:f>IFERROR(SUMIFS('标准化长表'!$N$2:$N$3075,'标准化长表'!$J$2:$J$3075,$E41,'标准化长表'!$E$2:$E$3075,"建设用地")/SUMIFS('标准化长表'!$N$2:$N$3075,'标准化长表'!$E$2:$E$3075,"建设用地"),0)</x:f>
        <x:v>0.1936476595437284</x:v>
      </x:c>
      <x:c r="J41" s="50" t="n">
        <x:f>IFERROR(H41/I41,0)</x:f>
        <x:v>1.4845100192674943</x:v>
      </x:c>
    </x:row>
    <x:row r="42">
      <x:c r="A42" s="21" t="n">
        <x:v>350200</x:v>
      </x:c>
      <x:c r="B42" s="22" t="str">
        <x:v>厦门市</x:v>
      </x:c>
      <x:c r="C42" s="22" t="n">
        <x:v>350213</x:v>
      </x:c>
      <x:c r="D42" s="22" t="str">
        <x:v>翔安区</x:v>
      </x:c>
      <x:c r="E42" s="22" t="str">
        <x:v>公共空间</x:v>
      </x:c>
      <x:c r="F42" s="33" t="n">
        <x:f>SUMIFS('标准化长表'!$N$2:$N$3075,'标准化长表'!$C$2:$C$3075,$C42,'标准化长表'!$J$2:$J$3075,$E42,'标准化长表'!$E$2:$E$3075,"建设用地")</x:f>
        <x:v>171.640045</x:v>
      </x:c>
      <x:c r="G42" s="33" t="n">
        <x:f>SUMIFS('标准化长表'!$N$2:$N$3075,'标准化长表'!$C$2:$C$3075,$C42,'标准化长表'!$E$2:$E$3075,"建设用地")</x:f>
        <x:v>13016.955472</x:v>
      </x:c>
      <x:c r="H42" s="40" t="n">
        <x:f>IFERROR(F42/G42,0)</x:f>
        <x:v>0.01318588247222668</x:v>
      </x:c>
      <x:c r="I42" s="40" t="n">
        <x:f>IFERROR(SUMIFS('标准化长表'!$N$2:$N$3075,'标准化长表'!$J$2:$J$3075,$E42,'标准化长表'!$E$2:$E$3075,"建设用地")/SUMIFS('标准化长表'!$N$2:$N$3075,'标准化长表'!$E$2:$E$3075,"建设用地"),0)</x:f>
        <x:v>0.013901166268963908</x:v>
      </x:c>
      <x:c r="J42" s="50" t="n">
        <x:f>IFERROR(H42/I42,0)</x:f>
        <x:v>0.9485450513361466</x:v>
      </x:c>
    </x:row>
    <x:row r="43">
      <x:c r="A43" s="21" t="n">
        <x:v>350200</x:v>
      </x:c>
      <x:c r="B43" s="22" t="str">
        <x:v>厦门市</x:v>
      </x:c>
      <x:c r="C43" s="22" t="n">
        <x:v>350213</x:v>
      </x:c>
      <x:c r="D43" s="22" t="str">
        <x:v>翔安区</x:v>
      </x:c>
      <x:c r="E43" s="22" t="str">
        <x:v>其他建设</x:v>
      </x:c>
      <x:c r="F43" s="33" t="n">
        <x:f>SUMIFS('标准化长表'!$N$2:$N$3075,'标准化长表'!$C$2:$C$3075,$C43,'标准化长表'!$J$2:$J$3075,$E43,'标准化长表'!$E$2:$E$3075,"建设用地")</x:f>
        <x:v>972.1595909999999</x:v>
      </x:c>
      <x:c r="G43" s="33" t="n">
        <x:f>SUMIFS('标准化长表'!$N$2:$N$3075,'标准化长表'!$C$2:$C$3075,$C43,'标准化长表'!$E$2:$E$3075,"建设用地")</x:f>
        <x:v>13016.955472</x:v>
      </x:c>
      <x:c r="H43" s="40" t="n">
        <x:f>IFERROR(F43/G43,0)</x:f>
        <x:v>0.0746840989885196</x:v>
      </x:c>
      <x:c r="I43" s="40" t="n">
        <x:f>IFERROR(SUMIFS('标准化长表'!$N$2:$N$3075,'标准化长表'!$J$2:$J$3075,$E43,'标准化长表'!$E$2:$E$3075,"建设用地")/SUMIFS('标准化长表'!$N$2:$N$3075,'标准化长表'!$E$2:$E$3075,"建设用地"),0)</x:f>
        <x:v>0.04770007793470843</x:v>
      </x:c>
      <x:c r="J43" s="50" t="n">
        <x:f>IFERROR(H43/I43,0)</x:f>
        <x:v>1.5657018231866777</x:v>
      </x:c>
    </x:row>
    <x:row r="44">
      <x:c r="A44" s="21" t="n">
        <x:v>350500</x:v>
      </x:c>
      <x:c r="B44" s="22" t="str">
        <x:v>泉州市</x:v>
      </x:c>
      <x:c r="C44" s="22" t="n">
        <x:v>350502</x:v>
      </x:c>
      <x:c r="D44" s="22" t="str">
        <x:v>鲤城区</x:v>
      </x:c>
      <x:c r="E44" s="22" t="str">
        <x:v>居住功能</x:v>
      </x:c>
      <x:c r="F44" s="33" t="n">
        <x:f>SUMIFS('标准化长表'!$N$2:$N$3075,'标准化长表'!$C$2:$C$3075,$C44,'标准化长表'!$J$2:$J$3075,$E44,'标准化长表'!$E$2:$E$3075,"建设用地")</x:f>
        <x:v>1468.7868380000004</x:v>
      </x:c>
      <x:c r="G44" s="33" t="n">
        <x:f>SUMIFS('标准化长表'!$N$2:$N$3075,'标准化长表'!$C$2:$C$3075,$C44,'标准化长表'!$E$2:$E$3075,"建设用地")</x:f>
        <x:v>3300.159895000002</x:v>
      </x:c>
      <x:c r="H44" s="40" t="n">
        <x:f>IFERROR(F44/G44,0)</x:f>
        <x:v>0.4450653558408871</x:v>
      </x:c>
      <x:c r="I44" s="40" t="n">
        <x:f>IFERROR(SUMIFS('标准化长表'!$N$2:$N$3075,'标准化长表'!$J$2:$J$3075,$E44,'标准化长表'!$E$2:$E$3075,"建设用地")/SUMIFS('标准化长表'!$N$2:$N$3075,'标准化长表'!$E$2:$E$3075,"建设用地"),0)</x:f>
        <x:v>0.4520331968015951</x:v>
      </x:c>
      <x:c r="J44" s="50" t="n">
        <x:f>IFERROR(H44/I44,0)</x:f>
        <x:v>0.9845855547556913</x:v>
      </x:c>
    </x:row>
    <x:row r="45">
      <x:c r="A45" s="21" t="n">
        <x:v>350500</x:v>
      </x:c>
      <x:c r="B45" s="22" t="str">
        <x:v>泉州市</x:v>
      </x:c>
      <x:c r="C45" s="22" t="n">
        <x:v>350502</x:v>
      </x:c>
      <x:c r="D45" s="22" t="str">
        <x:v>鲤城区</x:v>
      </x:c>
      <x:c r="E45" s="22" t="str">
        <x:v>产业功能</x:v>
      </x:c>
      <x:c r="F45" s="33" t="n">
        <x:f>SUMIFS('标准化长表'!$N$2:$N$3075,'标准化长表'!$C$2:$C$3075,$C45,'标准化长表'!$J$2:$J$3075,$E45,'标准化长表'!$E$2:$E$3075,"建设用地")</x:f>
        <x:v>539.199693</x:v>
      </x:c>
      <x:c r="G45" s="33" t="n">
        <x:f>SUMIFS('标准化长表'!$N$2:$N$3075,'标准化长表'!$C$2:$C$3075,$C45,'标准化长表'!$E$2:$E$3075,"建设用地")</x:f>
        <x:v>3300.159895000002</x:v>
      </x:c>
      <x:c r="H45" s="40" t="n">
        <x:f>IFERROR(F45/G45,0)</x:f>
        <x:v>0.1633859298202276</x:v>
      </x:c>
      <x:c r="I45" s="40" t="n">
        <x:f>IFERROR(SUMIFS('标准化长表'!$N$2:$N$3075,'标准化长表'!$J$2:$J$3075,$E45,'标准化长表'!$E$2:$E$3075,"建设用地")/SUMIFS('标准化长表'!$N$2:$N$3075,'标准化长表'!$E$2:$E$3075,"建设用地"),0)</x:f>
        <x:v>0.2200846460431537</x:v>
      </x:c>
      <x:c r="J45" s="50" t="n">
        <x:f>IFERROR(H45/I45,0)</x:f>
        <x:v>0.7423776840306763</x:v>
      </x:c>
    </x:row>
    <x:row r="46">
      <x:c r="A46" s="21" t="n">
        <x:v>350500</x:v>
      </x:c>
      <x:c r="B46" s="22" t="str">
        <x:v>泉州市</x:v>
      </x:c>
      <x:c r="C46" s="22" t="n">
        <x:v>350502</x:v>
      </x:c>
      <x:c r="D46" s="22" t="str">
        <x:v>鲤城区</x:v>
      </x:c>
      <x:c r="E46" s="22" t="str">
        <x:v>商业服务</x:v>
      </x:c>
      <x:c r="F46" s="33" t="n">
        <x:f>SUMIFS('标准化长表'!$N$2:$N$3075,'标准化长表'!$C$2:$C$3075,$C46,'标准化长表'!$J$2:$J$3075,$E46,'标准化长表'!$E$2:$E$3075,"建设用地")</x:f>
        <x:v>283.61002900000005</x:v>
      </x:c>
      <x:c r="G46" s="33" t="n">
        <x:f>SUMIFS('标准化长表'!$N$2:$N$3075,'标准化长表'!$C$2:$C$3075,$C46,'标准化长表'!$E$2:$E$3075,"建设用地")</x:f>
        <x:v>3300.159895000002</x:v>
      </x:c>
      <x:c r="H46" s="40" t="n">
        <x:f>IFERROR(F46/G46,0)</x:f>
        <x:v>0.085938269060748</x:v>
      </x:c>
      <x:c r="I46" s="40" t="n">
        <x:f>IFERROR(SUMIFS('标准化长表'!$N$2:$N$3075,'标准化长表'!$J$2:$J$3075,$E46,'标准化长表'!$E$2:$E$3075,"建设用地")/SUMIFS('标准化长表'!$N$2:$N$3075,'标准化长表'!$E$2:$E$3075,"建设用地"),0)</x:f>
        <x:v>0.030597076519092263</x:v>
      </x:c>
      <x:c r="J46" s="50" t="n">
        <x:f>IFERROR(H46/I46,0)</x:f>
        <x:v>2.8087085054391845</x:v>
      </x:c>
    </x:row>
    <x:row r="47">
      <x:c r="A47" s="21" t="n">
        <x:v>350500</x:v>
      </x:c>
      <x:c r="B47" s="22" t="str">
        <x:v>泉州市</x:v>
      </x:c>
      <x:c r="C47" s="22" t="n">
        <x:v>350502</x:v>
      </x:c>
      <x:c r="D47" s="22" t="str">
        <x:v>鲤城区</x:v>
      </x:c>
      <x:c r="E47" s="22" t="str">
        <x:v>公共服务</x:v>
      </x:c>
      <x:c r="F47" s="33" t="n">
        <x:f>SUMIFS('标准化长表'!$N$2:$N$3075,'标准化长表'!$C$2:$C$3075,$C47,'标准化长表'!$J$2:$J$3075,$E47,'标准化长表'!$E$2:$E$3075,"建设用地")</x:f>
        <x:v>195.18141599999993</x:v>
      </x:c>
      <x:c r="G47" s="33" t="n">
        <x:f>SUMIFS('标准化长表'!$N$2:$N$3075,'标准化长表'!$C$2:$C$3075,$C47,'标准化长表'!$E$2:$E$3075,"建设用地")</x:f>
        <x:v>3300.159895000002</x:v>
      </x:c>
      <x:c r="H47" s="40" t="n">
        <x:f>IFERROR(F47/G47,0)</x:f>
        <x:v>0.05914301797792128</x:v>
      </x:c>
      <x:c r="I47" s="40" t="n">
        <x:f>IFERROR(SUMIFS('标准化长表'!$N$2:$N$3075,'标准化长表'!$J$2:$J$3075,$E47,'标准化长表'!$E$2:$E$3075,"建设用地")/SUMIFS('标准化长表'!$N$2:$N$3075,'标准化长表'!$E$2:$E$3075,"建设用地"),0)</x:f>
        <x:v>0.042036176888757715</x:v>
      </x:c>
      <x:c r="J47" s="50" t="n">
        <x:f>IFERROR(H47/I47,0)</x:f>
        <x:v>1.4069552075212308</x:v>
      </x:c>
    </x:row>
    <x:row r="48">
      <x:c r="A48" s="21" t="n">
        <x:v>350500</x:v>
      </x:c>
      <x:c r="B48" s="22" t="str">
        <x:v>泉州市</x:v>
      </x:c>
      <x:c r="C48" s="22" t="n">
        <x:v>350502</x:v>
      </x:c>
      <x:c r="D48" s="22" t="str">
        <x:v>鲤城区</x:v>
      </x:c>
      <x:c r="E48" s="22" t="str">
        <x:v>交通门户</x:v>
      </x:c>
      <x:c r="F48" s="33" t="n">
        <x:f>SUMIFS('标准化长表'!$N$2:$N$3075,'标准化长表'!$C$2:$C$3075,$C48,'标准化长表'!$J$2:$J$3075,$E48,'标准化长表'!$E$2:$E$3075,"建设用地")</x:f>
        <x:v>543.45215</x:v>
      </x:c>
      <x:c r="G48" s="33" t="n">
        <x:f>SUMIFS('标准化长表'!$N$2:$N$3075,'标准化长表'!$C$2:$C$3075,$C48,'标准化长表'!$E$2:$E$3075,"建设用地")</x:f>
        <x:v>3300.159895000002</x:v>
      </x:c>
      <x:c r="H48" s="40" t="n">
        <x:f>IFERROR(F48/G48,0)</x:f>
        <x:v>0.16467449071888066</x:v>
      </x:c>
      <x:c r="I48" s="40" t="n">
        <x:f>IFERROR(SUMIFS('标准化长表'!$N$2:$N$3075,'标准化长表'!$J$2:$J$3075,$E48,'标准化长表'!$E$2:$E$3075,"建设用地")/SUMIFS('标准化长表'!$N$2:$N$3075,'标准化长表'!$E$2:$E$3075,"建设用地"),0)</x:f>
        <x:v>0.1936476595437284</x:v>
      </x:c>
      <x:c r="J48" s="50" t="n">
        <x:f>IFERROR(H48/I48,0)</x:f>
        <x:v>0.8503820346028753</x:v>
      </x:c>
    </x:row>
    <x:row r="49">
      <x:c r="A49" s="21" t="n">
        <x:v>350500</x:v>
      </x:c>
      <x:c r="B49" s="22" t="str">
        <x:v>泉州市</x:v>
      </x:c>
      <x:c r="C49" s="22" t="n">
        <x:v>350502</x:v>
      </x:c>
      <x:c r="D49" s="22" t="str">
        <x:v>鲤城区</x:v>
      </x:c>
      <x:c r="E49" s="22" t="str">
        <x:v>公共空间</x:v>
      </x:c>
      <x:c r="F49" s="33" t="n">
        <x:f>SUMIFS('标准化长表'!$N$2:$N$3075,'标准化长表'!$C$2:$C$3075,$C49,'标准化长表'!$J$2:$J$3075,$E49,'标准化长表'!$E$2:$E$3075,"建设用地")</x:f>
        <x:v>158.19656899999998</x:v>
      </x:c>
      <x:c r="G49" s="33" t="n">
        <x:f>SUMIFS('标准化长表'!$N$2:$N$3075,'标准化长表'!$C$2:$C$3075,$C49,'标准化长表'!$E$2:$E$3075,"建设用地")</x:f>
        <x:v>3300.159895000002</x:v>
      </x:c>
      <x:c r="H49" s="40" t="n">
        <x:f>IFERROR(F49/G49,0)</x:f>
        <x:v>0.04793603159643266</x:v>
      </x:c>
      <x:c r="I49" s="40" t="n">
        <x:f>IFERROR(SUMIFS('标准化长表'!$N$2:$N$3075,'标准化长表'!$J$2:$J$3075,$E49,'标准化长表'!$E$2:$E$3075,"建设用地")/SUMIFS('标准化长表'!$N$2:$N$3075,'标准化长表'!$E$2:$E$3075,"建设用地"),0)</x:f>
        <x:v>0.013901166268963908</x:v>
      </x:c>
      <x:c r="J49" s="50" t="n">
        <x:f>IFERROR(H49/I49,0)</x:f>
        <x:v>3.448346035789518</x:v>
      </x:c>
    </x:row>
    <x:row r="50">
      <x:c r="A50" s="21" t="n">
        <x:v>350500</x:v>
      </x:c>
      <x:c r="B50" s="22" t="str">
        <x:v>泉州市</x:v>
      </x:c>
      <x:c r="C50" s="22" t="n">
        <x:v>350502</x:v>
      </x:c>
      <x:c r="D50" s="22" t="str">
        <x:v>鲤城区</x:v>
      </x:c>
      <x:c r="E50" s="22" t="str">
        <x:v>其他建设</x:v>
      </x:c>
      <x:c r="F50" s="33" t="n">
        <x:f>SUMIFS('标准化长表'!$N$2:$N$3075,'标准化长表'!$C$2:$C$3075,$C50,'标准化长表'!$J$2:$J$3075,$E50,'标准化长表'!$E$2:$E$3075,"建设用地")</x:f>
        <x:v>111.73320000000004</x:v>
      </x:c>
      <x:c r="G50" s="33" t="n">
        <x:f>SUMIFS('标准化长表'!$N$2:$N$3075,'标准化长表'!$C$2:$C$3075,$C50,'标准化长表'!$E$2:$E$3075,"建设用地")</x:f>
        <x:v>3300.159895000002</x:v>
      </x:c>
      <x:c r="H50" s="40" t="n">
        <x:f>IFERROR(F50/G50,0)</x:f>
        <x:v>0.03385690498490224</x:v>
      </x:c>
      <x:c r="I50" s="40" t="n">
        <x:f>IFERROR(SUMIFS('标准化长表'!$N$2:$N$3075,'标准化长表'!$J$2:$J$3075,$E50,'标准化长表'!$E$2:$E$3075,"建设用地")/SUMIFS('标准化长表'!$N$2:$N$3075,'标准化长表'!$E$2:$E$3075,"建设用地"),0)</x:f>
        <x:v>0.04770007793470843</x:v>
      </x:c>
      <x:c r="J50" s="50" t="n">
        <x:f>IFERROR(H50/I50,0)</x:f>
        <x:v>0.7097872047765911</x:v>
      </x:c>
    </x:row>
    <x:row r="51">
      <x:c r="A51" s="21" t="n">
        <x:v>350500</x:v>
      </x:c>
      <x:c r="B51" s="22" t="str">
        <x:v>泉州市</x:v>
      </x:c>
      <x:c r="C51" s="22" t="n">
        <x:v>350503</x:v>
      </x:c>
      <x:c r="D51" s="22" t="str">
        <x:v>丰泽区</x:v>
      </x:c>
      <x:c r="E51" s="22" t="str">
        <x:v>居住功能</x:v>
      </x:c>
      <x:c r="F51" s="33" t="n">
        <x:f>SUMIFS('标准化长表'!$N$2:$N$3075,'标准化长表'!$C$2:$C$3075,$C51,'标准化长表'!$J$2:$J$3075,$E51,'标准化长表'!$E$2:$E$3075,"建设用地")</x:f>
        <x:v>2418.2088700000013</x:v>
      </x:c>
      <x:c r="G51" s="33" t="n">
        <x:f>SUMIFS('标准化长表'!$N$2:$N$3075,'标准化长表'!$C$2:$C$3075,$C51,'标准化长表'!$E$2:$E$3075,"建设用地")</x:f>
        <x:v>6302.304267000002</x:v>
      </x:c>
      <x:c r="H51" s="40" t="n">
        <x:f>IFERROR(F51/G51,0)</x:f>
        <x:v>0.3837023360903372</x:v>
      </x:c>
      <x:c r="I51" s="40" t="n">
        <x:f>IFERROR(SUMIFS('标准化长表'!$N$2:$N$3075,'标准化长表'!$J$2:$J$3075,$E51,'标准化长表'!$E$2:$E$3075,"建设用地")/SUMIFS('标准化长表'!$N$2:$N$3075,'标准化长表'!$E$2:$E$3075,"建设用地"),0)</x:f>
        <x:v>0.4520331968015951</x:v>
      </x:c>
      <x:c r="J51" s="50" t="n">
        <x:f>IFERROR(H51/I51,0)</x:f>
        <x:v>0.8488366314802994</x:v>
      </x:c>
    </x:row>
    <x:row r="52">
      <x:c r="A52" s="21" t="n">
        <x:v>350500</x:v>
      </x:c>
      <x:c r="B52" s="22" t="str">
        <x:v>泉州市</x:v>
      </x:c>
      <x:c r="C52" s="22" t="n">
        <x:v>350503</x:v>
      </x:c>
      <x:c r="D52" s="22" t="str">
        <x:v>丰泽区</x:v>
      </x:c>
      <x:c r="E52" s="22" t="str">
        <x:v>产业功能</x:v>
      </x:c>
      <x:c r="F52" s="33" t="n">
        <x:f>SUMIFS('标准化长表'!$N$2:$N$3075,'标准化长表'!$C$2:$C$3075,$C52,'标准化长表'!$J$2:$J$3075,$E52,'标准化长表'!$E$2:$E$3075,"建设用地")</x:f>
        <x:v>719.5645700000003</x:v>
      </x:c>
      <x:c r="G52" s="33" t="n">
        <x:f>SUMIFS('标准化长表'!$N$2:$N$3075,'标准化长表'!$C$2:$C$3075,$C52,'标准化长表'!$E$2:$E$3075,"建设用地")</x:f>
        <x:v>6302.304267000002</x:v>
      </x:c>
      <x:c r="H52" s="40" t="n">
        <x:f>IFERROR(F52/G52,0)</x:f>
        <x:v>0.11417483820445956</x:v>
      </x:c>
      <x:c r="I52" s="40" t="n">
        <x:f>IFERROR(SUMIFS('标准化长表'!$N$2:$N$3075,'标准化长表'!$J$2:$J$3075,$E52,'标准化长表'!$E$2:$E$3075,"建设用地")/SUMIFS('标准化长表'!$N$2:$N$3075,'标准化长表'!$E$2:$E$3075,"建设用地"),0)</x:f>
        <x:v>0.2200846460431537</x:v>
      </x:c>
      <x:c r="J52" s="50" t="n">
        <x:f>IFERROR(H52/I52,0)</x:f>
        <x:v>0.5187769354072633</x:v>
      </x:c>
    </x:row>
    <x:row r="53">
      <x:c r="A53" s="21" t="n">
        <x:v>350500</x:v>
      </x:c>
      <x:c r="B53" s="22" t="str">
        <x:v>泉州市</x:v>
      </x:c>
      <x:c r="C53" s="22" t="n">
        <x:v>350503</x:v>
      </x:c>
      <x:c r="D53" s="22" t="str">
        <x:v>丰泽区</x:v>
      </x:c>
      <x:c r="E53" s="22" t="str">
        <x:v>商业服务</x:v>
      </x:c>
      <x:c r="F53" s="33" t="n">
        <x:f>SUMIFS('标准化长表'!$N$2:$N$3075,'标准化长表'!$C$2:$C$3075,$C53,'标准化长表'!$J$2:$J$3075,$E53,'标准化长表'!$E$2:$E$3075,"建设用地")</x:f>
        <x:v>452.66944700000033</x:v>
      </x:c>
      <x:c r="G53" s="33" t="n">
        <x:f>SUMIFS('标准化长表'!$N$2:$N$3075,'标准化长表'!$C$2:$C$3075,$C53,'标准化长表'!$E$2:$E$3075,"建设用地")</x:f>
        <x:v>6302.304267000002</x:v>
      </x:c>
      <x:c r="H53" s="40" t="n">
        <x:f>IFERROR(F53/G53,0)</x:f>
        <x:v>0.07182602232809655</x:v>
      </x:c>
      <x:c r="I53" s="40" t="n">
        <x:f>IFERROR(SUMIFS('标准化长表'!$N$2:$N$3075,'标准化长表'!$J$2:$J$3075,$E53,'标准化长表'!$E$2:$E$3075,"建设用地")/SUMIFS('标准化长表'!$N$2:$N$3075,'标准化长表'!$E$2:$E$3075,"建设用地"),0)</x:f>
        <x:v>0.030597076519092263</x:v>
      </x:c>
      <x:c r="J53" s="50" t="n">
        <x:f>IFERROR(H53/I53,0)</x:f>
        <x:v>2.347479906561591</x:v>
      </x:c>
    </x:row>
    <x:row r="54">
      <x:c r="A54" s="21" t="n">
        <x:v>350500</x:v>
      </x:c>
      <x:c r="B54" s="22" t="str">
        <x:v>泉州市</x:v>
      </x:c>
      <x:c r="C54" s="22" t="n">
        <x:v>350503</x:v>
      </x:c>
      <x:c r="D54" s="22" t="str">
        <x:v>丰泽区</x:v>
      </x:c>
      <x:c r="E54" s="22" t="str">
        <x:v>公共服务</x:v>
      </x:c>
      <x:c r="F54" s="33" t="n">
        <x:f>SUMIFS('标准化长表'!$N$2:$N$3075,'标准化长表'!$C$2:$C$3075,$C54,'标准化长表'!$J$2:$J$3075,$E54,'标准化长表'!$E$2:$E$3075,"建设用地")</x:f>
        <x:v>722.2386859999999</x:v>
      </x:c>
      <x:c r="G54" s="33" t="n">
        <x:f>SUMIFS('标准化长表'!$N$2:$N$3075,'标准化长表'!$C$2:$C$3075,$C54,'标准化长表'!$E$2:$E$3075,"建设用地")</x:f>
        <x:v>6302.304267000002</x:v>
      </x:c>
      <x:c r="H54" s="40" t="n">
        <x:f>IFERROR(F54/G54,0)</x:f>
        <x:v>0.1145991458682456</x:v>
      </x:c>
      <x:c r="I54" s="40" t="n">
        <x:f>IFERROR(SUMIFS('标准化长表'!$N$2:$N$3075,'标准化长表'!$J$2:$J$3075,$E54,'标准化长表'!$E$2:$E$3075,"建设用地")/SUMIFS('标准化长表'!$N$2:$N$3075,'标准化长表'!$E$2:$E$3075,"建设用地"),0)</x:f>
        <x:v>0.042036176888757715</x:v>
      </x:c>
      <x:c r="J54" s="50" t="n">
        <x:f>IFERROR(H54/I54,0)</x:f>
        <x:v>2.726202865011122</x:v>
      </x:c>
    </x:row>
    <x:row r="55">
      <x:c r="A55" s="21" t="n">
        <x:v>350500</x:v>
      </x:c>
      <x:c r="B55" s="22" t="str">
        <x:v>泉州市</x:v>
      </x:c>
      <x:c r="C55" s="22" t="n">
        <x:v>350503</x:v>
      </x:c>
      <x:c r="D55" s="22" t="str">
        <x:v>丰泽区</x:v>
      </x:c>
      <x:c r="E55" s="22" t="str">
        <x:v>交通门户</x:v>
      </x:c>
      <x:c r="F55" s="33" t="n">
        <x:f>SUMIFS('标准化长表'!$N$2:$N$3075,'标准化长表'!$C$2:$C$3075,$C55,'标准化长表'!$J$2:$J$3075,$E55,'标准化长表'!$E$2:$E$3075,"建设用地")</x:f>
        <x:v>1319.8920740000005</x:v>
      </x:c>
      <x:c r="G55" s="33" t="n">
        <x:f>SUMIFS('标准化长表'!$N$2:$N$3075,'标准化长表'!$C$2:$C$3075,$C55,'标准化长表'!$E$2:$E$3075,"建设用地")</x:f>
        <x:v>6302.304267000002</x:v>
      </x:c>
      <x:c r="H55" s="40" t="n">
        <x:f>IFERROR(F55/G55,0)</x:f>
        <x:v>0.20943007796548202</x:v>
      </x:c>
      <x:c r="I55" s="40" t="n">
        <x:f>IFERROR(SUMIFS('标准化长表'!$N$2:$N$3075,'标准化长表'!$J$2:$J$3075,$E55,'标准化长表'!$E$2:$E$3075,"建设用地")/SUMIFS('标准化长表'!$N$2:$N$3075,'标准化长表'!$E$2:$E$3075,"建设用地"),0)</x:f>
        <x:v>0.1936476595437284</x:v>
      </x:c>
      <x:c r="J55" s="50" t="n">
        <x:f>IFERROR(H55/I55,0)</x:f>
        <x:v>1.0815006928508202</x:v>
      </x:c>
    </x:row>
    <x:row r="56">
      <x:c r="A56" s="21" t="n">
        <x:v>350500</x:v>
      </x:c>
      <x:c r="B56" s="22" t="str">
        <x:v>泉州市</x:v>
      </x:c>
      <x:c r="C56" s="22" t="n">
        <x:v>350503</x:v>
      </x:c>
      <x:c r="D56" s="22" t="str">
        <x:v>丰泽区</x:v>
      </x:c>
      <x:c r="E56" s="22" t="str">
        <x:v>公共空间</x:v>
      </x:c>
      <x:c r="F56" s="33" t="n">
        <x:f>SUMIFS('标准化长表'!$N$2:$N$3075,'标准化长表'!$C$2:$C$3075,$C56,'标准化长表'!$J$2:$J$3075,$E56,'标准化长表'!$E$2:$E$3075,"建设用地")</x:f>
        <x:v>380.70595099999974</x:v>
      </x:c>
      <x:c r="G56" s="33" t="n">
        <x:f>SUMIFS('标准化长表'!$N$2:$N$3075,'标准化长表'!$C$2:$C$3075,$C56,'标准化长表'!$E$2:$E$3075,"建设用地")</x:f>
        <x:v>6302.304267000002</x:v>
      </x:c>
      <x:c r="H56" s="40" t="n">
        <x:f>IFERROR(F56/G56,0)</x:f>
        <x:v>0.0604074216145743</x:v>
      </x:c>
      <x:c r="I56" s="40" t="n">
        <x:f>IFERROR(SUMIFS('标准化长表'!$N$2:$N$3075,'标准化长表'!$J$2:$J$3075,$E56,'标准化长表'!$E$2:$E$3075,"建设用地")/SUMIFS('标准化长表'!$N$2:$N$3075,'标准化长表'!$E$2:$E$3075,"建设用地"),0)</x:f>
        <x:v>0.013901166268963908</x:v>
      </x:c>
      <x:c r="J56" s="50" t="n">
        <x:f>IFERROR(H56/I56,0)</x:f>
        <x:v>4.345493064811506</x:v>
      </x:c>
    </x:row>
    <x:row r="57">
      <x:c r="A57" s="21" t="n">
        <x:v>350500</x:v>
      </x:c>
      <x:c r="B57" s="22" t="str">
        <x:v>泉州市</x:v>
      </x:c>
      <x:c r="C57" s="22" t="n">
        <x:v>350503</x:v>
      </x:c>
      <x:c r="D57" s="22" t="str">
        <x:v>丰泽区</x:v>
      </x:c>
      <x:c r="E57" s="22" t="str">
        <x:v>其他建设</x:v>
      </x:c>
      <x:c r="F57" s="33" t="n">
        <x:f>SUMIFS('标准化长表'!$N$2:$N$3075,'标准化长表'!$C$2:$C$3075,$C57,'标准化长表'!$J$2:$J$3075,$E57,'标准化长表'!$E$2:$E$3075,"建设用地")</x:f>
        <x:v>289.024669</x:v>
      </x:c>
      <x:c r="G57" s="33" t="n">
        <x:f>SUMIFS('标准化长表'!$N$2:$N$3075,'标准化长表'!$C$2:$C$3075,$C57,'标准化长表'!$E$2:$E$3075,"建设用地")</x:f>
        <x:v>6302.304267000002</x:v>
      </x:c>
      <x:c r="H57" s="40" t="n">
        <x:f>IFERROR(F57/G57,0)</x:f>
        <x:v>0.045860157928804726</x:v>
      </x:c>
      <x:c r="I57" s="40" t="n">
        <x:f>IFERROR(SUMIFS('标准化长表'!$N$2:$N$3075,'标准化长表'!$J$2:$J$3075,$E57,'标准化长表'!$E$2:$E$3075,"建设用地")/SUMIFS('标准化长表'!$N$2:$N$3075,'标准化长表'!$E$2:$E$3075,"建设用地"),0)</x:f>
        <x:v>0.04770007793470843</x:v>
      </x:c>
      <x:c r="J57" s="50" t="n">
        <x:f>IFERROR(H57/I57,0)</x:f>
        <x:v>0.9614273165670258</x:v>
      </x:c>
    </x:row>
    <x:row r="58">
      <x:c r="A58" s="21" t="n">
        <x:v>350500</x:v>
      </x:c>
      <x:c r="B58" s="22" t="str">
        <x:v>泉州市</x:v>
      </x:c>
      <x:c r="C58" s="22" t="n">
        <x:v>350504</x:v>
      </x:c>
      <x:c r="D58" s="22" t="str">
        <x:v>洛江区</x:v>
      </x:c>
      <x:c r="E58" s="22" t="str">
        <x:v>居住功能</x:v>
      </x:c>
      <x:c r="F58" s="33" t="n">
        <x:f>SUMIFS('标准化长表'!$N$2:$N$3075,'标准化长表'!$C$2:$C$3075,$C58,'标准化长表'!$J$2:$J$3075,$E58,'标准化长表'!$E$2:$E$3075,"建设用地")</x:f>
        <x:v>2523.1641500000005</x:v>
      </x:c>
      <x:c r="G58" s="33" t="n">
        <x:f>SUMIFS('标准化长表'!$N$2:$N$3075,'标准化长表'!$C$2:$C$3075,$C58,'标准化长表'!$E$2:$E$3075,"建设用地")</x:f>
        <x:v>5194.436958</x:v>
      </x:c>
      <x:c r="H58" s="40" t="n">
        <x:f>IFERROR(F58/G58,0)</x:f>
        <x:v>0.4857435310893613</x:v>
      </x:c>
      <x:c r="I58" s="40" t="n">
        <x:f>IFERROR(SUMIFS('标准化长表'!$N$2:$N$3075,'标准化长表'!$J$2:$J$3075,$E58,'标准化长表'!$E$2:$E$3075,"建设用地")/SUMIFS('标准化长表'!$N$2:$N$3075,'标准化长表'!$E$2:$E$3075,"建设用地"),0)</x:f>
        <x:v>0.4520331968015951</x:v>
      </x:c>
      <x:c r="J58" s="50" t="n">
        <x:f>IFERROR(H58/I58,0)</x:f>
        <x:v>1.0745749084940817</x:v>
      </x:c>
    </x:row>
    <x:row r="59">
      <x:c r="A59" s="21" t="n">
        <x:v>350500</x:v>
      </x:c>
      <x:c r="B59" s="22" t="str">
        <x:v>泉州市</x:v>
      </x:c>
      <x:c r="C59" s="22" t="n">
        <x:v>350504</x:v>
      </x:c>
      <x:c r="D59" s="22" t="str">
        <x:v>洛江区</x:v>
      </x:c>
      <x:c r="E59" s="22" t="str">
        <x:v>产业功能</x:v>
      </x:c>
      <x:c r="F59" s="33" t="n">
        <x:f>SUMIFS('标准化长表'!$N$2:$N$3075,'标准化长表'!$C$2:$C$3075,$C59,'标准化长表'!$J$2:$J$3075,$E59,'标准化长表'!$E$2:$E$3075,"建设用地")</x:f>
        <x:v>1025.219832</x:v>
      </x:c>
      <x:c r="G59" s="33" t="n">
        <x:f>SUMIFS('标准化长表'!$N$2:$N$3075,'标准化长表'!$C$2:$C$3075,$C59,'标准化长表'!$E$2:$E$3075,"建设用地")</x:f>
        <x:v>5194.436958</x:v>
      </x:c>
      <x:c r="H59" s="40" t="n">
        <x:f>IFERROR(F59/G59,0)</x:f>
        <x:v>0.1973688082634345</x:v>
      </x:c>
      <x:c r="I59" s="40" t="n">
        <x:f>IFERROR(SUMIFS('标准化长表'!$N$2:$N$3075,'标准化长表'!$J$2:$J$3075,$E59,'标准化长表'!$E$2:$E$3075,"建设用地")/SUMIFS('标准化长表'!$N$2:$N$3075,'标准化长表'!$E$2:$E$3075,"建设用地"),0)</x:f>
        <x:v>0.2200846460431537</x:v>
      </x:c>
      <x:c r="J59" s="50" t="n">
        <x:f>IFERROR(H59/I59,0)</x:f>
        <x:v>0.8967859040231951</x:v>
      </x:c>
    </x:row>
    <x:row r="60">
      <x:c r="A60" s="21" t="n">
        <x:v>350500</x:v>
      </x:c>
      <x:c r="B60" s="22" t="str">
        <x:v>泉州市</x:v>
      </x:c>
      <x:c r="C60" s="22" t="n">
        <x:v>350504</x:v>
      </x:c>
      <x:c r="D60" s="22" t="str">
        <x:v>洛江区</x:v>
      </x:c>
      <x:c r="E60" s="22" t="str">
        <x:v>商业服务</x:v>
      </x:c>
      <x:c r="F60" s="33" t="n">
        <x:f>SUMIFS('标准化长表'!$N$2:$N$3075,'标准化长表'!$C$2:$C$3075,$C60,'标准化长表'!$J$2:$J$3075,$E60,'标准化长表'!$E$2:$E$3075,"建设用地")</x:f>
        <x:v>110.785191</x:v>
      </x:c>
      <x:c r="G60" s="33" t="n">
        <x:f>SUMIFS('标准化长表'!$N$2:$N$3075,'标准化长表'!$C$2:$C$3075,$C60,'标准化长表'!$E$2:$E$3075,"建设用地")</x:f>
        <x:v>5194.436958</x:v>
      </x:c>
      <x:c r="H60" s="40" t="n">
        <x:f>IFERROR(F60/G60,0)</x:f>
        <x:v>0.021327661091233133</x:v>
      </x:c>
      <x:c r="I60" s="40" t="n">
        <x:f>IFERROR(SUMIFS('标准化长表'!$N$2:$N$3075,'标准化长表'!$J$2:$J$3075,$E60,'标准化长表'!$E$2:$E$3075,"建设用地")/SUMIFS('标准化长表'!$N$2:$N$3075,'标准化长表'!$E$2:$E$3075,"建设用地"),0)</x:f>
        <x:v>0.030597076519092263</x:v>
      </x:c>
      <x:c r="J60" s="50" t="n">
        <x:f>IFERROR(H60/I60,0)</x:f>
        <x:v>0.6970489836806758</x:v>
      </x:c>
    </x:row>
    <x:row r="61">
      <x:c r="A61" s="21" t="n">
        <x:v>350500</x:v>
      </x:c>
      <x:c r="B61" s="22" t="str">
        <x:v>泉州市</x:v>
      </x:c>
      <x:c r="C61" s="22" t="n">
        <x:v>350504</x:v>
      </x:c>
      <x:c r="D61" s="22" t="str">
        <x:v>洛江区</x:v>
      </x:c>
      <x:c r="E61" s="22" t="str">
        <x:v>公共服务</x:v>
      </x:c>
      <x:c r="F61" s="33" t="n">
        <x:f>SUMIFS('标准化长表'!$N$2:$N$3075,'标准化长表'!$C$2:$C$3075,$C61,'标准化长表'!$J$2:$J$3075,$E61,'标准化长表'!$E$2:$E$3075,"建设用地")</x:f>
        <x:v>363.633936</x:v>
      </x:c>
      <x:c r="G61" s="33" t="n">
        <x:f>SUMIFS('标准化长表'!$N$2:$N$3075,'标准化长表'!$C$2:$C$3075,$C61,'标准化长表'!$E$2:$E$3075,"建设用地")</x:f>
        <x:v>5194.436958</x:v>
      </x:c>
      <x:c r="H61" s="40" t="n">
        <x:f>IFERROR(F61/G61,0)</x:f>
        <x:v>0.07000449498957996</x:v>
      </x:c>
      <x:c r="I61" s="40" t="n">
        <x:f>IFERROR(SUMIFS('标准化长表'!$N$2:$N$3075,'标准化长表'!$J$2:$J$3075,$E61,'标准化长表'!$E$2:$E$3075,"建设用地")/SUMIFS('标准化长表'!$N$2:$N$3075,'标准化长表'!$E$2:$E$3075,"建设用地"),0)</x:f>
        <x:v>0.042036176888757715</x:v>
      </x:c>
      <x:c r="J61" s="50" t="n">
        <x:f>IFERROR(H61/I61,0)</x:f>
        <x:v>1.6653392427869</x:v>
      </x:c>
    </x:row>
    <x:row r="62">
      <x:c r="A62" s="21" t="n">
        <x:v>350500</x:v>
      </x:c>
      <x:c r="B62" s="22" t="str">
        <x:v>泉州市</x:v>
      </x:c>
      <x:c r="C62" s="22" t="n">
        <x:v>350504</x:v>
      </x:c>
      <x:c r="D62" s="22" t="str">
        <x:v>洛江区</x:v>
      </x:c>
      <x:c r="E62" s="22" t="str">
        <x:v>交通门户</x:v>
      </x:c>
      <x:c r="F62" s="33" t="n">
        <x:f>SUMIFS('标准化长表'!$N$2:$N$3075,'标准化长表'!$C$2:$C$3075,$C62,'标准化长表'!$J$2:$J$3075,$E62,'标准化长表'!$E$2:$E$3075,"建设用地")</x:f>
        <x:v>906.9879760000003</x:v>
      </x:c>
      <x:c r="G62" s="33" t="n">
        <x:f>SUMIFS('标准化长表'!$N$2:$N$3075,'标准化长表'!$C$2:$C$3075,$C62,'标准化长表'!$E$2:$E$3075,"建设用地")</x:f>
        <x:v>5194.436958</x:v>
      </x:c>
      <x:c r="H62" s="40" t="n">
        <x:f>IFERROR(F62/G62,0)</x:f>
        <x:v>0.17460756253921608</x:v>
      </x:c>
      <x:c r="I62" s="40" t="n">
        <x:f>IFERROR(SUMIFS('标准化长表'!$N$2:$N$3075,'标准化长表'!$J$2:$J$3075,$E62,'标准化长表'!$E$2:$E$3075,"建设用地")/SUMIFS('标准化长表'!$N$2:$N$3075,'标准化长表'!$E$2:$E$3075,"建设用地"),0)</x:f>
        <x:v>0.1936476595437284</x:v>
      </x:c>
      <x:c r="J62" s="50" t="n">
        <x:f>IFERROR(H62/I62,0)</x:f>
        <x:v>0.9016765963018892</x:v>
      </x:c>
    </x:row>
    <x:row r="63">
      <x:c r="A63" s="21" t="n">
        <x:v>350500</x:v>
      </x:c>
      <x:c r="B63" s="22" t="str">
        <x:v>泉州市</x:v>
      </x:c>
      <x:c r="C63" s="22" t="n">
        <x:v>350504</x:v>
      </x:c>
      <x:c r="D63" s="22" t="str">
        <x:v>洛江区</x:v>
      </x:c>
      <x:c r="E63" s="22" t="str">
        <x:v>公共空间</x:v>
      </x:c>
      <x:c r="F63" s="33" t="n">
        <x:f>SUMIFS('标准化长表'!$N$2:$N$3075,'标准化长表'!$C$2:$C$3075,$C63,'标准化长表'!$J$2:$J$3075,$E63,'标准化长表'!$E$2:$E$3075,"建设用地")</x:f>
        <x:v>24.226758</x:v>
      </x:c>
      <x:c r="G63" s="33" t="n">
        <x:f>SUMIFS('标准化长表'!$N$2:$N$3075,'标准化长表'!$C$2:$C$3075,$C63,'标准化长表'!$E$2:$E$3075,"建设用地")</x:f>
        <x:v>5194.436958</x:v>
      </x:c>
      <x:c r="H63" s="40" t="n">
        <x:f>IFERROR(F63/G63,0)</x:f>
        <x:v>0.004663981524058762</x:v>
      </x:c>
      <x:c r="I63" s="40" t="n">
        <x:f>IFERROR(SUMIFS('标准化长表'!$N$2:$N$3075,'标准化长表'!$J$2:$J$3075,$E63,'标准化长表'!$E$2:$E$3075,"建设用地")/SUMIFS('标准化长表'!$N$2:$N$3075,'标准化长表'!$E$2:$E$3075,"建设用地"),0)</x:f>
        <x:v>0.013901166268963908</x:v>
      </x:c>
      <x:c r="J63" s="50" t="n">
        <x:f>IFERROR(H63/I63,0)</x:f>
        <x:v>0.3355100884212632</x:v>
      </x:c>
    </x:row>
    <x:row r="64">
      <x:c r="A64" s="21" t="n">
        <x:v>350500</x:v>
      </x:c>
      <x:c r="B64" s="22" t="str">
        <x:v>泉州市</x:v>
      </x:c>
      <x:c r="C64" s="22" t="n">
        <x:v>350504</x:v>
      </x:c>
      <x:c r="D64" s="22" t="str">
        <x:v>洛江区</x:v>
      </x:c>
      <x:c r="E64" s="22" t="str">
        <x:v>其他建设</x:v>
      </x:c>
      <x:c r="F64" s="33" t="n">
        <x:f>SUMIFS('标准化长表'!$N$2:$N$3075,'标准化长表'!$C$2:$C$3075,$C64,'标准化长表'!$J$2:$J$3075,$E64,'标准化长表'!$E$2:$E$3075,"建设用地")</x:f>
        <x:v>240.41911500000003</x:v>
      </x:c>
      <x:c r="G64" s="33" t="n">
        <x:f>SUMIFS('标准化长表'!$N$2:$N$3075,'标准化长表'!$C$2:$C$3075,$C64,'标准化长表'!$E$2:$E$3075,"建设用地")</x:f>
        <x:v>5194.436958</x:v>
      </x:c>
      <x:c r="H64" s="40" t="n">
        <x:f>IFERROR(F64/G64,0)</x:f>
        <x:v>0.04628396050311639</x:v>
      </x:c>
      <x:c r="I64" s="40" t="n">
        <x:f>IFERROR(SUMIFS('标准化长表'!$N$2:$N$3075,'标准化长表'!$J$2:$J$3075,$E64,'标准化长表'!$E$2:$E$3075,"建设用地")/SUMIFS('标准化长表'!$N$2:$N$3075,'标准化长表'!$E$2:$E$3075,"建设用地"),0)</x:f>
        <x:v>0.04770007793470843</x:v>
      </x:c>
      <x:c r="J64" s="50" t="n">
        <x:f>IFERROR(H64/I64,0)</x:f>
        <x:v>0.9703120520362585</x:v>
      </x:c>
    </x:row>
    <x:row r="65">
      <x:c r="A65" s="21" t="n">
        <x:v>350500</x:v>
      </x:c>
      <x:c r="B65" s="22" t="str">
        <x:v>泉州市</x:v>
      </x:c>
      <x:c r="C65" s="22" t="n">
        <x:v>350505</x:v>
      </x:c>
      <x:c r="D65" s="22" t="str">
        <x:v>泉港区</x:v>
      </x:c>
      <x:c r="E65" s="22" t="str">
        <x:v>居住功能</x:v>
      </x:c>
      <x:c r="F65" s="33" t="n">
        <x:f>SUMIFS('标准化长表'!$N$2:$N$3075,'标准化长表'!$C$2:$C$3075,$C65,'标准化长表'!$J$2:$J$3075,$E65,'标准化长表'!$E$2:$E$3075,"建设用地")</x:f>
        <x:v>4535.923543999994</x:v>
      </x:c>
      <x:c r="G65" s="33" t="n">
        <x:f>SUMIFS('标准化长表'!$N$2:$N$3075,'标准化长表'!$C$2:$C$3075,$C65,'标准化长表'!$E$2:$E$3075,"建设用地")</x:f>
        <x:v>9513.566599999995</x:v>
      </x:c>
      <x:c r="H65" s="40" t="n">
        <x:f>IFERROR(F65/G65,0)</x:f>
        <x:v>0.4767847574641456</x:v>
      </x:c>
      <x:c r="I65" s="40" t="n">
        <x:f>IFERROR(SUMIFS('标准化长表'!$N$2:$N$3075,'标准化长表'!$J$2:$J$3075,$E65,'标准化长表'!$E$2:$E$3075,"建设用地")/SUMIFS('标准化长表'!$N$2:$N$3075,'标准化长表'!$E$2:$E$3075,"建设用地"),0)</x:f>
        <x:v>0.4520331968015951</x:v>
      </x:c>
      <x:c r="J65" s="50" t="n">
        <x:f>IFERROR(H65/I65,0)</x:f>
        <x:v>1.0547560684429431</x:v>
      </x:c>
    </x:row>
    <x:row r="66">
      <x:c r="A66" s="21" t="n">
        <x:v>350500</x:v>
      </x:c>
      <x:c r="B66" s="22" t="str">
        <x:v>泉州市</x:v>
      </x:c>
      <x:c r="C66" s="22" t="n">
        <x:v>350505</x:v>
      </x:c>
      <x:c r="D66" s="22" t="str">
        <x:v>泉港区</x:v>
      </x:c>
      <x:c r="E66" s="22" t="str">
        <x:v>产业功能</x:v>
      </x:c>
      <x:c r="F66" s="33" t="n">
        <x:f>SUMIFS('标准化长表'!$N$2:$N$3075,'标准化长表'!$C$2:$C$3075,$C66,'标准化长表'!$J$2:$J$3075,$E66,'标准化长表'!$E$2:$E$3075,"建设用地")</x:f>
        <x:v>2618.7395749999996</x:v>
      </x:c>
      <x:c r="G66" s="33" t="n">
        <x:f>SUMIFS('标准化长表'!$N$2:$N$3075,'标准化长表'!$C$2:$C$3075,$C66,'标准化长表'!$E$2:$E$3075,"建设用地")</x:f>
        <x:v>9513.566599999995</x:v>
      </x:c>
      <x:c r="H66" s="40" t="n">
        <x:f>IFERROR(F66/G66,0)</x:f>
        <x:v>0.2752637034148687</x:v>
      </x:c>
      <x:c r="I66" s="40" t="n">
        <x:f>IFERROR(SUMIFS('标准化长表'!$N$2:$N$3075,'标准化长表'!$J$2:$J$3075,$E66,'标准化长表'!$E$2:$E$3075,"建设用地")/SUMIFS('标准化长表'!$N$2:$N$3075,'标准化长表'!$E$2:$E$3075,"建设用地"),0)</x:f>
        <x:v>0.2200846460431537</x:v>
      </x:c>
      <x:c r="J66" s="50" t="n">
        <x:f>IFERROR(H66/I66,0)</x:f>
        <x:v>1.2507174324232306</x:v>
      </x:c>
    </x:row>
    <x:row r="67">
      <x:c r="A67" s="21" t="n">
        <x:v>350500</x:v>
      </x:c>
      <x:c r="B67" s="22" t="str">
        <x:v>泉州市</x:v>
      </x:c>
      <x:c r="C67" s="22" t="n">
        <x:v>350505</x:v>
      </x:c>
      <x:c r="D67" s="22" t="str">
        <x:v>泉港区</x:v>
      </x:c>
      <x:c r="E67" s="22" t="str">
        <x:v>商业服务</x:v>
      </x:c>
      <x:c r="F67" s="33" t="n">
        <x:f>SUMIFS('标准化长表'!$N$2:$N$3075,'标准化长表'!$C$2:$C$3075,$C67,'标准化长表'!$J$2:$J$3075,$E67,'标准化长表'!$E$2:$E$3075,"建设用地")</x:f>
        <x:v>142.766788</x:v>
      </x:c>
      <x:c r="G67" s="33" t="n">
        <x:f>SUMIFS('标准化长表'!$N$2:$N$3075,'标准化长表'!$C$2:$C$3075,$C67,'标准化长表'!$E$2:$E$3075,"建设用地")</x:f>
        <x:v>9513.566599999995</x:v>
      </x:c>
      <x:c r="H67" s="40" t="n">
        <x:f>IFERROR(F67/G67,0)</x:f>
        <x:v>0.015006652499810121</x:v>
      </x:c>
      <x:c r="I67" s="40" t="n">
        <x:f>IFERROR(SUMIFS('标准化长表'!$N$2:$N$3075,'标准化长表'!$J$2:$J$3075,$E67,'标准化长表'!$E$2:$E$3075,"建设用地")/SUMIFS('标准化长表'!$N$2:$N$3075,'标准化长表'!$E$2:$E$3075,"建设用地"),0)</x:f>
        <x:v>0.030597076519092263</x:v>
      </x:c>
      <x:c r="J67" s="50" t="n">
        <x:f>IFERROR(H67/I67,0)</x:f>
        <x:v>0.4904603382759828</x:v>
      </x:c>
    </x:row>
    <x:row r="68">
      <x:c r="A68" s="21" t="n">
        <x:v>350500</x:v>
      </x:c>
      <x:c r="B68" s="22" t="str">
        <x:v>泉州市</x:v>
      </x:c>
      <x:c r="C68" s="22" t="n">
        <x:v>350505</x:v>
      </x:c>
      <x:c r="D68" s="22" t="str">
        <x:v>泉港区</x:v>
      </x:c>
      <x:c r="E68" s="22" t="str">
        <x:v>公共服务</x:v>
      </x:c>
      <x:c r="F68" s="33" t="n">
        <x:f>SUMIFS('标准化长表'!$N$2:$N$3075,'标准化长表'!$C$2:$C$3075,$C68,'标准化长表'!$J$2:$J$3075,$E68,'标准化长表'!$E$2:$E$3075,"建设用地")</x:f>
        <x:v>320.399976</x:v>
      </x:c>
      <x:c r="G68" s="33" t="n">
        <x:f>SUMIFS('标准化长表'!$N$2:$N$3075,'标准化长表'!$C$2:$C$3075,$C68,'标准化长表'!$E$2:$E$3075,"建设用地")</x:f>
        <x:v>9513.566599999995</x:v>
      </x:c>
      <x:c r="H68" s="40" t="n">
        <x:f>IFERROR(F68/G68,0)</x:f>
        <x:v>0.03367821863989475</x:v>
      </x:c>
      <x:c r="I68" s="40" t="n">
        <x:f>IFERROR(SUMIFS('标准化长表'!$N$2:$N$3075,'标准化长表'!$J$2:$J$3075,$E68,'标准化长表'!$E$2:$E$3075,"建设用地")/SUMIFS('标准化长表'!$N$2:$N$3075,'标准化长表'!$E$2:$E$3075,"建设用地"),0)</x:f>
        <x:v>0.042036176888757715</x:v>
      </x:c>
      <x:c r="J68" s="50" t="n">
        <x:f>IFERROR(H68/I68,0)</x:f>
        <x:v>0.8011722552462129</x:v>
      </x:c>
    </x:row>
    <x:row r="69">
      <x:c r="A69" s="21" t="n">
        <x:v>350500</x:v>
      </x:c>
      <x:c r="B69" s="22" t="str">
        <x:v>泉州市</x:v>
      </x:c>
      <x:c r="C69" s="22" t="n">
        <x:v>350505</x:v>
      </x:c>
      <x:c r="D69" s="22" t="str">
        <x:v>泉港区</x:v>
      </x:c>
      <x:c r="E69" s="22" t="str">
        <x:v>交通门户</x:v>
      </x:c>
      <x:c r="F69" s="33" t="n">
        <x:f>SUMIFS('标准化长表'!$N$2:$N$3075,'标准化长表'!$C$2:$C$3075,$C69,'标准化长表'!$J$2:$J$3075,$E69,'标准化长表'!$E$2:$E$3075,"建设用地")</x:f>
        <x:v>1171.8179799999994</x:v>
      </x:c>
      <x:c r="G69" s="33" t="n">
        <x:f>SUMIFS('标准化长表'!$N$2:$N$3075,'标准化长表'!$C$2:$C$3075,$C69,'标准化长表'!$E$2:$E$3075,"建设用地")</x:f>
        <x:v>9513.566599999995</x:v>
      </x:c>
      <x:c r="H69" s="40" t="n">
        <x:f>IFERROR(F69/G69,0)</x:f>
        <x:v>0.12317336171273557</x:v>
      </x:c>
      <x:c r="I69" s="40" t="n">
        <x:f>IFERROR(SUMIFS('标准化长表'!$N$2:$N$3075,'标准化长表'!$J$2:$J$3075,$E69,'标准化长表'!$E$2:$E$3075,"建设用地")/SUMIFS('标准化长表'!$N$2:$N$3075,'标准化长表'!$E$2:$E$3075,"建设用地"),0)</x:f>
        <x:v>0.1936476595437284</x:v>
      </x:c>
      <x:c r="J69" s="50" t="n">
        <x:f>IFERROR(H69/I69,0)</x:f>
        <x:v>0.6360694572965974</x:v>
      </x:c>
    </x:row>
    <x:row r="70">
      <x:c r="A70" s="21" t="n">
        <x:v>350500</x:v>
      </x:c>
      <x:c r="B70" s="22" t="str">
        <x:v>泉州市</x:v>
      </x:c>
      <x:c r="C70" s="22" t="n">
        <x:v>350505</x:v>
      </x:c>
      <x:c r="D70" s="22" t="str">
        <x:v>泉港区</x:v>
      </x:c>
      <x:c r="E70" s="22" t="str">
        <x:v>公共空间</x:v>
      </x:c>
      <x:c r="F70" s="33" t="n">
        <x:f>SUMIFS('标准化长表'!$N$2:$N$3075,'标准化长表'!$C$2:$C$3075,$C70,'标准化长表'!$J$2:$J$3075,$E70,'标准化长表'!$E$2:$E$3075,"建设用地")</x:f>
        <x:v>72.58052599999999</x:v>
      </x:c>
      <x:c r="G70" s="33" t="n">
        <x:f>SUMIFS('标准化长表'!$N$2:$N$3075,'标准化长表'!$C$2:$C$3075,$C70,'标准化长表'!$E$2:$E$3075,"建设用地")</x:f>
        <x:v>9513.566599999995</x:v>
      </x:c>
      <x:c r="H70" s="40" t="n">
        <x:f>IFERROR(F70/G70,0)</x:f>
        <x:v>0.007629160445463222</x:v>
      </x:c>
      <x:c r="I70" s="40" t="n">
        <x:f>IFERROR(SUMIFS('标准化长表'!$N$2:$N$3075,'标准化长表'!$J$2:$J$3075,$E70,'标准化长表'!$E$2:$E$3075,"建设用地")/SUMIFS('标准化长表'!$N$2:$N$3075,'标准化长表'!$E$2:$E$3075,"建设用地"),0)</x:f>
        <x:v>0.013901166268963908</x:v>
      </x:c>
      <x:c r="J70" s="50" t="n">
        <x:f>IFERROR(H70/I70,0)</x:f>
        <x:v>0.5488144158448257</x:v>
      </x:c>
    </x:row>
    <x:row r="71">
      <x:c r="A71" s="21" t="n">
        <x:v>350500</x:v>
      </x:c>
      <x:c r="B71" s="22" t="str">
        <x:v>泉州市</x:v>
      </x:c>
      <x:c r="C71" s="22" t="n">
        <x:v>350505</x:v>
      </x:c>
      <x:c r="D71" s="22" t="str">
        <x:v>泉港区</x:v>
      </x:c>
      <x:c r="E71" s="22" t="str">
        <x:v>其他建设</x:v>
      </x:c>
      <x:c r="F71" s="33" t="n">
        <x:f>SUMIFS('标准化长表'!$N$2:$N$3075,'标准化长表'!$C$2:$C$3075,$C71,'标准化长表'!$J$2:$J$3075,$E71,'标准化长表'!$E$2:$E$3075,"建设用地")</x:f>
        <x:v>651.3382110000002</x:v>
      </x:c>
      <x:c r="G71" s="33" t="n">
        <x:f>SUMIFS('标准化长表'!$N$2:$N$3075,'标准化长表'!$C$2:$C$3075,$C71,'标准化长表'!$E$2:$E$3075,"建设用地")</x:f>
        <x:v>9513.566599999995</x:v>
      </x:c>
      <x:c r="H71" s="40" t="n">
        <x:f>IFERROR(F71/G71,0)</x:f>
        <x:v>0.0684641458230818</x:v>
      </x:c>
      <x:c r="I71" s="40" t="n">
        <x:f>IFERROR(SUMIFS('标准化长表'!$N$2:$N$3075,'标准化长表'!$J$2:$J$3075,$E71,'标准化长表'!$E$2:$E$3075,"建设用地")/SUMIFS('标准化长表'!$N$2:$N$3075,'标准化长表'!$E$2:$E$3075,"建设用地"),0)</x:f>
        <x:v>0.04770007793470843</x:v>
      </x:c>
      <x:c r="J71" s="50" t="n">
        <x:f>IFERROR(H71/I71,0)</x:f>
        <x:v>1.4353046952416955</x:v>
      </x:c>
    </x:row>
    <x:row r="72">
      <x:c r="A72" s="21" t="n">
        <x:v>350500</x:v>
      </x:c>
      <x:c r="B72" s="22" t="str">
        <x:v>泉州市</x:v>
      </x:c>
      <x:c r="C72" s="22" t="n">
        <x:v>350521</x:v>
      </x:c>
      <x:c r="D72" s="22" t="str">
        <x:v>惠安县</x:v>
      </x:c>
      <x:c r="E72" s="22" t="str">
        <x:v>居住功能</x:v>
      </x:c>
      <x:c r="F72" s="33" t="n">
        <x:f>SUMIFS('标准化长表'!$N$2:$N$3075,'标准化长表'!$C$2:$C$3075,$C72,'标准化长表'!$J$2:$J$3075,$E72,'标准化长表'!$E$2:$E$3075,"建设用地")</x:f>
        <x:v>12204.65850000002</x:v>
      </x:c>
      <x:c r="G72" s="33" t="n">
        <x:f>SUMIFS('标准化长表'!$N$2:$N$3075,'标准化长表'!$C$2:$C$3075,$C72,'标准化长表'!$E$2:$E$3075,"建设用地")</x:f>
        <x:v>23691.851318000015</x:v>
      </x:c>
      <x:c r="H72" s="40" t="n">
        <x:f>IFERROR(F72/G72,0)</x:f>
        <x:v>0.5151416128771441</x:v>
      </x:c>
      <x:c r="I72" s="40" t="n">
        <x:f>IFERROR(SUMIFS('标准化长表'!$N$2:$N$3075,'标准化长表'!$J$2:$J$3075,$E72,'标准化长表'!$E$2:$E$3075,"建设用地")/SUMIFS('标准化长表'!$N$2:$N$3075,'标准化长表'!$E$2:$E$3075,"建设用地"),0)</x:f>
        <x:v>0.4520331968015951</x:v>
      </x:c>
      <x:c r="J72" s="50" t="n">
        <x:f>IFERROR(H72/I72,0)</x:f>
        <x:v>1.139610135985761</x:v>
      </x:c>
    </x:row>
    <x:row r="73">
      <x:c r="A73" s="21" t="n">
        <x:v>350500</x:v>
      </x:c>
      <x:c r="B73" s="22" t="str">
        <x:v>泉州市</x:v>
      </x:c>
      <x:c r="C73" s="22" t="n">
        <x:v>350521</x:v>
      </x:c>
      <x:c r="D73" s="22" t="str">
        <x:v>惠安县</x:v>
      </x:c>
      <x:c r="E73" s="22" t="str">
        <x:v>产业功能</x:v>
      </x:c>
      <x:c r="F73" s="33" t="n">
        <x:f>SUMIFS('标准化长表'!$N$2:$N$3075,'标准化长表'!$C$2:$C$3075,$C73,'标准化长表'!$J$2:$J$3075,$E73,'标准化长表'!$E$2:$E$3075,"建设用地")</x:f>
        <x:v>5121.587438999999</x:v>
      </x:c>
      <x:c r="G73" s="33" t="n">
        <x:f>SUMIFS('标准化长表'!$N$2:$N$3075,'标准化长表'!$C$2:$C$3075,$C73,'标准化长表'!$E$2:$E$3075,"建设用地")</x:f>
        <x:v>23691.851318000015</x:v>
      </x:c>
      <x:c r="H73" s="40" t="n">
        <x:f>IFERROR(F73/G73,0)</x:f>
        <x:v>0.21617506248272142</x:v>
      </x:c>
      <x:c r="I73" s="40" t="n">
        <x:f>IFERROR(SUMIFS('标准化长表'!$N$2:$N$3075,'标准化长表'!$J$2:$J$3075,$E73,'标准化长表'!$E$2:$E$3075,"建设用地")/SUMIFS('标准化长表'!$N$2:$N$3075,'标准化长表'!$E$2:$E$3075,"建设用地"),0)</x:f>
        <x:v>0.2200846460431537</x:v>
      </x:c>
      <x:c r="J73" s="50" t="n">
        <x:f>IFERROR(H73/I73,0)</x:f>
        <x:v>0.9822360004174681</x:v>
      </x:c>
    </x:row>
    <x:row r="74">
      <x:c r="A74" s="21" t="n">
        <x:v>350500</x:v>
      </x:c>
      <x:c r="B74" s="22" t="str">
        <x:v>泉州市</x:v>
      </x:c>
      <x:c r="C74" s="22" t="n">
        <x:v>350521</x:v>
      </x:c>
      <x:c r="D74" s="22" t="str">
        <x:v>惠安县</x:v>
      </x:c>
      <x:c r="E74" s="22" t="str">
        <x:v>商业服务</x:v>
      </x:c>
      <x:c r="F74" s="33" t="n">
        <x:f>SUMIFS('标准化长表'!$N$2:$N$3075,'标准化长表'!$C$2:$C$3075,$C74,'标准化长表'!$J$2:$J$3075,$E74,'标准化长表'!$E$2:$E$3075,"建设用地")</x:f>
        <x:v>360.64683000000014</x:v>
      </x:c>
      <x:c r="G74" s="33" t="n">
        <x:f>SUMIFS('标准化长表'!$N$2:$N$3075,'标准化长表'!$C$2:$C$3075,$C74,'标准化长表'!$E$2:$E$3075,"建设用地")</x:f>
        <x:v>23691.851318000015</x:v>
      </x:c>
      <x:c r="H74" s="40" t="n">
        <x:f>IFERROR(F74/G74,0)</x:f>
        <x:v>0.01522239968330363</x:v>
      </x:c>
      <x:c r="I74" s="40" t="n">
        <x:f>IFERROR(SUMIFS('标准化长表'!$N$2:$N$3075,'标准化长表'!$J$2:$J$3075,$E74,'标准化长表'!$E$2:$E$3075,"建设用地")/SUMIFS('标准化长表'!$N$2:$N$3075,'标准化长表'!$E$2:$E$3075,"建设用地"),0)</x:f>
        <x:v>0.030597076519092263</x:v>
      </x:c>
      <x:c r="J74" s="50" t="n">
        <x:f>IFERROR(H74/I74,0)</x:f>
        <x:v>0.497511573493141</x:v>
      </x:c>
    </x:row>
    <x:row r="75">
      <x:c r="A75" s="21" t="n">
        <x:v>350500</x:v>
      </x:c>
      <x:c r="B75" s="22" t="str">
        <x:v>泉州市</x:v>
      </x:c>
      <x:c r="C75" s="22" t="n">
        <x:v>350521</x:v>
      </x:c>
      <x:c r="D75" s="22" t="str">
        <x:v>惠安县</x:v>
      </x:c>
      <x:c r="E75" s="22" t="str">
        <x:v>公共服务</x:v>
      </x:c>
      <x:c r="F75" s="33" t="n">
        <x:f>SUMIFS('标准化长表'!$N$2:$N$3075,'标准化长表'!$C$2:$C$3075,$C75,'标准化长表'!$J$2:$J$3075,$E75,'标准化长表'!$E$2:$E$3075,"建设用地")</x:f>
        <x:v>833.9741879999998</x:v>
      </x:c>
      <x:c r="G75" s="33" t="n">
        <x:f>SUMIFS('标准化长表'!$N$2:$N$3075,'标准化长表'!$C$2:$C$3075,$C75,'标准化长表'!$E$2:$E$3075,"建设用地")</x:f>
        <x:v>23691.851318000015</x:v>
      </x:c>
      <x:c r="H75" s="40" t="n">
        <x:f>IFERROR(F75/G75,0)</x:f>
        <x:v>0.03520088729268629</x:v>
      </x:c>
      <x:c r="I75" s="40" t="n">
        <x:f>IFERROR(SUMIFS('标准化长表'!$N$2:$N$3075,'标准化长表'!$J$2:$J$3075,$E75,'标准化长表'!$E$2:$E$3075,"建设用地")/SUMIFS('标准化长表'!$N$2:$N$3075,'标准化长表'!$E$2:$E$3075,"建设用地"),0)</x:f>
        <x:v>0.042036176888757715</x:v>
      </x:c>
      <x:c r="J75" s="50" t="n">
        <x:f>IFERROR(H75/I75,0)</x:f>
        <x:v>0.8373950701044968</x:v>
      </x:c>
    </x:row>
    <x:row r="76">
      <x:c r="A76" s="21" t="n">
        <x:v>350500</x:v>
      </x:c>
      <x:c r="B76" s="22" t="str">
        <x:v>泉州市</x:v>
      </x:c>
      <x:c r="C76" s="22" t="n">
        <x:v>350521</x:v>
      </x:c>
      <x:c r="D76" s="22" t="str">
        <x:v>惠安县</x:v>
      </x:c>
      <x:c r="E76" s="22" t="str">
        <x:v>交通门户</x:v>
      </x:c>
      <x:c r="F76" s="33" t="n">
        <x:f>SUMIFS('标准化长表'!$N$2:$N$3075,'标准化长表'!$C$2:$C$3075,$C76,'标准化长表'!$J$2:$J$3075,$E76,'标准化长表'!$E$2:$E$3075,"建设用地")</x:f>
        <x:v>3659.3841140000004</x:v>
      </x:c>
      <x:c r="G76" s="33" t="n">
        <x:f>SUMIFS('标准化长表'!$N$2:$N$3075,'标准化长表'!$C$2:$C$3075,$C76,'标准化长表'!$E$2:$E$3075,"建设用地")</x:f>
        <x:v>23691.851318000015</x:v>
      </x:c>
      <x:c r="H76" s="40" t="n">
        <x:f>IFERROR(F76/G76,0)</x:f>
        <x:v>0.15445749953781632</x:v>
      </x:c>
      <x:c r="I76" s="40" t="n">
        <x:f>IFERROR(SUMIFS('标准化长表'!$N$2:$N$3075,'标准化长表'!$J$2:$J$3075,$E76,'标准化长表'!$E$2:$E$3075,"建设用地")/SUMIFS('标准化长表'!$N$2:$N$3075,'标准化长表'!$E$2:$E$3075,"建设用地"),0)</x:f>
        <x:v>0.1936476595437284</x:v>
      </x:c>
      <x:c r="J76" s="50" t="n">
        <x:f>IFERROR(H76/I76,0)</x:f>
        <x:v>0.7976213082138368</x:v>
      </x:c>
    </x:row>
    <x:row r="77">
      <x:c r="A77" s="21" t="n">
        <x:v>350500</x:v>
      </x:c>
      <x:c r="B77" s="22" t="str">
        <x:v>泉州市</x:v>
      </x:c>
      <x:c r="C77" s="22" t="n">
        <x:v>350521</x:v>
      </x:c>
      <x:c r="D77" s="22" t="str">
        <x:v>惠安县</x:v>
      </x:c>
      <x:c r="E77" s="22" t="str">
        <x:v>公共空间</x:v>
      </x:c>
      <x:c r="F77" s="33" t="n">
        <x:f>SUMIFS('标准化长表'!$N$2:$N$3075,'标准化长表'!$C$2:$C$3075,$C77,'标准化长表'!$J$2:$J$3075,$E77,'标准化长表'!$E$2:$E$3075,"建设用地")</x:f>
        <x:v>281.134899</x:v>
      </x:c>
      <x:c r="G77" s="33" t="n">
        <x:f>SUMIFS('标准化长表'!$N$2:$N$3075,'标准化长表'!$C$2:$C$3075,$C77,'标准化长表'!$E$2:$E$3075,"建设用地")</x:f>
        <x:v>23691.851318000015</x:v>
      </x:c>
      <x:c r="H77" s="40" t="n">
        <x:f>IFERROR(F77/G77,0)</x:f>
        <x:v>0.011866311974801489</x:v>
      </x:c>
      <x:c r="I77" s="40" t="n">
        <x:f>IFERROR(SUMIFS('标准化长表'!$N$2:$N$3075,'标准化长表'!$J$2:$J$3075,$E77,'标准化长表'!$E$2:$E$3075,"建设用地")/SUMIFS('标准化长表'!$N$2:$N$3075,'标准化长表'!$E$2:$E$3075,"建设用地"),0)</x:f>
        <x:v>0.013901166268963908</x:v>
      </x:c>
      <x:c r="J77" s="50" t="n">
        <x:f>IFERROR(H77/I77,0)</x:f>
        <x:v>0.8536198866489724</x:v>
      </x:c>
    </x:row>
    <x:row r="78">
      <x:c r="A78" s="21" t="n">
        <x:v>350500</x:v>
      </x:c>
      <x:c r="B78" s="22" t="str">
        <x:v>泉州市</x:v>
      </x:c>
      <x:c r="C78" s="22" t="n">
        <x:v>350521</x:v>
      </x:c>
      <x:c r="D78" s="22" t="str">
        <x:v>惠安县</x:v>
      </x:c>
      <x:c r="E78" s="22" t="str">
        <x:v>其他建设</x:v>
      </x:c>
      <x:c r="F78" s="33" t="n">
        <x:f>SUMIFS('标准化长表'!$N$2:$N$3075,'标准化长表'!$C$2:$C$3075,$C78,'标准化长表'!$J$2:$J$3075,$E78,'标准化长表'!$E$2:$E$3075,"建设用地")</x:f>
        <x:v>1230.4653480000002</x:v>
      </x:c>
      <x:c r="G78" s="33" t="n">
        <x:f>SUMIFS('标准化长表'!$N$2:$N$3075,'标准化长表'!$C$2:$C$3075,$C78,'标准化长表'!$E$2:$E$3075,"建设用地")</x:f>
        <x:v>23691.851318000015</x:v>
      </x:c>
      <x:c r="H78" s="40" t="n">
        <x:f>IFERROR(F78/G78,0)</x:f>
        <x:v>0.05193622615152693</x:v>
      </x:c>
      <x:c r="I78" s="40" t="n">
        <x:f>IFERROR(SUMIFS('标准化长表'!$N$2:$N$3075,'标准化长表'!$J$2:$J$3075,$E78,'标准化长表'!$E$2:$E$3075,"建设用地")/SUMIFS('标准化长表'!$N$2:$N$3075,'标准化长表'!$E$2:$E$3075,"建设用地"),0)</x:f>
        <x:v>0.04770007793470843</x:v>
      </x:c>
      <x:c r="J78" s="50" t="n">
        <x:f>IFERROR(H78/I78,0)</x:f>
        <x:v>1.0888079936183106</x:v>
      </x:c>
    </x:row>
    <x:row r="79">
      <x:c r="A79" s="21" t="n">
        <x:v>350500</x:v>
      </x:c>
      <x:c r="B79" s="22" t="str">
        <x:v>泉州市</x:v>
      </x:c>
      <x:c r="C79" s="22" t="n">
        <x:v>350524</x:v>
      </x:c>
      <x:c r="D79" s="22" t="str">
        <x:v>安溪县</x:v>
      </x:c>
      <x:c r="E79" s="22" t="str">
        <x:v>居住功能</x:v>
      </x:c>
      <x:c r="F79" s="33" t="n">
        <x:f>SUMIFS('标准化长表'!$N$2:$N$3075,'标准化长表'!$C$2:$C$3075,$C79,'标准化长表'!$J$2:$J$3075,$E79,'标准化长表'!$E$2:$E$3075,"建设用地")</x:f>
        <x:v>12502.964180000054</x:v>
      </x:c>
      <x:c r="G79" s="33" t="n">
        <x:f>SUMIFS('标准化长表'!$N$2:$N$3075,'标准化长表'!$C$2:$C$3075,$C79,'标准化长表'!$E$2:$E$3075,"建设用地")</x:f>
        <x:v>19498.94109000007</x:v>
      </x:c>
      <x:c r="H79" s="40" t="n">
        <x:f>IFERROR(F79/G79,0)</x:f>
        <x:v>0.6412124700664967</x:v>
      </x:c>
      <x:c r="I79" s="40" t="n">
        <x:f>IFERROR(SUMIFS('标准化长表'!$N$2:$N$3075,'标准化长表'!$J$2:$J$3075,$E79,'标准化长表'!$E$2:$E$3075,"建设用地")/SUMIFS('标准化长表'!$N$2:$N$3075,'标准化长表'!$E$2:$E$3075,"建设用地"),0)</x:f>
        <x:v>0.4520331968015951</x:v>
      </x:c>
      <x:c r="J79" s="50" t="n">
        <x:f>IFERROR(H79/I79,0)</x:f>
        <x:v>1.4185074782194274</x:v>
      </x:c>
    </x:row>
    <x:row r="80">
      <x:c r="A80" s="21" t="n">
        <x:v>350500</x:v>
      </x:c>
      <x:c r="B80" s="22" t="str">
        <x:v>泉州市</x:v>
      </x:c>
      <x:c r="C80" s="22" t="n">
        <x:v>350524</x:v>
      </x:c>
      <x:c r="D80" s="22" t="str">
        <x:v>安溪县</x:v>
      </x:c>
      <x:c r="E80" s="22" t="str">
        <x:v>产业功能</x:v>
      </x:c>
      <x:c r="F80" s="33" t="n">
        <x:f>SUMIFS('标准化长表'!$N$2:$N$3075,'标准化长表'!$C$2:$C$3075,$C80,'标准化长表'!$J$2:$J$3075,$E80,'标准化长表'!$E$2:$E$3075,"建设用地")</x:f>
        <x:v>1735.8428689999994</x:v>
      </x:c>
      <x:c r="G80" s="33" t="n">
        <x:f>SUMIFS('标准化长表'!$N$2:$N$3075,'标准化长表'!$C$2:$C$3075,$C80,'标准化长表'!$E$2:$E$3075,"建设用地")</x:f>
        <x:v>19498.94109000007</x:v>
      </x:c>
      <x:c r="H80" s="40" t="n">
        <x:f>IFERROR(F80/G80,0)</x:f>
        <x:v>0.08902241721681067</x:v>
      </x:c>
      <x:c r="I80" s="40" t="n">
        <x:f>IFERROR(SUMIFS('标准化长表'!$N$2:$N$3075,'标准化长表'!$J$2:$J$3075,$E80,'标准化长表'!$E$2:$E$3075,"建设用地")/SUMIFS('标准化长表'!$N$2:$N$3075,'标准化长表'!$E$2:$E$3075,"建设用地"),0)</x:f>
        <x:v>0.2200846460431537</x:v>
      </x:c>
      <x:c r="J80" s="50" t="n">
        <x:f>IFERROR(H80/I80,0)</x:f>
        <x:v>0.4044917208779542</x:v>
      </x:c>
    </x:row>
    <x:row r="81">
      <x:c r="A81" s="21" t="n">
        <x:v>350500</x:v>
      </x:c>
      <x:c r="B81" s="22" t="str">
        <x:v>泉州市</x:v>
      </x:c>
      <x:c r="C81" s="22" t="n">
        <x:v>350524</x:v>
      </x:c>
      <x:c r="D81" s="22" t="str">
        <x:v>安溪县</x:v>
      </x:c>
      <x:c r="E81" s="22" t="str">
        <x:v>商业服务</x:v>
      </x:c>
      <x:c r="F81" s="33" t="n">
        <x:f>SUMIFS('标准化长表'!$N$2:$N$3075,'标准化长表'!$C$2:$C$3075,$C81,'标准化长表'!$J$2:$J$3075,$E81,'标准化长表'!$E$2:$E$3075,"建设用地")</x:f>
        <x:v>324.5351989999998</x:v>
      </x:c>
      <x:c r="G81" s="33" t="n">
        <x:f>SUMIFS('标准化长表'!$N$2:$N$3075,'标准化长表'!$C$2:$C$3075,$C81,'标准化长表'!$E$2:$E$3075,"建设用地")</x:f>
        <x:v>19498.94109000007</x:v>
      </x:c>
      <x:c r="H81" s="40" t="n">
        <x:f>IFERROR(F81/G81,0)</x:f>
        <x:v>0.01664373452394479</x:v>
      </x:c>
      <x:c r="I81" s="40" t="n">
        <x:f>IFERROR(SUMIFS('标准化长表'!$N$2:$N$3075,'标准化长表'!$J$2:$J$3075,$E81,'标准化长表'!$E$2:$E$3075,"建设用地")/SUMIFS('标准化长表'!$N$2:$N$3075,'标准化长表'!$E$2:$E$3075,"建设用地"),0)</x:f>
        <x:v>0.030597076519092263</x:v>
      </x:c>
      <x:c r="J81" s="50" t="n">
        <x:f>IFERROR(H81/I81,0)</x:f>
        <x:v>0.5439648625763076</x:v>
      </x:c>
    </x:row>
    <x:row r="82">
      <x:c r="A82" s="21" t="n">
        <x:v>350500</x:v>
      </x:c>
      <x:c r="B82" s="22" t="str">
        <x:v>泉州市</x:v>
      </x:c>
      <x:c r="C82" s="22" t="n">
        <x:v>350524</x:v>
      </x:c>
      <x:c r="D82" s="22" t="str">
        <x:v>安溪县</x:v>
      </x:c>
      <x:c r="E82" s="22" t="str">
        <x:v>公共服务</x:v>
      </x:c>
      <x:c r="F82" s="33" t="n">
        <x:f>SUMIFS('标准化长表'!$N$2:$N$3075,'标准化长表'!$C$2:$C$3075,$C82,'标准化长表'!$J$2:$J$3075,$E82,'标准化长表'!$E$2:$E$3075,"建设用地")</x:f>
        <x:v>641.8509550000001</x:v>
      </x:c>
      <x:c r="G82" s="33" t="n">
        <x:f>SUMIFS('标准化长表'!$N$2:$N$3075,'标准化长表'!$C$2:$C$3075,$C82,'标准化长表'!$E$2:$E$3075,"建设用地")</x:f>
        <x:v>19498.94109000007</x:v>
      </x:c>
      <x:c r="H82" s="40" t="n">
        <x:f>IFERROR(F82/G82,0)</x:f>
        <x:v>0.03291722109613276</x:v>
      </x:c>
      <x:c r="I82" s="40" t="n">
        <x:f>IFERROR(SUMIFS('标准化长表'!$N$2:$N$3075,'标准化长表'!$J$2:$J$3075,$E82,'标准化长表'!$E$2:$E$3075,"建设用地")/SUMIFS('标准化长表'!$N$2:$N$3075,'标准化长表'!$E$2:$E$3075,"建设用地"),0)</x:f>
        <x:v>0.042036176888757715</x:v>
      </x:c>
      <x:c r="J82" s="50" t="n">
        <x:f>IFERROR(H82/I82,0)</x:f>
        <x:v>0.7830688595502662</x:v>
      </x:c>
    </x:row>
    <x:row r="83">
      <x:c r="A83" s="21" t="n">
        <x:v>350500</x:v>
      </x:c>
      <x:c r="B83" s="22" t="str">
        <x:v>泉州市</x:v>
      </x:c>
      <x:c r="C83" s="22" t="n">
        <x:v>350524</x:v>
      </x:c>
      <x:c r="D83" s="22" t="str">
        <x:v>安溪县</x:v>
      </x:c>
      <x:c r="E83" s="22" t="str">
        <x:v>交通门户</x:v>
      </x:c>
      <x:c r="F83" s="33" t="n">
        <x:f>SUMIFS('标准化长表'!$N$2:$N$3075,'标准化长表'!$C$2:$C$3075,$C83,'标准化长表'!$J$2:$J$3075,$E83,'标准化长表'!$E$2:$E$3075,"建设用地")</x:f>
        <x:v>3835.025228000009</x:v>
      </x:c>
      <x:c r="G83" s="33" t="n">
        <x:f>SUMIFS('标准化长表'!$N$2:$N$3075,'标准化长表'!$C$2:$C$3075,$C83,'标准化长表'!$E$2:$E$3075,"建设用地")</x:f>
        <x:v>19498.94109000007</x:v>
      </x:c>
      <x:c r="H83" s="40" t="n">
        <x:f>IFERROR(F83/G83,0)</x:f>
        <x:v>0.19667864066560936</x:v>
      </x:c>
      <x:c r="I83" s="40" t="n">
        <x:f>IFERROR(SUMIFS('标准化长表'!$N$2:$N$3075,'标准化长表'!$J$2:$J$3075,$E83,'标准化长表'!$E$2:$E$3075,"建设用地")/SUMIFS('标准化长表'!$N$2:$N$3075,'标准化长表'!$E$2:$E$3075,"建设用地"),0)</x:f>
        <x:v>0.1936476595437284</x:v>
      </x:c>
      <x:c r="J83" s="50" t="n">
        <x:f>IFERROR(H83/I83,0)</x:f>
        <x:v>1.015652041078227</x:v>
      </x:c>
    </x:row>
    <x:row r="84">
      <x:c r="A84" s="21" t="n">
        <x:v>350500</x:v>
      </x:c>
      <x:c r="B84" s="22" t="str">
        <x:v>泉州市</x:v>
      </x:c>
      <x:c r="C84" s="22" t="n">
        <x:v>350524</x:v>
      </x:c>
      <x:c r="D84" s="22" t="str">
        <x:v>安溪县</x:v>
      </x:c>
      <x:c r="E84" s="22" t="str">
        <x:v>公共空间</x:v>
      </x:c>
      <x:c r="F84" s="33" t="n">
        <x:f>SUMIFS('标准化长表'!$N$2:$N$3075,'标准化长表'!$C$2:$C$3075,$C84,'标准化长表'!$J$2:$J$3075,$E84,'标准化长表'!$E$2:$E$3075,"建设用地")</x:f>
        <x:v>54.428490999999994</x:v>
      </x:c>
      <x:c r="G84" s="33" t="n">
        <x:f>SUMIFS('标准化长表'!$N$2:$N$3075,'标准化长表'!$C$2:$C$3075,$C84,'标准化长表'!$E$2:$E$3075,"建设用地")</x:f>
        <x:v>19498.94109000007</x:v>
      </x:c>
      <x:c r="H84" s="40" t="n">
        <x:f>IFERROR(F84/G84,0)</x:f>
        <x:v>0.002791356245899597</x:v>
      </x:c>
      <x:c r="I84" s="40" t="n">
        <x:f>IFERROR(SUMIFS('标准化长表'!$N$2:$N$3075,'标准化长表'!$J$2:$J$3075,$E84,'标准化长表'!$E$2:$E$3075,"建设用地")/SUMIFS('标准化长表'!$N$2:$N$3075,'标准化长表'!$E$2:$E$3075,"建设用地"),0)</x:f>
        <x:v>0.013901166268963908</x:v>
      </x:c>
      <x:c r="J84" s="50" t="n">
        <x:f>IFERROR(H84/I84,0)</x:f>
        <x:v>0.20080014812366132</x:v>
      </x:c>
    </x:row>
    <x:row r="85">
      <x:c r="A85" s="21" t="n">
        <x:v>350500</x:v>
      </x:c>
      <x:c r="B85" s="22" t="str">
        <x:v>泉州市</x:v>
      </x:c>
      <x:c r="C85" s="22" t="n">
        <x:v>350524</x:v>
      </x:c>
      <x:c r="D85" s="22" t="str">
        <x:v>安溪县</x:v>
      </x:c>
      <x:c r="E85" s="22" t="str">
        <x:v>其他建设</x:v>
      </x:c>
      <x:c r="F85" s="33" t="n">
        <x:f>SUMIFS('标准化长表'!$N$2:$N$3075,'标准化长表'!$C$2:$C$3075,$C85,'标准化长表'!$J$2:$J$3075,$E85,'标准化长表'!$E$2:$E$3075,"建设用地")</x:f>
        <x:v>404.2941679999998</x:v>
      </x:c>
      <x:c r="G85" s="33" t="n">
        <x:f>SUMIFS('标准化长表'!$N$2:$N$3075,'标准化长表'!$C$2:$C$3075,$C85,'标准化长表'!$E$2:$E$3075,"建设用地")</x:f>
        <x:v>19498.94109000007</x:v>
      </x:c>
      <x:c r="H85" s="40" t="n">
        <x:f>IFERROR(F85/G85,0)</x:f>
        <x:v>0.020734160185105637</x:v>
      </x:c>
      <x:c r="I85" s="40" t="n">
        <x:f>IFERROR(SUMIFS('标准化长表'!$N$2:$N$3075,'标准化长表'!$J$2:$J$3075,$E85,'标准化长表'!$E$2:$E$3075,"建设用地")/SUMIFS('标准化长表'!$N$2:$N$3075,'标准化长表'!$E$2:$E$3075,"建设用地"),0)</x:f>
        <x:v>0.04770007793470843</x:v>
      </x:c>
      <x:c r="J85" s="50" t="n">
        <x:f>IFERROR(H85/I85,0)</x:f>
        <x:v>0.43467770039047793</x:v>
      </x:c>
    </x:row>
    <x:row r="86">
      <x:c r="A86" s="21" t="n">
        <x:v>350500</x:v>
      </x:c>
      <x:c r="B86" s="22" t="str">
        <x:v>泉州市</x:v>
      </x:c>
      <x:c r="C86" s="22" t="n">
        <x:v>350525</x:v>
      </x:c>
      <x:c r="D86" s="22" t="str">
        <x:v>永春县</x:v>
      </x:c>
      <x:c r="E86" s="22" t="str">
        <x:v>居住功能</x:v>
      </x:c>
      <x:c r="F86" s="33" t="n">
        <x:f>SUMIFS('标准化长表'!$N$2:$N$3075,'标准化长表'!$C$2:$C$3075,$C86,'标准化长表'!$J$2:$J$3075,$E86,'标准化长表'!$E$2:$E$3075,"建设用地")</x:f>
        <x:v>5637.513936000007</x:v>
      </x:c>
      <x:c r="G86" s="33" t="n">
        <x:f>SUMIFS('标准化长表'!$N$2:$N$3075,'标准化长表'!$C$2:$C$3075,$C86,'标准化长表'!$E$2:$E$3075,"建设用地")</x:f>
        <x:v>9990.39586600001</x:v>
      </x:c>
      <x:c r="H86" s="40" t="n">
        <x:f>IFERROR(F86/G86,0)</x:f>
        <x:v>0.564293348493424</x:v>
      </x:c>
      <x:c r="I86" s="40" t="n">
        <x:f>IFERROR(SUMIFS('标准化长表'!$N$2:$N$3075,'标准化长表'!$J$2:$J$3075,$E86,'标准化长表'!$E$2:$E$3075,"建设用地")/SUMIFS('标准化长表'!$N$2:$N$3075,'标准化长表'!$E$2:$E$3075,"建设用地"),0)</x:f>
        <x:v>0.4520331968015951</x:v>
      </x:c>
      <x:c r="J86" s="50" t="n">
        <x:f>IFERROR(H86/I86,0)</x:f>
        <x:v>1.2483449279524967</x:v>
      </x:c>
    </x:row>
    <x:row r="87">
      <x:c r="A87" s="21" t="n">
        <x:v>350500</x:v>
      </x:c>
      <x:c r="B87" s="22" t="str">
        <x:v>泉州市</x:v>
      </x:c>
      <x:c r="C87" s="22" t="n">
        <x:v>350525</x:v>
      </x:c>
      <x:c r="D87" s="22" t="str">
        <x:v>永春县</x:v>
      </x:c>
      <x:c r="E87" s="22" t="str">
        <x:v>产业功能</x:v>
      </x:c>
      <x:c r="F87" s="33" t="n">
        <x:f>SUMIFS('标准化长表'!$N$2:$N$3075,'标准化长表'!$C$2:$C$3075,$C87,'标准化长表'!$J$2:$J$3075,$E87,'标准化长表'!$E$2:$E$3075,"建设用地")</x:f>
        <x:v>1445.273948000001</x:v>
      </x:c>
      <x:c r="G87" s="33" t="n">
        <x:f>SUMIFS('标准化长表'!$N$2:$N$3075,'标准化长表'!$C$2:$C$3075,$C87,'标准化长表'!$E$2:$E$3075,"建设用地")</x:f>
        <x:v>9990.39586600001</x:v>
      </x:c>
      <x:c r="H87" s="40" t="n">
        <x:f>IFERROR(F87/G87,0)</x:f>
        <x:v>0.14466633428597708</x:v>
      </x:c>
      <x:c r="I87" s="40" t="n">
        <x:f>IFERROR(SUMIFS('标准化长表'!$N$2:$N$3075,'标准化长表'!$J$2:$J$3075,$E87,'标准化长表'!$E$2:$E$3075,"建设用地")/SUMIFS('标准化长表'!$N$2:$N$3075,'标准化长表'!$E$2:$E$3075,"建设用地"),0)</x:f>
        <x:v>0.2200846460431537</x:v>
      </x:c>
      <x:c r="J87" s="50" t="n">
        <x:f>IFERROR(H87/I87,0)</x:f>
        <x:v>0.657321339252404</x:v>
      </x:c>
    </x:row>
    <x:row r="88">
      <x:c r="A88" s="21" t="n">
        <x:v>350500</x:v>
      </x:c>
      <x:c r="B88" s="22" t="str">
        <x:v>泉州市</x:v>
      </x:c>
      <x:c r="C88" s="22" t="n">
        <x:v>350525</x:v>
      </x:c>
      <x:c r="D88" s="22" t="str">
        <x:v>永春县</x:v>
      </x:c>
      <x:c r="E88" s="22" t="str">
        <x:v>商业服务</x:v>
      </x:c>
      <x:c r="F88" s="33" t="n">
        <x:f>SUMIFS('标准化长表'!$N$2:$N$3075,'标准化长表'!$C$2:$C$3075,$C88,'标准化长表'!$J$2:$J$3075,$E88,'标准化长表'!$E$2:$E$3075,"建设用地")</x:f>
        <x:v>73.22943200000003</x:v>
      </x:c>
      <x:c r="G88" s="33" t="n">
        <x:f>SUMIFS('标准化长表'!$N$2:$N$3075,'标准化长表'!$C$2:$C$3075,$C88,'标准化长表'!$E$2:$E$3075,"建设用地")</x:f>
        <x:v>9990.39586600001</x:v>
      </x:c>
      <x:c r="H88" s="40" t="n">
        <x:f>IFERROR(F88/G88,0)</x:f>
        <x:v>0.007329983013908326</x:v>
      </x:c>
      <x:c r="I88" s="40" t="n">
        <x:f>IFERROR(SUMIFS('标准化长表'!$N$2:$N$3075,'标准化长表'!$J$2:$J$3075,$E88,'标准化长表'!$E$2:$E$3075,"建设用地")/SUMIFS('标准化长表'!$N$2:$N$3075,'标准化长表'!$E$2:$E$3075,"建设用地"),0)</x:f>
        <x:v>0.030597076519092263</x:v>
      </x:c>
      <x:c r="J88" s="50" t="n">
        <x:f>IFERROR(H88/I88,0)</x:f>
        <x:v>0.2395648162442739</x:v>
      </x:c>
    </x:row>
    <x:row r="89">
      <x:c r="A89" s="21" t="n">
        <x:v>350500</x:v>
      </x:c>
      <x:c r="B89" s="22" t="str">
        <x:v>泉州市</x:v>
      </x:c>
      <x:c r="C89" s="22" t="n">
        <x:v>350525</x:v>
      </x:c>
      <x:c r="D89" s="22" t="str">
        <x:v>永春县</x:v>
      </x:c>
      <x:c r="E89" s="22" t="str">
        <x:v>公共服务</x:v>
      </x:c>
      <x:c r="F89" s="33" t="n">
        <x:f>SUMIFS('标准化长表'!$N$2:$N$3075,'标准化长表'!$C$2:$C$3075,$C89,'标准化长表'!$J$2:$J$3075,$E89,'标准化长表'!$E$2:$E$3075,"建设用地")</x:f>
        <x:v>345.162967</x:v>
      </x:c>
      <x:c r="G89" s="33" t="n">
        <x:f>SUMIFS('标准化长表'!$N$2:$N$3075,'标准化长表'!$C$2:$C$3075,$C89,'标准化长表'!$E$2:$E$3075,"建设用地")</x:f>
        <x:v>9990.39586600001</x:v>
      </x:c>
      <x:c r="H89" s="40" t="n">
        <x:f>IFERROR(F89/G89,0)</x:f>
        <x:v>0.03454947848209718</x:v>
      </x:c>
      <x:c r="I89" s="40" t="n">
        <x:f>IFERROR(SUMIFS('标准化长表'!$N$2:$N$3075,'标准化长表'!$J$2:$J$3075,$E89,'标准化长表'!$E$2:$E$3075,"建设用地")/SUMIFS('标准化长表'!$N$2:$N$3075,'标准化长表'!$E$2:$E$3075,"建设用地"),0)</x:f>
        <x:v>0.042036176888757715</x:v>
      </x:c>
      <x:c r="J89" s="50" t="n">
        <x:f>IFERROR(H89/I89,0)</x:f>
        <x:v>0.8218986844005123</x:v>
      </x:c>
    </x:row>
    <x:row r="90">
      <x:c r="A90" s="21" t="n">
        <x:v>350500</x:v>
      </x:c>
      <x:c r="B90" s="22" t="str">
        <x:v>泉州市</x:v>
      </x:c>
      <x:c r="C90" s="22" t="n">
        <x:v>350525</x:v>
      </x:c>
      <x:c r="D90" s="22" t="str">
        <x:v>永春县</x:v>
      </x:c>
      <x:c r="E90" s="22" t="str">
        <x:v>交通门户</x:v>
      </x:c>
      <x:c r="F90" s="33" t="n">
        <x:f>SUMIFS('标准化长表'!$N$2:$N$3075,'标准化长表'!$C$2:$C$3075,$C90,'标准化长表'!$J$2:$J$3075,$E90,'标准化长表'!$E$2:$E$3075,"建设用地")</x:f>
        <x:v>2088.118615000002</x:v>
      </x:c>
      <x:c r="G90" s="33" t="n">
        <x:f>SUMIFS('标准化长表'!$N$2:$N$3075,'标准化长表'!$C$2:$C$3075,$C90,'标准化长表'!$E$2:$E$3075,"建设用地")</x:f>
        <x:v>9990.39586600001</x:v>
      </x:c>
      <x:c r="H90" s="40" t="n">
        <x:f>IFERROR(F90/G90,0)</x:f>
        <x:v>0.2090126000018106</x:v>
      </x:c>
      <x:c r="I90" s="40" t="n">
        <x:f>IFERROR(SUMIFS('标准化长表'!$N$2:$N$3075,'标准化长表'!$J$2:$J$3075,$E90,'标准化长表'!$E$2:$E$3075,"建设用地")/SUMIFS('标准化长表'!$N$2:$N$3075,'标准化长表'!$E$2:$E$3075,"建设用地"),0)</x:f>
        <x:v>0.1936476595437284</x:v>
      </x:c>
      <x:c r="J90" s="50" t="n">
        <x:f>IFERROR(H90/I90,0)</x:f>
        <x:v>1.0793448291308296</x:v>
      </x:c>
    </x:row>
    <x:row r="91">
      <x:c r="A91" s="21" t="n">
        <x:v>350500</x:v>
      </x:c>
      <x:c r="B91" s="22" t="str">
        <x:v>泉州市</x:v>
      </x:c>
      <x:c r="C91" s="22" t="n">
        <x:v>350525</x:v>
      </x:c>
      <x:c r="D91" s="22" t="str">
        <x:v>永春县</x:v>
      </x:c>
      <x:c r="E91" s="22" t="str">
        <x:v>公共空间</x:v>
      </x:c>
      <x:c r="F91" s="33" t="n">
        <x:f>SUMIFS('标准化长表'!$N$2:$N$3075,'标准化长表'!$C$2:$C$3075,$C91,'标准化长表'!$J$2:$J$3075,$E91,'标准化长表'!$E$2:$E$3075,"建设用地")</x:f>
        <x:v>122.597842</x:v>
      </x:c>
      <x:c r="G91" s="33" t="n">
        <x:f>SUMIFS('标准化长表'!$N$2:$N$3075,'标准化长表'!$C$2:$C$3075,$C91,'标准化长表'!$E$2:$E$3075,"建设用地")</x:f>
        <x:v>9990.39586600001</x:v>
      </x:c>
      <x:c r="H91" s="40" t="n">
        <x:f>IFERROR(F91/G91,0)</x:f>
        <x:v>0.012271569980248056</x:v>
      </x:c>
      <x:c r="I91" s="40" t="n">
        <x:f>IFERROR(SUMIFS('标准化长表'!$N$2:$N$3075,'标准化长表'!$J$2:$J$3075,$E91,'标准化长表'!$E$2:$E$3075,"建设用地")/SUMIFS('标准化长表'!$N$2:$N$3075,'标准化长表'!$E$2:$E$3075,"建设用地"),0)</x:f>
        <x:v>0.013901166268963908</x:v>
      </x:c>
      <x:c r="J91" s="50" t="n">
        <x:f>IFERROR(H91/I91,0)</x:f>
        <x:v>0.8827726927952707</x:v>
      </x:c>
    </x:row>
    <x:row r="92">
      <x:c r="A92" s="21" t="n">
        <x:v>350500</x:v>
      </x:c>
      <x:c r="B92" s="22" t="str">
        <x:v>泉州市</x:v>
      </x:c>
      <x:c r="C92" s="22" t="n">
        <x:v>350525</x:v>
      </x:c>
      <x:c r="D92" s="22" t="str">
        <x:v>永春县</x:v>
      </x:c>
      <x:c r="E92" s="22" t="str">
        <x:v>其他建设</x:v>
      </x:c>
      <x:c r="F92" s="33" t="n">
        <x:f>SUMIFS('标准化长表'!$N$2:$N$3075,'标准化长表'!$C$2:$C$3075,$C92,'标准化长表'!$J$2:$J$3075,$E92,'标准化长表'!$E$2:$E$3075,"建设用地")</x:f>
        <x:v>278.49912599999993</x:v>
      </x:c>
      <x:c r="G92" s="33" t="n">
        <x:f>SUMIFS('标准化长表'!$N$2:$N$3075,'标准化长表'!$C$2:$C$3075,$C92,'标准化长表'!$E$2:$E$3075,"建设用地")</x:f>
        <x:v>9990.39586600001</x:v>
      </x:c>
      <x:c r="H92" s="40" t="n">
        <x:f>IFERROR(F92/G92,0)</x:f>
        <x:v>0.027876685742534685</x:v>
      </x:c>
      <x:c r="I92" s="40" t="n">
        <x:f>IFERROR(SUMIFS('标准化长表'!$N$2:$N$3075,'标准化长表'!$J$2:$J$3075,$E92,'标准化长表'!$E$2:$E$3075,"建设用地")/SUMIFS('标准化长表'!$N$2:$N$3075,'标准化长表'!$E$2:$E$3075,"建设用地"),0)</x:f>
        <x:v>0.04770007793470843</x:v>
      </x:c>
      <x:c r="J92" s="50" t="n">
        <x:f>IFERROR(H92/I92,0)</x:f>
        <x:v>0.5844159370282815</x:v>
      </x:c>
    </x:row>
    <x:row r="93">
      <x:c r="A93" s="21" t="n">
        <x:v>350500</x:v>
      </x:c>
      <x:c r="B93" s="22" t="str">
        <x:v>泉州市</x:v>
      </x:c>
      <x:c r="C93" s="22" t="n">
        <x:v>350526</x:v>
      </x:c>
      <x:c r="D93" s="22" t="str">
        <x:v>德化县</x:v>
      </x:c>
      <x:c r="E93" s="22" t="str">
        <x:v>居住功能</x:v>
      </x:c>
      <x:c r="F93" s="33" t="n">
        <x:f>SUMIFS('标准化长表'!$N$2:$N$3075,'标准化长表'!$C$2:$C$3075,$C93,'标准化长表'!$J$2:$J$3075,$E93,'标准化长表'!$E$2:$E$3075,"建设用地")</x:f>
        <x:v>3179.9687390000036</x:v>
      </x:c>
      <x:c r="G93" s="33" t="n">
        <x:f>SUMIFS('标准化长表'!$N$2:$N$3075,'标准化长表'!$C$2:$C$3075,$C93,'标准化长表'!$E$2:$E$3075,"建设用地")</x:f>
        <x:v>6976.888770000005</x:v>
      </x:c>
      <x:c r="H93" s="40" t="n">
        <x:f>IFERROR(F93/G93,0)</x:f>
        <x:v>0.45578607368281165</x:v>
      </x:c>
      <x:c r="I93" s="40" t="n">
        <x:f>IFERROR(SUMIFS('标准化长表'!$N$2:$N$3075,'标准化长表'!$J$2:$J$3075,$E93,'标准化长表'!$E$2:$E$3075,"建设用地")/SUMIFS('标准化长表'!$N$2:$N$3075,'标准化长表'!$E$2:$E$3075,"建设用地"),0)</x:f>
        <x:v>0.4520331968015951</x:v>
      </x:c>
      <x:c r="J93" s="50" t="n">
        <x:f>IFERROR(H93/I93,0)</x:f>
        <x:v>1.0083022152084635</x:v>
      </x:c>
    </x:row>
    <x:row r="94">
      <x:c r="A94" s="21" t="n">
        <x:v>350500</x:v>
      </x:c>
      <x:c r="B94" s="22" t="str">
        <x:v>泉州市</x:v>
      </x:c>
      <x:c r="C94" s="22" t="n">
        <x:v>350526</x:v>
      </x:c>
      <x:c r="D94" s="22" t="str">
        <x:v>德化县</x:v>
      </x:c>
      <x:c r="E94" s="22" t="str">
        <x:v>产业功能</x:v>
      </x:c>
      <x:c r="F94" s="33" t="n">
        <x:f>SUMIFS('标准化长表'!$N$2:$N$3075,'标准化长表'!$C$2:$C$3075,$C94,'标准化长表'!$J$2:$J$3075,$E94,'标准化长表'!$E$2:$E$3075,"建设用地")</x:f>
        <x:v>1309.43167</x:v>
      </x:c>
      <x:c r="G94" s="33" t="n">
        <x:f>SUMIFS('标准化长表'!$N$2:$N$3075,'标准化长表'!$C$2:$C$3075,$C94,'标准化长表'!$E$2:$E$3075,"建设用地")</x:f>
        <x:v>6976.888770000005</x:v>
      </x:c>
      <x:c r="H94" s="40" t="n">
        <x:f>IFERROR(F94/G94,0)</x:f>
        <x:v>0.18768131658203274</x:v>
      </x:c>
      <x:c r="I94" s="40" t="n">
        <x:f>IFERROR(SUMIFS('标准化长表'!$N$2:$N$3075,'标准化长表'!$J$2:$J$3075,$E94,'标准化长表'!$E$2:$E$3075,"建设用地")/SUMIFS('标准化长表'!$N$2:$N$3075,'标准化长表'!$E$2:$E$3075,"建设用地"),0)</x:f>
        <x:v>0.2200846460431537</x:v>
      </x:c>
      <x:c r="J94" s="50" t="n">
        <x:f>IFERROR(H94/I94,0)</x:f>
        <x:v>0.8527687867205085</x:v>
      </x:c>
    </x:row>
    <x:row r="95">
      <x:c r="A95" s="21" t="n">
        <x:v>350500</x:v>
      </x:c>
      <x:c r="B95" s="22" t="str">
        <x:v>泉州市</x:v>
      </x:c>
      <x:c r="C95" s="22" t="n">
        <x:v>350526</x:v>
      </x:c>
      <x:c r="D95" s="22" t="str">
        <x:v>德化县</x:v>
      </x:c>
      <x:c r="E95" s="22" t="str">
        <x:v>商业服务</x:v>
      </x:c>
      <x:c r="F95" s="33" t="n">
        <x:f>SUMIFS('标准化长表'!$N$2:$N$3075,'标准化长表'!$C$2:$C$3075,$C95,'标准化长表'!$J$2:$J$3075,$E95,'标准化长表'!$E$2:$E$3075,"建设用地")</x:f>
        <x:v>94.58117699999998</x:v>
      </x:c>
      <x:c r="G95" s="33" t="n">
        <x:f>SUMIFS('标准化长表'!$N$2:$N$3075,'标准化长表'!$C$2:$C$3075,$C95,'标准化长表'!$E$2:$E$3075,"建设用地")</x:f>
        <x:v>6976.888770000005</x:v>
      </x:c>
      <x:c r="H95" s="40" t="n">
        <x:f>IFERROR(F95/G95,0)</x:f>
        <x:v>0.013556354432177642</x:v>
      </x:c>
      <x:c r="I95" s="40" t="n">
        <x:f>IFERROR(SUMIFS('标准化长表'!$N$2:$N$3075,'标准化长表'!$J$2:$J$3075,$E95,'标准化长表'!$E$2:$E$3075,"建设用地")/SUMIFS('标准化长表'!$N$2:$N$3075,'标准化长表'!$E$2:$E$3075,"建设用地"),0)</x:f>
        <x:v>0.030597076519092263</x:v>
      </x:c>
      <x:c r="J95" s="50" t="n">
        <x:f>IFERROR(H95/I95,0)</x:f>
        <x:v>0.4430604480698872</x:v>
      </x:c>
    </x:row>
    <x:row r="96">
      <x:c r="A96" s="21" t="n">
        <x:v>350500</x:v>
      </x:c>
      <x:c r="B96" s="22" t="str">
        <x:v>泉州市</x:v>
      </x:c>
      <x:c r="C96" s="22" t="n">
        <x:v>350526</x:v>
      </x:c>
      <x:c r="D96" s="22" t="str">
        <x:v>德化县</x:v>
      </x:c>
      <x:c r="E96" s="22" t="str">
        <x:v>公共服务</x:v>
      </x:c>
      <x:c r="F96" s="33" t="n">
        <x:f>SUMIFS('标准化长表'!$N$2:$N$3075,'标准化长表'!$C$2:$C$3075,$C96,'标准化长表'!$J$2:$J$3075,$E96,'标准化长表'!$E$2:$E$3075,"建设用地")</x:f>
        <x:v>210.25921600000004</x:v>
      </x:c>
      <x:c r="G96" s="33" t="n">
        <x:f>SUMIFS('标准化长表'!$N$2:$N$3075,'标准化长表'!$C$2:$C$3075,$C96,'标准化长表'!$E$2:$E$3075,"建设用地")</x:f>
        <x:v>6976.888770000005</x:v>
      </x:c>
      <x:c r="H96" s="40" t="n">
        <x:f>IFERROR(F96/G96,0)</x:f>
        <x:v>0.030136529752931678</x:v>
      </x:c>
      <x:c r="I96" s="40" t="n">
        <x:f>IFERROR(SUMIFS('标准化长表'!$N$2:$N$3075,'标准化长表'!$J$2:$J$3075,$E96,'标准化长表'!$E$2:$E$3075,"建设用地")/SUMIFS('标准化长表'!$N$2:$N$3075,'标准化长表'!$E$2:$E$3075,"建设用地"),0)</x:f>
        <x:v>0.042036176888757715</x:v>
      </x:c>
      <x:c r="J96" s="50" t="n">
        <x:f>IFERROR(H96/I96,0)</x:f>
        <x:v>0.7169189013711541</x:v>
      </x:c>
    </x:row>
    <x:row r="97">
      <x:c r="A97" s="21" t="n">
        <x:v>350500</x:v>
      </x:c>
      <x:c r="B97" s="22" t="str">
        <x:v>泉州市</x:v>
      </x:c>
      <x:c r="C97" s="22" t="n">
        <x:v>350526</x:v>
      </x:c>
      <x:c r="D97" s="22" t="str">
        <x:v>德化县</x:v>
      </x:c>
      <x:c r="E97" s="22" t="str">
        <x:v>交通门户</x:v>
      </x:c>
      <x:c r="F97" s="33" t="n">
        <x:f>SUMIFS('标准化长表'!$N$2:$N$3075,'标准化长表'!$C$2:$C$3075,$C97,'标准化长表'!$J$2:$J$3075,$E97,'标准化长表'!$E$2:$E$3075,"建设用地")</x:f>
        <x:v>1899.3179350000019</x:v>
      </x:c>
      <x:c r="G97" s="33" t="n">
        <x:f>SUMIFS('标准化长表'!$N$2:$N$3075,'标准化长表'!$C$2:$C$3075,$C97,'标准化长表'!$E$2:$E$3075,"建设用地")</x:f>
        <x:v>6976.888770000005</x:v>
      </x:c>
      <x:c r="H97" s="40" t="n">
        <x:f>IFERROR(F97/G97,0)</x:f>
        <x:v>0.2722299290719523</x:v>
      </x:c>
      <x:c r="I97" s="40" t="n">
        <x:f>IFERROR(SUMIFS('标准化长表'!$N$2:$N$3075,'标准化长表'!$J$2:$J$3075,$E97,'标准化长表'!$E$2:$E$3075,"建设用地")/SUMIFS('标准化长表'!$N$2:$N$3075,'标准化长表'!$E$2:$E$3075,"建设用地"),0)</x:f>
        <x:v>0.1936476595437284</x:v>
      </x:c>
      <x:c r="J97" s="50" t="n">
        <x:f>IFERROR(H97/I97,0)</x:f>
        <x:v>1.405800254510584</x:v>
      </x:c>
    </x:row>
    <x:row r="98">
      <x:c r="A98" s="21" t="n">
        <x:v>350500</x:v>
      </x:c>
      <x:c r="B98" s="22" t="str">
        <x:v>泉州市</x:v>
      </x:c>
      <x:c r="C98" s="22" t="n">
        <x:v>350526</x:v>
      </x:c>
      <x:c r="D98" s="22" t="str">
        <x:v>德化县</x:v>
      </x:c>
      <x:c r="E98" s="22" t="str">
        <x:v>公共空间</x:v>
      </x:c>
      <x:c r="F98" s="33" t="n">
        <x:f>SUMIFS('标准化长表'!$N$2:$N$3075,'标准化长表'!$C$2:$C$3075,$C98,'标准化长表'!$J$2:$J$3075,$E98,'标准化长表'!$E$2:$E$3075,"建设用地")</x:f>
        <x:v>48.682943</x:v>
      </x:c>
      <x:c r="G98" s="33" t="n">
        <x:f>SUMIFS('标准化长表'!$N$2:$N$3075,'标准化长表'!$C$2:$C$3075,$C98,'标准化长表'!$E$2:$E$3075,"建设用地")</x:f>
        <x:v>6976.888770000005</x:v>
      </x:c>
      <x:c r="H98" s="40" t="n">
        <x:f>IFERROR(F98/G98,0)</x:f>
        <x:v>0.0069777438919955675</x:v>
      </x:c>
      <x:c r="I98" s="40" t="n">
        <x:f>IFERROR(SUMIFS('标准化长表'!$N$2:$N$3075,'标准化长表'!$J$2:$J$3075,$E98,'标准化长表'!$E$2:$E$3075,"建设用地")/SUMIFS('标准化长表'!$N$2:$N$3075,'标准化长表'!$E$2:$E$3075,"建设用地"),0)</x:f>
        <x:v>0.013901166268963908</x:v>
      </x:c>
      <x:c r="J98" s="50" t="n">
        <x:f>IFERROR(H98/I98,0)</x:f>
        <x:v>0.5019538473958299</x:v>
      </x:c>
    </x:row>
    <x:row r="99">
      <x:c r="A99" s="21" t="n">
        <x:v>350500</x:v>
      </x:c>
      <x:c r="B99" s="22" t="str">
        <x:v>泉州市</x:v>
      </x:c>
      <x:c r="C99" s="22" t="n">
        <x:v>350526</x:v>
      </x:c>
      <x:c r="D99" s="22" t="str">
        <x:v>德化县</x:v>
      </x:c>
      <x:c r="E99" s="22" t="str">
        <x:v>其他建设</x:v>
      </x:c>
      <x:c r="F99" s="33" t="n">
        <x:f>SUMIFS('标准化长表'!$N$2:$N$3075,'标准化长表'!$C$2:$C$3075,$C99,'标准化长表'!$J$2:$J$3075,$E99,'标准化长表'!$E$2:$E$3075,"建设用地")</x:f>
        <x:v>234.64708999999993</x:v>
      </x:c>
      <x:c r="G99" s="33" t="n">
        <x:f>SUMIFS('标准化长表'!$N$2:$N$3075,'标准化长表'!$C$2:$C$3075,$C99,'标准化长表'!$E$2:$E$3075,"建设用地")</x:f>
        <x:v>6976.888770000005</x:v>
      </x:c>
      <x:c r="H99" s="40" t="n">
        <x:f>IFERROR(F99/G99,0)</x:f>
        <x:v>0.03363205258609846</x:v>
      </x:c>
      <x:c r="I99" s="40" t="n">
        <x:f>IFERROR(SUMIFS('标准化长表'!$N$2:$N$3075,'标准化长表'!$J$2:$J$3075,$E99,'标准化长表'!$E$2:$E$3075,"建设用地")/SUMIFS('标准化长表'!$N$2:$N$3075,'标准化长表'!$E$2:$E$3075,"建设用地"),0)</x:f>
        <x:v>0.04770007793470843</x:v>
      </x:c>
      <x:c r="J99" s="50" t="n">
        <x:f>IFERROR(H99/I99,0)</x:f>
        <x:v>0.7050733257109937</x:v>
      </x:c>
    </x:row>
    <x:row r="100">
      <x:c r="A100" s="21" t="n">
        <x:v>350500</x:v>
      </x:c>
      <x:c r="B100" s="22" t="str">
        <x:v>泉州市</x:v>
      </x:c>
      <x:c r="C100" s="22" t="n">
        <x:v>350581</x:v>
      </x:c>
      <x:c r="D100" s="22" t="str">
        <x:v>石狮市</x:v>
      </x:c>
      <x:c r="E100" s="22" t="str">
        <x:v>居住功能</x:v>
      </x:c>
      <x:c r="F100" s="33" t="n">
        <x:f>SUMIFS('标准化长表'!$N$2:$N$3075,'标准化长表'!$C$2:$C$3075,$C100,'标准化长表'!$J$2:$J$3075,$E100,'标准化长表'!$E$2:$E$3075,"建设用地")</x:f>
        <x:v>3665.068162999997</x:v>
      </x:c>
      <x:c r="G100" s="33" t="n">
        <x:f>SUMIFS('标准化长表'!$N$2:$N$3075,'标准化长表'!$C$2:$C$3075,$C100,'标准化长表'!$E$2:$E$3075,"建设用地")</x:f>
        <x:v>9460.540619999998</x:v>
      </x:c>
      <x:c r="H100" s="40" t="n">
        <x:f>IFERROR(F100/G100,0)</x:f>
        <x:v>0.3874057847446775</x:v>
      </x:c>
      <x:c r="I100" s="40" t="n">
        <x:f>IFERROR(SUMIFS('标准化长表'!$N$2:$N$3075,'标准化长表'!$J$2:$J$3075,$E100,'标准化长表'!$E$2:$E$3075,"建设用地")/SUMIFS('标准化长表'!$N$2:$N$3075,'标准化长表'!$E$2:$E$3075,"建设用地"),0)</x:f>
        <x:v>0.4520331968015951</x:v>
      </x:c>
      <x:c r="J100" s="50" t="n">
        <x:f>IFERROR(H100/I100,0)</x:f>
        <x:v>0.8570295002353917</x:v>
      </x:c>
    </x:row>
    <x:row r="101">
      <x:c r="A101" s="21" t="n">
        <x:v>350500</x:v>
      </x:c>
      <x:c r="B101" s="22" t="str">
        <x:v>泉州市</x:v>
      </x:c>
      <x:c r="C101" s="22" t="n">
        <x:v>350581</x:v>
      </x:c>
      <x:c r="D101" s="22" t="str">
        <x:v>石狮市</x:v>
      </x:c>
      <x:c r="E101" s="22" t="str">
        <x:v>产业功能</x:v>
      </x:c>
      <x:c r="F101" s="33" t="n">
        <x:f>SUMIFS('标准化长表'!$N$2:$N$3075,'标准化长表'!$C$2:$C$3075,$C101,'标准化长表'!$J$2:$J$3075,$E101,'标准化长表'!$E$2:$E$3075,"建设用地")</x:f>
        <x:v>2101.0845839999997</x:v>
      </x:c>
      <x:c r="G101" s="33" t="n">
        <x:f>SUMIFS('标准化长表'!$N$2:$N$3075,'标准化长表'!$C$2:$C$3075,$C101,'标准化长表'!$E$2:$E$3075,"建设用地")</x:f>
        <x:v>9460.540619999998</x:v>
      </x:c>
      <x:c r="H101" s="40" t="n">
        <x:f>IFERROR(F101/G101,0)</x:f>
        <x:v>0.22208927252616142</x:v>
      </x:c>
      <x:c r="I101" s="40" t="n">
        <x:f>IFERROR(SUMIFS('标准化长表'!$N$2:$N$3075,'标准化长表'!$J$2:$J$3075,$E101,'标准化长表'!$E$2:$E$3075,"建设用地")/SUMIFS('标准化长表'!$N$2:$N$3075,'标准化长表'!$E$2:$E$3075,"建设用地"),0)</x:f>
        <x:v>0.2200846460431537</x:v>
      </x:c>
      <x:c r="J101" s="50" t="n">
        <x:f>IFERROR(H101/I101,0)</x:f>
        <x:v>1.0091084340459382</x:v>
      </x:c>
    </x:row>
    <x:row r="102">
      <x:c r="A102" s="21" t="n">
        <x:v>350500</x:v>
      </x:c>
      <x:c r="B102" s="22" t="str">
        <x:v>泉州市</x:v>
      </x:c>
      <x:c r="C102" s="22" t="n">
        <x:v>350581</x:v>
      </x:c>
      <x:c r="D102" s="22" t="str">
        <x:v>石狮市</x:v>
      </x:c>
      <x:c r="E102" s="22" t="str">
        <x:v>商业服务</x:v>
      </x:c>
      <x:c r="F102" s="33" t="n">
        <x:f>SUMIFS('标准化长表'!$N$2:$N$3075,'标准化长表'!$C$2:$C$3075,$C102,'标准化长表'!$J$2:$J$3075,$E102,'标准化长表'!$E$2:$E$3075,"建设用地")</x:f>
        <x:v>366.796923</x:v>
      </x:c>
      <x:c r="G102" s="33" t="n">
        <x:f>SUMIFS('标准化长表'!$N$2:$N$3075,'标准化长表'!$C$2:$C$3075,$C102,'标准化长表'!$E$2:$E$3075,"建设用地")</x:f>
        <x:v>9460.540619999998</x:v>
      </x:c>
      <x:c r="H102" s="40" t="n">
        <x:f>IFERROR(F102/G102,0)</x:f>
        <x:v>0.038771243392219594</x:v>
      </x:c>
      <x:c r="I102" s="40" t="n">
        <x:f>IFERROR(SUMIFS('标准化长表'!$N$2:$N$3075,'标准化长表'!$J$2:$J$3075,$E102,'标准化长表'!$E$2:$E$3075,"建设用地")/SUMIFS('标准化长表'!$N$2:$N$3075,'标准化长表'!$E$2:$E$3075,"建设用地"),0)</x:f>
        <x:v>0.030597076519092263</x:v>
      </x:c>
      <x:c r="J102" s="50" t="n">
        <x:f>IFERROR(H102/I102,0)</x:f>
        <x:v>1.2671551600044775</x:v>
      </x:c>
    </x:row>
    <x:row r="103">
      <x:c r="A103" s="21" t="n">
        <x:v>350500</x:v>
      </x:c>
      <x:c r="B103" s="22" t="str">
        <x:v>泉州市</x:v>
      </x:c>
      <x:c r="C103" s="22" t="n">
        <x:v>350581</x:v>
      </x:c>
      <x:c r="D103" s="22" t="str">
        <x:v>石狮市</x:v>
      </x:c>
      <x:c r="E103" s="22" t="str">
        <x:v>公共服务</x:v>
      </x:c>
      <x:c r="F103" s="33" t="n">
        <x:f>SUMIFS('标准化长表'!$N$2:$N$3075,'标准化长表'!$C$2:$C$3075,$C103,'标准化长表'!$J$2:$J$3075,$E103,'标准化长表'!$E$2:$E$3075,"建设用地")</x:f>
        <x:v>521.396359</x:v>
      </x:c>
      <x:c r="G103" s="33" t="n">
        <x:f>SUMIFS('标准化长表'!$N$2:$N$3075,'标准化长表'!$C$2:$C$3075,$C103,'标准化长表'!$E$2:$E$3075,"建设用地")</x:f>
        <x:v>9460.540619999998</x:v>
      </x:c>
      <x:c r="H103" s="40" t="n">
        <x:f>IFERROR(F103/G103,0)</x:f>
        <x:v>0.055112744603383994</x:v>
      </x:c>
      <x:c r="I103" s="40" t="n">
        <x:f>IFERROR(SUMIFS('标准化长表'!$N$2:$N$3075,'标准化长表'!$J$2:$J$3075,$E103,'标准化长表'!$E$2:$E$3075,"建设用地")/SUMIFS('标准化长表'!$N$2:$N$3075,'标准化长表'!$E$2:$E$3075,"建设用地"),0)</x:f>
        <x:v>0.042036176888757715</x:v>
      </x:c>
      <x:c r="J103" s="50" t="n">
        <x:f>IFERROR(H103/I103,0)</x:f>
        <x:v>1.3110789011386883</x:v>
      </x:c>
    </x:row>
    <x:row r="104">
      <x:c r="A104" s="21" t="n">
        <x:v>350500</x:v>
      </x:c>
      <x:c r="B104" s="22" t="str">
        <x:v>泉州市</x:v>
      </x:c>
      <x:c r="C104" s="22" t="n">
        <x:v>350581</x:v>
      </x:c>
      <x:c r="D104" s="22" t="str">
        <x:v>石狮市</x:v>
      </x:c>
      <x:c r="E104" s="22" t="str">
        <x:v>交通门户</x:v>
      </x:c>
      <x:c r="F104" s="33" t="n">
        <x:f>SUMIFS('标准化长表'!$N$2:$N$3075,'标准化长表'!$C$2:$C$3075,$C104,'标准化长表'!$J$2:$J$3075,$E104,'标准化长表'!$E$2:$E$3075,"建设用地")</x:f>
        <x:v>1969.9960600000002</x:v>
      </x:c>
      <x:c r="G104" s="33" t="n">
        <x:f>SUMIFS('标准化长表'!$N$2:$N$3075,'标准化长表'!$C$2:$C$3075,$C104,'标准化长表'!$E$2:$E$3075,"建设用地")</x:f>
        <x:v>9460.540619999998</x:v>
      </x:c>
      <x:c r="H104" s="40" t="n">
        <x:f>IFERROR(F104/G104,0)</x:f>
        <x:v>0.20823292654495262</x:v>
      </x:c>
      <x:c r="I104" s="40" t="n">
        <x:f>IFERROR(SUMIFS('标准化长表'!$N$2:$N$3075,'标准化长表'!$J$2:$J$3075,$E104,'标准化长表'!$E$2:$E$3075,"建设用地")/SUMIFS('标准化长表'!$N$2:$N$3075,'标准化长表'!$E$2:$E$3075,"建设用地"),0)</x:f>
        <x:v>0.1936476595437284</x:v>
      </x:c>
      <x:c r="J104" s="50" t="n">
        <x:f>IFERROR(H104/I104,0)</x:f>
        <x:v>1.0753185813636477</x:v>
      </x:c>
    </x:row>
    <x:row r="105">
      <x:c r="A105" s="21" t="n">
        <x:v>350500</x:v>
      </x:c>
      <x:c r="B105" s="22" t="str">
        <x:v>泉州市</x:v>
      </x:c>
      <x:c r="C105" s="22" t="n">
        <x:v>350581</x:v>
      </x:c>
      <x:c r="D105" s="22" t="str">
        <x:v>石狮市</x:v>
      </x:c>
      <x:c r="E105" s="22" t="str">
        <x:v>公共空间</x:v>
      </x:c>
      <x:c r="F105" s="33" t="n">
        <x:f>SUMIFS('标准化长表'!$N$2:$N$3075,'标准化长表'!$C$2:$C$3075,$C105,'标准化长表'!$J$2:$J$3075,$E105,'标准化长表'!$E$2:$E$3075,"建设用地")</x:f>
        <x:v>182.640264</x:v>
      </x:c>
      <x:c r="G105" s="33" t="n">
        <x:f>SUMIFS('标准化长表'!$N$2:$N$3075,'标准化长表'!$C$2:$C$3075,$C105,'标准化长表'!$E$2:$E$3075,"建设用地")</x:f>
        <x:v>9460.540619999998</x:v>
      </x:c>
      <x:c r="H105" s="40" t="n">
        <x:f>IFERROR(F105/G105,0)</x:f>
        <x:v>0.01930547854885697</x:v>
      </x:c>
      <x:c r="I105" s="40" t="n">
        <x:f>IFERROR(SUMIFS('标准化长表'!$N$2:$N$3075,'标准化长表'!$J$2:$J$3075,$E105,'标准化长表'!$E$2:$E$3075,"建设用地")/SUMIFS('标准化长表'!$N$2:$N$3075,'标准化长表'!$E$2:$E$3075,"建设用地"),0)</x:f>
        <x:v>0.013901166268963908</x:v>
      </x:c>
      <x:c r="J105" s="50" t="n">
        <x:f>IFERROR(H105/I105,0)</x:f>
        <x:v>1.3887668254108194</x:v>
      </x:c>
    </x:row>
    <x:row r="106">
      <x:c r="A106" s="21" t="n">
        <x:v>350500</x:v>
      </x:c>
      <x:c r="B106" s="22" t="str">
        <x:v>泉州市</x:v>
      </x:c>
      <x:c r="C106" s="22" t="n">
        <x:v>350581</x:v>
      </x:c>
      <x:c r="D106" s="22" t="str">
        <x:v>石狮市</x:v>
      </x:c>
      <x:c r="E106" s="22" t="str">
        <x:v>其他建设</x:v>
      </x:c>
      <x:c r="F106" s="33" t="n">
        <x:f>SUMIFS('标准化长表'!$N$2:$N$3075,'标准化长表'!$C$2:$C$3075,$C106,'标准化长表'!$J$2:$J$3075,$E106,'标准化长表'!$E$2:$E$3075,"建设用地")</x:f>
        <x:v>653.5582670000003</x:v>
      </x:c>
      <x:c r="G106" s="33" t="n">
        <x:f>SUMIFS('标准化长表'!$N$2:$N$3075,'标准化长表'!$C$2:$C$3075,$C106,'标准化长表'!$E$2:$E$3075,"建设用地")</x:f>
        <x:v>9460.540619999998</x:v>
      </x:c>
      <x:c r="H106" s="40" t="n">
        <x:f>IFERROR(F106/G106,0)</x:f>
        <x:v>0.0690825496397478</x:v>
      </x:c>
      <x:c r="I106" s="40" t="n">
        <x:f>IFERROR(SUMIFS('标准化长表'!$N$2:$N$3075,'标准化长表'!$J$2:$J$3075,$E106,'标准化长表'!$E$2:$E$3075,"建设用地")/SUMIFS('标准化长表'!$N$2:$N$3075,'标准化长表'!$E$2:$E$3075,"建设用地"),0)</x:f>
        <x:v>0.04770007793470843</x:v>
      </x:c>
      <x:c r="J106" s="50" t="n">
        <x:f>IFERROR(H106/I106,0)</x:f>
        <x:v>1.4482691146607258</x:v>
      </x:c>
    </x:row>
    <x:row r="107">
      <x:c r="A107" s="21" t="n">
        <x:v>350500</x:v>
      </x:c>
      <x:c r="B107" s="22" t="str">
        <x:v>泉州市</x:v>
      </x:c>
      <x:c r="C107" s="22" t="n">
        <x:v>350582</x:v>
      </x:c>
      <x:c r="D107" s="22" t="str">
        <x:v>晋江市</x:v>
      </x:c>
      <x:c r="E107" s="22" t="str">
        <x:v>居住功能</x:v>
      </x:c>
      <x:c r="F107" s="33" t="n">
        <x:f>SUMIFS('标准化长表'!$N$2:$N$3075,'标准化长表'!$C$2:$C$3075,$C107,'标准化长表'!$J$2:$J$3075,$E107,'标准化长表'!$E$2:$E$3075,"建设用地")</x:f>
        <x:v>14377.036048999944</x:v>
      </x:c>
      <x:c r="G107" s="33" t="n">
        <x:f>SUMIFS('标准化长表'!$N$2:$N$3075,'标准化长表'!$C$2:$C$3075,$C107,'标准化长表'!$E$2:$E$3075,"建设用地")</x:f>
        <x:v>35019.20438199994</x:v>
      </x:c>
      <x:c r="H107" s="40" t="n">
        <x:f>IFERROR(F107/G107,0)</x:f>
        <x:v>0.410547192682362</x:v>
      </x:c>
      <x:c r="I107" s="40" t="n">
        <x:f>IFERROR(SUMIFS('标准化长表'!$N$2:$N$3075,'标准化长表'!$J$2:$J$3075,$E107,'标准化长表'!$E$2:$E$3075,"建设用地")/SUMIFS('标准化长表'!$N$2:$N$3075,'标准化长表'!$E$2:$E$3075,"建设用地"),0)</x:f>
        <x:v>0.4520331968015951</x:v>
      </x:c>
      <x:c r="J107" s="50" t="n">
        <x:f>IFERROR(H107/I107,0)</x:f>
        <x:v>0.9082235454989338</x:v>
      </x:c>
    </x:row>
    <x:row r="108">
      <x:c r="A108" s="21" t="n">
        <x:v>350500</x:v>
      </x:c>
      <x:c r="B108" s="22" t="str">
        <x:v>泉州市</x:v>
      </x:c>
      <x:c r="C108" s="22" t="n">
        <x:v>350582</x:v>
      </x:c>
      <x:c r="D108" s="22" t="str">
        <x:v>晋江市</x:v>
      </x:c>
      <x:c r="E108" s="22" t="str">
        <x:v>产业功能</x:v>
      </x:c>
      <x:c r="F108" s="33" t="n">
        <x:f>SUMIFS('标准化长表'!$N$2:$N$3075,'标准化长表'!$C$2:$C$3075,$C108,'标准化长表'!$J$2:$J$3075,$E108,'标准化长表'!$E$2:$E$3075,"建设用地")</x:f>
        <x:v>9913.324835999996</x:v>
      </x:c>
      <x:c r="G108" s="33" t="n">
        <x:f>SUMIFS('标准化长表'!$N$2:$N$3075,'标准化长表'!$C$2:$C$3075,$C108,'标准化长表'!$E$2:$E$3075,"建设用地")</x:f>
        <x:v>35019.20438199994</x:v>
      </x:c>
      <x:c r="H108" s="40" t="n">
        <x:f>IFERROR(F108/G108,0)</x:f>
        <x:v>0.2830825260295034</x:v>
      </x:c>
      <x:c r="I108" s="40" t="n">
        <x:f>IFERROR(SUMIFS('标准化长表'!$N$2:$N$3075,'标准化长表'!$J$2:$J$3075,$E108,'标准化长表'!$E$2:$E$3075,"建设用地")/SUMIFS('标准化长表'!$N$2:$N$3075,'标准化长表'!$E$2:$E$3075,"建设用地"),0)</x:f>
        <x:v>0.2200846460431537</x:v>
      </x:c>
      <x:c r="J108" s="50" t="n">
        <x:f>IFERROR(H108/I108,0)</x:f>
        <x:v>1.2862438662531561</x:v>
      </x:c>
    </x:row>
    <x:row r="109">
      <x:c r="A109" s="21" t="n">
        <x:v>350500</x:v>
      </x:c>
      <x:c r="B109" s="22" t="str">
        <x:v>泉州市</x:v>
      </x:c>
      <x:c r="C109" s="22" t="n">
        <x:v>350582</x:v>
      </x:c>
      <x:c r="D109" s="22" t="str">
        <x:v>晋江市</x:v>
      </x:c>
      <x:c r="E109" s="22" t="str">
        <x:v>商业服务</x:v>
      </x:c>
      <x:c r="F109" s="33" t="n">
        <x:f>SUMIFS('标准化长表'!$N$2:$N$3075,'标准化长表'!$C$2:$C$3075,$C109,'标准化长表'!$J$2:$J$3075,$E109,'标准化长表'!$E$2:$E$3075,"建设用地")</x:f>
        <x:v>1166.8627699999993</x:v>
      </x:c>
      <x:c r="G109" s="33" t="n">
        <x:f>SUMIFS('标准化长表'!$N$2:$N$3075,'标准化长表'!$C$2:$C$3075,$C109,'标准化长表'!$E$2:$E$3075,"建设用地")</x:f>
        <x:v>35019.20438199994</x:v>
      </x:c>
      <x:c r="H109" s="40" t="n">
        <x:f>IFERROR(F109/G109,0)</x:f>
        <x:v>0.03332065335555633</x:v>
      </x:c>
      <x:c r="I109" s="40" t="n">
        <x:f>IFERROR(SUMIFS('标准化长表'!$N$2:$N$3075,'标准化长表'!$J$2:$J$3075,$E109,'标准化长表'!$E$2:$E$3075,"建设用地")/SUMIFS('标准化长表'!$N$2:$N$3075,'标准化长表'!$E$2:$E$3075,"建设用地"),0)</x:f>
        <x:v>0.030597076519092263</x:v>
      </x:c>
      <x:c r="J109" s="50" t="n">
        <x:f>IFERROR(H109/I109,0)</x:f>
        <x:v>1.0890142832686838</x:v>
      </x:c>
    </x:row>
    <x:row r="110">
      <x:c r="A110" s="21" t="n">
        <x:v>350500</x:v>
      </x:c>
      <x:c r="B110" s="22" t="str">
        <x:v>泉州市</x:v>
      </x:c>
      <x:c r="C110" s="22" t="n">
        <x:v>350582</x:v>
      </x:c>
      <x:c r="D110" s="22" t="str">
        <x:v>晋江市</x:v>
      </x:c>
      <x:c r="E110" s="22" t="str">
        <x:v>公共服务</x:v>
      </x:c>
      <x:c r="F110" s="33" t="n">
        <x:f>SUMIFS('标准化长表'!$N$2:$N$3075,'标准化长表'!$C$2:$C$3075,$C110,'标准化长表'!$J$2:$J$3075,$E110,'标准化长表'!$E$2:$E$3075,"建设用地")</x:f>
        <x:v>1358.3300490000008</x:v>
      </x:c>
      <x:c r="G110" s="33" t="n">
        <x:f>SUMIFS('标准化长表'!$N$2:$N$3075,'标准化长表'!$C$2:$C$3075,$C110,'标准化长表'!$E$2:$E$3075,"建设用地")</x:f>
        <x:v>35019.20438199994</x:v>
      </x:c>
      <x:c r="H110" s="40" t="n">
        <x:f>IFERROR(F110/G110,0)</x:f>
        <x:v>0.03878814704591604</x:v>
      </x:c>
      <x:c r="I110" s="40" t="n">
        <x:f>IFERROR(SUMIFS('标准化长表'!$N$2:$N$3075,'标准化长表'!$J$2:$J$3075,$E110,'标准化长表'!$E$2:$E$3075,"建设用地")/SUMIFS('标准化长表'!$N$2:$N$3075,'标准化长表'!$E$2:$E$3075,"建设用地"),0)</x:f>
        <x:v>0.042036176888757715</x:v>
      </x:c>
      <x:c r="J110" s="50" t="n">
        <x:f>IFERROR(H110/I110,0)</x:f>
        <x:v>0.9227325108218787</x:v>
      </x:c>
    </x:row>
    <x:row r="111">
      <x:c r="A111" s="21" t="n">
        <x:v>350500</x:v>
      </x:c>
      <x:c r="B111" s="22" t="str">
        <x:v>泉州市</x:v>
      </x:c>
      <x:c r="C111" s="22" t="n">
        <x:v>350582</x:v>
      </x:c>
      <x:c r="D111" s="22" t="str">
        <x:v>晋江市</x:v>
      </x:c>
      <x:c r="E111" s="22" t="str">
        <x:v>交通门户</x:v>
      </x:c>
      <x:c r="F111" s="33" t="n">
        <x:f>SUMIFS('标准化长表'!$N$2:$N$3075,'标准化长表'!$C$2:$C$3075,$C111,'标准化长表'!$J$2:$J$3075,$E111,'标准化长表'!$E$2:$E$3075,"建设用地")</x:f>
        <x:v>5999.579541999995</x:v>
      </x:c>
      <x:c r="G111" s="33" t="n">
        <x:f>SUMIFS('标准化长表'!$N$2:$N$3075,'标准化长表'!$C$2:$C$3075,$C111,'标准化长表'!$E$2:$E$3075,"建设用地")</x:f>
        <x:v>35019.20438199994</x:v>
      </x:c>
      <x:c r="H111" s="40" t="n">
        <x:f>IFERROR(F111/G111,0)</x:f>
        <x:v>0.17132255423495032</x:v>
      </x:c>
      <x:c r="I111" s="40" t="n">
        <x:f>IFERROR(SUMIFS('标准化长表'!$N$2:$N$3075,'标准化长表'!$J$2:$J$3075,$E111,'标准化长表'!$E$2:$E$3075,"建设用地")/SUMIFS('标准化长表'!$N$2:$N$3075,'标准化长表'!$E$2:$E$3075,"建设用地"),0)</x:f>
        <x:v>0.1936476595437284</x:v>
      </x:c>
      <x:c r="J111" s="50" t="n">
        <x:f>IFERROR(H111/I111,0)</x:f>
        <x:v>0.8847127542807366</x:v>
      </x:c>
    </x:row>
    <x:row r="112">
      <x:c r="A112" s="21" t="n">
        <x:v>350500</x:v>
      </x:c>
      <x:c r="B112" s="22" t="str">
        <x:v>泉州市</x:v>
      </x:c>
      <x:c r="C112" s="22" t="n">
        <x:v>350582</x:v>
      </x:c>
      <x:c r="D112" s="22" t="str">
        <x:v>晋江市</x:v>
      </x:c>
      <x:c r="E112" s="22" t="str">
        <x:v>公共空间</x:v>
      </x:c>
      <x:c r="F112" s="33" t="n">
        <x:f>SUMIFS('标准化长表'!$N$2:$N$3075,'标准化长表'!$C$2:$C$3075,$C112,'标准化长表'!$J$2:$J$3075,$E112,'标准化长表'!$E$2:$E$3075,"建设用地")</x:f>
        <x:v>565.55295</x:v>
      </x:c>
      <x:c r="G112" s="33" t="n">
        <x:f>SUMIFS('标准化长表'!$N$2:$N$3075,'标准化长表'!$C$2:$C$3075,$C112,'标准化长表'!$E$2:$E$3075,"建设用地")</x:f>
        <x:v>35019.20438199994</x:v>
      </x:c>
      <x:c r="H112" s="40" t="n">
        <x:f>IFERROR(F112/G112,0)</x:f>
        <x:v>0.016149794376559203</x:v>
      </x:c>
      <x:c r="I112" s="40" t="n">
        <x:f>IFERROR(SUMIFS('标准化长表'!$N$2:$N$3075,'标准化长表'!$J$2:$J$3075,$E112,'标准化长表'!$E$2:$E$3075,"建设用地")/SUMIFS('标准化长表'!$N$2:$N$3075,'标准化长表'!$E$2:$E$3075,"建设用地"),0)</x:f>
        <x:v>0.013901166268963908</x:v>
      </x:c>
      <x:c r="J112" s="50" t="n">
        <x:f>IFERROR(H112/I112,0)</x:f>
        <x:v>1.1617582340997992</x:v>
      </x:c>
    </x:row>
    <x:row r="113">
      <x:c r="A113" s="21" t="n">
        <x:v>350500</x:v>
      </x:c>
      <x:c r="B113" s="22" t="str">
        <x:v>泉州市</x:v>
      </x:c>
      <x:c r="C113" s="22" t="n">
        <x:v>350582</x:v>
      </x:c>
      <x:c r="D113" s="22" t="str">
        <x:v>晋江市</x:v>
      </x:c>
      <x:c r="E113" s="22" t="str">
        <x:v>其他建设</x:v>
      </x:c>
      <x:c r="F113" s="33" t="n">
        <x:f>SUMIFS('标准化长表'!$N$2:$N$3075,'标准化长表'!$C$2:$C$3075,$C113,'标准化长表'!$J$2:$J$3075,$E113,'标准化长表'!$E$2:$E$3075,"建设用地")</x:f>
        <x:v>1638.5181860000005</x:v>
      </x:c>
      <x:c r="G113" s="33" t="n">
        <x:f>SUMIFS('标准化长表'!$N$2:$N$3075,'标准化长表'!$C$2:$C$3075,$C113,'标准化长表'!$E$2:$E$3075,"建设用地")</x:f>
        <x:v>35019.20438199994</x:v>
      </x:c>
      <x:c r="H113" s="40" t="n">
        <x:f>IFERROR(F113/G113,0)</x:f>
        <x:v>0.046789132275152655</x:v>
      </x:c>
      <x:c r="I113" s="40" t="n">
        <x:f>IFERROR(SUMIFS('标准化长表'!$N$2:$N$3075,'标准化长表'!$J$2:$J$3075,$E113,'标准化长表'!$E$2:$E$3075,"建设用地")/SUMIFS('标准化长表'!$N$2:$N$3075,'标准化长表'!$E$2:$E$3075,"建设用地"),0)</x:f>
        <x:v>0.04770007793470843</x:v>
      </x:c>
      <x:c r="J113" s="50" t="n">
        <x:f>IFERROR(H113/I113,0)</x:f>
        <x:v>0.9809026379201587</x:v>
      </x:c>
    </x:row>
    <x:row r="114">
      <x:c r="A114" s="21" t="n">
        <x:v>350500</x:v>
      </x:c>
      <x:c r="B114" s="22" t="str">
        <x:v>泉州市</x:v>
      </x:c>
      <x:c r="C114" s="22" t="n">
        <x:v>350583</x:v>
      </x:c>
      <x:c r="D114" s="22" t="str">
        <x:v>南安市</x:v>
      </x:c>
      <x:c r="E114" s="22" t="str">
        <x:v>居住功能</x:v>
      </x:c>
      <x:c r="F114" s="33" t="n">
        <x:f>SUMIFS('标准化长表'!$N$2:$N$3075,'标准化长表'!$C$2:$C$3075,$C114,'标准化长表'!$J$2:$J$3075,$E114,'标准化长表'!$E$2:$E$3075,"建设用地")</x:f>
        <x:v>20735.617971000043</x:v>
      </x:c>
      <x:c r="G114" s="33" t="n">
        <x:f>SUMIFS('标准化长表'!$N$2:$N$3075,'标准化长表'!$C$2:$C$3075,$C114,'标准化长表'!$E$2:$E$3075,"建设用地")</x:f>
        <x:v>39551.37394400006</x:v>
      </x:c>
      <x:c r="H114" s="40" t="n">
        <x:f>IFERROR(F114/G114,0)</x:f>
        <x:v>0.5242704842658351</x:v>
      </x:c>
      <x:c r="I114" s="40" t="n">
        <x:f>IFERROR(SUMIFS('标准化长表'!$N$2:$N$3075,'标准化长表'!$J$2:$J$3075,$E114,'标准化长表'!$E$2:$E$3075,"建设用地")/SUMIFS('标准化长表'!$N$2:$N$3075,'标准化长表'!$E$2:$E$3075,"建设用地"),0)</x:f>
        <x:v>0.4520331968015951</x:v>
      </x:c>
      <x:c r="J114" s="50" t="n">
        <x:f>IFERROR(H114/I114,0)</x:f>
        <x:v>1.1598052708857711</x:v>
      </x:c>
    </x:row>
    <x:row r="115">
      <x:c r="A115" s="21" t="n">
        <x:v>350500</x:v>
      </x:c>
      <x:c r="B115" s="22" t="str">
        <x:v>泉州市</x:v>
      </x:c>
      <x:c r="C115" s="22" t="n">
        <x:v>350583</x:v>
      </x:c>
      <x:c r="D115" s="22" t="str">
        <x:v>南安市</x:v>
      </x:c>
      <x:c r="E115" s="22" t="str">
        <x:v>产业功能</x:v>
      </x:c>
      <x:c r="F115" s="33" t="n">
        <x:f>SUMIFS('标准化长表'!$N$2:$N$3075,'标准化长表'!$C$2:$C$3075,$C115,'标准化长表'!$J$2:$J$3075,$E115,'标准化长表'!$E$2:$E$3075,"建设用地")</x:f>
        <x:v>9883.057629</x:v>
      </x:c>
      <x:c r="G115" s="33" t="n">
        <x:f>SUMIFS('标准化长表'!$N$2:$N$3075,'标准化长表'!$C$2:$C$3075,$C115,'标准化长表'!$E$2:$E$3075,"建设用地")</x:f>
        <x:v>39551.37394400006</x:v>
      </x:c>
      <x:c r="H115" s="40" t="n">
        <x:f>IFERROR(F115/G115,0)</x:f>
        <x:v>0.24987899644126674</x:v>
      </x:c>
      <x:c r="I115" s="40" t="n">
        <x:f>IFERROR(SUMIFS('标准化长表'!$N$2:$N$3075,'标准化长表'!$J$2:$J$3075,$E115,'标准化长表'!$E$2:$E$3075,"建设用地")/SUMIFS('标准化长表'!$N$2:$N$3075,'标准化长表'!$E$2:$E$3075,"建设用地"),0)</x:f>
        <x:v>0.2200846460431537</x:v>
      </x:c>
      <x:c r="J115" s="50" t="n">
        <x:f>IFERROR(H115/I115,0)</x:f>
        <x:v>1.135376778588503</x:v>
      </x:c>
    </x:row>
    <x:row r="116">
      <x:c r="A116" s="21" t="n">
        <x:v>350500</x:v>
      </x:c>
      <x:c r="B116" s="22" t="str">
        <x:v>泉州市</x:v>
      </x:c>
      <x:c r="C116" s="22" t="n">
        <x:v>350583</x:v>
      </x:c>
      <x:c r="D116" s="22" t="str">
        <x:v>南安市</x:v>
      </x:c>
      <x:c r="E116" s="22" t="str">
        <x:v>商业服务</x:v>
      </x:c>
      <x:c r="F116" s="33" t="n">
        <x:f>SUMIFS('标准化长表'!$N$2:$N$3075,'标准化长表'!$C$2:$C$3075,$C116,'标准化长表'!$J$2:$J$3075,$E116,'标准化长表'!$E$2:$E$3075,"建设用地")</x:f>
        <x:v>805.9362350000002</x:v>
      </x:c>
      <x:c r="G116" s="33" t="n">
        <x:f>SUMIFS('标准化长表'!$N$2:$N$3075,'标准化长表'!$C$2:$C$3075,$C116,'标准化长表'!$E$2:$E$3075,"建设用地")</x:f>
        <x:v>39551.37394400006</x:v>
      </x:c>
      <x:c r="H116" s="40" t="n">
        <x:f>IFERROR(F116/G116,0)</x:f>
        <x:v>0.020376946604714872</x:v>
      </x:c>
      <x:c r="I116" s="40" t="n">
        <x:f>IFERROR(SUMIFS('标准化长表'!$N$2:$N$3075,'标准化长表'!$J$2:$J$3075,$E116,'标准化长表'!$E$2:$E$3075,"建设用地")/SUMIFS('标准化长表'!$N$2:$N$3075,'标准化长表'!$E$2:$E$3075,"建设用地"),0)</x:f>
        <x:v>0.030597076519092263</x:v>
      </x:c>
      <x:c r="J116" s="50" t="n">
        <x:f>IFERROR(H116/I116,0)</x:f>
        <x:v>0.665976914232308</x:v>
      </x:c>
    </x:row>
    <x:row r="117">
      <x:c r="A117" s="21" t="n">
        <x:v>350500</x:v>
      </x:c>
      <x:c r="B117" s="22" t="str">
        <x:v>泉州市</x:v>
      </x:c>
      <x:c r="C117" s="22" t="n">
        <x:v>350583</x:v>
      </x:c>
      <x:c r="D117" s="22" t="str">
        <x:v>南安市</x:v>
      </x:c>
      <x:c r="E117" s="22" t="str">
        <x:v>公共服务</x:v>
      </x:c>
      <x:c r="F117" s="33" t="n">
        <x:f>SUMIFS('标准化长表'!$N$2:$N$3075,'标准化长表'!$C$2:$C$3075,$C117,'标准化长表'!$J$2:$J$3075,$E117,'标准化长表'!$E$2:$E$3075,"建设用地")</x:f>
        <x:v>1059.526821</x:v>
      </x:c>
      <x:c r="G117" s="33" t="n">
        <x:f>SUMIFS('标准化长表'!$N$2:$N$3075,'标准化长表'!$C$2:$C$3075,$C117,'标准化长表'!$E$2:$E$3075,"建设用地")</x:f>
        <x:v>39551.37394400006</x:v>
      </x:c>
      <x:c r="H117" s="40" t="n">
        <x:f>IFERROR(F117/G117,0)</x:f>
        <x:v>0.0267886223750447</x:v>
      </x:c>
      <x:c r="I117" s="40" t="n">
        <x:f>IFERROR(SUMIFS('标准化长表'!$N$2:$N$3075,'标准化长表'!$J$2:$J$3075,$E117,'标准化长表'!$E$2:$E$3075,"建设用地")/SUMIFS('标准化长表'!$N$2:$N$3075,'标准化长表'!$E$2:$E$3075,"建设用地"),0)</x:f>
        <x:v>0.042036176888757715</x:v>
      </x:c>
      <x:c r="J117" s="50" t="n">
        <x:f>IFERROR(H117/I117,0)</x:f>
        <x:v>0.6372754222139819</x:v>
      </x:c>
    </x:row>
    <x:row r="118">
      <x:c r="A118" s="21" t="n">
        <x:v>350500</x:v>
      </x:c>
      <x:c r="B118" s="22" t="str">
        <x:v>泉州市</x:v>
      </x:c>
      <x:c r="C118" s="22" t="n">
        <x:v>350583</x:v>
      </x:c>
      <x:c r="D118" s="22" t="str">
        <x:v>南安市</x:v>
      </x:c>
      <x:c r="E118" s="22" t="str">
        <x:v>交通门户</x:v>
      </x:c>
      <x:c r="F118" s="33" t="n">
        <x:f>SUMIFS('标准化长表'!$N$2:$N$3075,'标准化长表'!$C$2:$C$3075,$C118,'标准化长表'!$J$2:$J$3075,$E118,'标准化长表'!$E$2:$E$3075,"建设用地")</x:f>
        <x:v>5029.238099999998</x:v>
      </x:c>
      <x:c r="G118" s="33" t="n">
        <x:f>SUMIFS('标准化长表'!$N$2:$N$3075,'标准化长表'!$C$2:$C$3075,$C118,'标准化长表'!$E$2:$E$3075,"建设用地")</x:f>
        <x:v>39551.37394400006</x:v>
      </x:c>
      <x:c r="H118" s="40" t="n">
        <x:f>IFERROR(F118/G118,0)</x:f>
        <x:v>0.12715710223166427</x:v>
      </x:c>
      <x:c r="I118" s="40" t="n">
        <x:f>IFERROR(SUMIFS('标准化长表'!$N$2:$N$3075,'标准化长表'!$J$2:$J$3075,$E118,'标准化长表'!$E$2:$E$3075,"建设用地")/SUMIFS('标准化长表'!$N$2:$N$3075,'标准化长表'!$E$2:$E$3075,"建设用地"),0)</x:f>
        <x:v>0.1936476595437284</x:v>
      </x:c>
      <x:c r="J118" s="50" t="n">
        <x:f>IFERROR(H118/I118,0)</x:f>
        <x:v>0.656641565053103</x:v>
      </x:c>
    </x:row>
    <x:row r="119">
      <x:c r="A119" s="21" t="n">
        <x:v>350500</x:v>
      </x:c>
      <x:c r="B119" s="22" t="str">
        <x:v>泉州市</x:v>
      </x:c>
      <x:c r="C119" s="22" t="n">
        <x:v>350583</x:v>
      </x:c>
      <x:c r="D119" s="22" t="str">
        <x:v>南安市</x:v>
      </x:c>
      <x:c r="E119" s="22" t="str">
        <x:v>公共空间</x:v>
      </x:c>
      <x:c r="F119" s="33" t="n">
        <x:f>SUMIFS('标准化长表'!$N$2:$N$3075,'标准化长表'!$C$2:$C$3075,$C119,'标准化长表'!$J$2:$J$3075,$E119,'标准化长表'!$E$2:$E$3075,"建设用地")</x:f>
        <x:v>150.499348</x:v>
      </x:c>
      <x:c r="G119" s="33" t="n">
        <x:f>SUMIFS('标准化长表'!$N$2:$N$3075,'标准化长表'!$C$2:$C$3075,$C119,'标准化长表'!$E$2:$E$3075,"建设用地")</x:f>
        <x:v>39551.37394400006</x:v>
      </x:c>
      <x:c r="H119" s="40" t="n">
        <x:f>IFERROR(F119/G119,0)</x:f>
        <x:v>0.0038051610599694665</x:v>
      </x:c>
      <x:c r="I119" s="40" t="n">
        <x:f>IFERROR(SUMIFS('标准化长表'!$N$2:$N$3075,'标准化长表'!$J$2:$J$3075,$E119,'标准化长表'!$E$2:$E$3075,"建设用地")/SUMIFS('标准化长表'!$N$2:$N$3075,'标准化长表'!$E$2:$E$3075,"建设用地"),0)</x:f>
        <x:v>0.013901166268963908</x:v>
      </x:c>
      <x:c r="J119" s="50" t="n">
        <x:f>IFERROR(H119/I119,0)</x:f>
        <x:v>0.2737296271655253</x:v>
      </x:c>
    </x:row>
    <x:row r="120">
      <x:c r="A120" s="21" t="n">
        <x:v>350500</x:v>
      </x:c>
      <x:c r="B120" s="22" t="str">
        <x:v>泉州市</x:v>
      </x:c>
      <x:c r="C120" s="22" t="n">
        <x:v>350583</x:v>
      </x:c>
      <x:c r="D120" s="22" t="str">
        <x:v>南安市</x:v>
      </x:c>
      <x:c r="E120" s="22" t="str">
        <x:v>其他建设</x:v>
      </x:c>
      <x:c r="F120" s="33" t="n">
        <x:f>SUMIFS('标准化长表'!$N$2:$N$3075,'标准化长表'!$C$2:$C$3075,$C120,'标准化长表'!$J$2:$J$3075,$E120,'标准化长表'!$E$2:$E$3075,"建设用地")</x:f>
        <x:v>1887.4978400000005</x:v>
      </x:c>
      <x:c r="G120" s="33" t="n">
        <x:f>SUMIFS('标准化长表'!$N$2:$N$3075,'标准化长表'!$C$2:$C$3075,$C120,'标准化长表'!$E$2:$E$3075,"建设用地")</x:f>
        <x:v>39551.37394400006</x:v>
      </x:c>
      <x:c r="H120" s="40" t="n">
        <x:f>IFERROR(F120/G120,0)</x:f>
        <x:v>0.047722687021504444</x:v>
      </x:c>
      <x:c r="I120" s="40" t="n">
        <x:f>IFERROR(SUMIFS('标准化长表'!$N$2:$N$3075,'标准化长表'!$J$2:$J$3075,$E120,'标准化长表'!$E$2:$E$3075,"建设用地")/SUMIFS('标准化长表'!$N$2:$N$3075,'标准化长表'!$E$2:$E$3075,"建设用地"),0)</x:f>
        <x:v>0.04770007793470843</x:v>
      </x:c>
      <x:c r="J120" s="50" t="n">
        <x:f>IFERROR(H120/I120,0)</x:f>
        <x:v>1.0004739842737147</x:v>
      </x:c>
    </x:row>
    <x:row r="121">
      <x:c r="A121" s="21" t="n">
        <x:v>350600</x:v>
      </x:c>
      <x:c r="B121" s="22" t="str">
        <x:v>漳州市</x:v>
      </x:c>
      <x:c r="C121" s="22" t="n">
        <x:v>350602</x:v>
      </x:c>
      <x:c r="D121" s="22" t="str">
        <x:v>芗城区</x:v>
      </x:c>
      <x:c r="E121" s="22" t="str">
        <x:v>居住功能</x:v>
      </x:c>
      <x:c r="F121" s="33" t="n">
        <x:f>SUMIFS('标准化长表'!$N$2:$N$3075,'标准化长表'!$C$2:$C$3075,$C121,'标准化长表'!$J$2:$J$3075,$E121,'标准化长表'!$E$2:$E$3075,"建设用地")</x:f>
        <x:v>2642.353566</x:v>
      </x:c>
      <x:c r="G121" s="33" t="n">
        <x:f>SUMIFS('标准化长表'!$N$2:$N$3075,'标准化长表'!$C$2:$C$3075,$C121,'标准化长表'!$E$2:$E$3075,"建设用地")</x:f>
        <x:v>7397.810839999998</x:v>
      </x:c>
      <x:c r="H121" s="40" t="n">
        <x:f>IFERROR(F121/G121,0)</x:f>
        <x:v>0.3571804717840015</x:v>
      </x:c>
      <x:c r="I121" s="40" t="n">
        <x:f>IFERROR(SUMIFS('标准化长表'!$N$2:$N$3075,'标准化长表'!$J$2:$J$3075,$E121,'标准化长表'!$E$2:$E$3075,"建设用地")/SUMIFS('标准化长表'!$N$2:$N$3075,'标准化长表'!$E$2:$E$3075,"建设用地"),0)</x:f>
        <x:v>0.4520331968015951</x:v>
      </x:c>
      <x:c r="J121" s="50" t="n">
        <x:f>IFERROR(H121/I121,0)</x:f>
        <x:v>0.7901642496862326</x:v>
      </x:c>
    </x:row>
    <x:row r="122">
      <x:c r="A122" s="21" t="n">
        <x:v>350600</x:v>
      </x:c>
      <x:c r="B122" s="22" t="str">
        <x:v>漳州市</x:v>
      </x:c>
      <x:c r="C122" s="22" t="n">
        <x:v>350602</x:v>
      </x:c>
      <x:c r="D122" s="22" t="str">
        <x:v>芗城区</x:v>
      </x:c>
      <x:c r="E122" s="22" t="str">
        <x:v>产业功能</x:v>
      </x:c>
      <x:c r="F122" s="33" t="n">
        <x:f>SUMIFS('标准化长表'!$N$2:$N$3075,'标准化长表'!$C$2:$C$3075,$C122,'标准化长表'!$J$2:$J$3075,$E122,'标准化长表'!$E$2:$E$3075,"建设用地")</x:f>
        <x:v>1913.2966989999986</x:v>
      </x:c>
      <x:c r="G122" s="33" t="n">
        <x:f>SUMIFS('标准化长表'!$N$2:$N$3075,'标准化长表'!$C$2:$C$3075,$C122,'标准化长表'!$E$2:$E$3075,"建设用地")</x:f>
        <x:v>7397.810839999998</x:v>
      </x:c>
      <x:c r="H122" s="40" t="n">
        <x:f>IFERROR(F122/G122,0)</x:f>
        <x:v>0.2586301191502213</x:v>
      </x:c>
      <x:c r="I122" s="40" t="n">
        <x:f>IFERROR(SUMIFS('标准化长表'!$N$2:$N$3075,'标准化长表'!$J$2:$J$3075,$E122,'标准化长表'!$E$2:$E$3075,"建设用地")/SUMIFS('标准化长表'!$N$2:$N$3075,'标准化长表'!$E$2:$E$3075,"建设用地"),0)</x:f>
        <x:v>0.2200846460431537</x:v>
      </x:c>
      <x:c r="J122" s="50" t="n">
        <x:f>IFERROR(H122/I122,0)</x:f>
        <x:v>1.1751393102611516</x:v>
      </x:c>
    </x:row>
    <x:row r="123">
      <x:c r="A123" s="21" t="n">
        <x:v>350600</x:v>
      </x:c>
      <x:c r="B123" s="22" t="str">
        <x:v>漳州市</x:v>
      </x:c>
      <x:c r="C123" s="22" t="n">
        <x:v>350602</x:v>
      </x:c>
      <x:c r="D123" s="22" t="str">
        <x:v>芗城区</x:v>
      </x:c>
      <x:c r="E123" s="22" t="str">
        <x:v>商业服务</x:v>
      </x:c>
      <x:c r="F123" s="33" t="n">
        <x:f>SUMIFS('标准化长表'!$N$2:$N$3075,'标准化长表'!$C$2:$C$3075,$C123,'标准化长表'!$J$2:$J$3075,$E123,'标准化长表'!$E$2:$E$3075,"建设用地")</x:f>
        <x:v>302.011911</x:v>
      </x:c>
      <x:c r="G123" s="33" t="n">
        <x:f>SUMIFS('标准化长表'!$N$2:$N$3075,'标准化长表'!$C$2:$C$3075,$C123,'标准化长表'!$E$2:$E$3075,"建设用地")</x:f>
        <x:v>7397.810839999998</x:v>
      </x:c>
      <x:c r="H123" s="40" t="n">
        <x:f>IFERROR(F123/G123,0)</x:f>
        <x:v>0.04082449761583794</x:v>
      </x:c>
      <x:c r="I123" s="40" t="n">
        <x:f>IFERROR(SUMIFS('标准化长表'!$N$2:$N$3075,'标准化长表'!$J$2:$J$3075,$E123,'标准化长表'!$E$2:$E$3075,"建设用地")/SUMIFS('标准化长表'!$N$2:$N$3075,'标准化长表'!$E$2:$E$3075,"建设用地"),0)</x:f>
        <x:v>0.030597076519092263</x:v>
      </x:c>
      <x:c r="J123" s="50" t="n">
        <x:f>IFERROR(H123/I123,0)</x:f>
        <x:v>1.3342613824678273</x:v>
      </x:c>
    </x:row>
    <x:row r="124">
      <x:c r="A124" s="21" t="n">
        <x:v>350600</x:v>
      </x:c>
      <x:c r="B124" s="22" t="str">
        <x:v>漳州市</x:v>
      </x:c>
      <x:c r="C124" s="22" t="n">
        <x:v>350602</x:v>
      </x:c>
      <x:c r="D124" s="22" t="str">
        <x:v>芗城区</x:v>
      </x:c>
      <x:c r="E124" s="22" t="str">
        <x:v>公共服务</x:v>
      </x:c>
      <x:c r="F124" s="33" t="n">
        <x:f>SUMIFS('标准化长表'!$N$2:$N$3075,'标准化长表'!$C$2:$C$3075,$C124,'标准化长表'!$J$2:$J$3075,$E124,'标准化长表'!$E$2:$E$3075,"建设用地")</x:f>
        <x:v>480.6016200000001</x:v>
      </x:c>
      <x:c r="G124" s="33" t="n">
        <x:f>SUMIFS('标准化长表'!$N$2:$N$3075,'标准化长表'!$C$2:$C$3075,$C124,'标准化长表'!$E$2:$E$3075,"建设用地")</x:f>
        <x:v>7397.810839999998</x:v>
      </x:c>
      <x:c r="H124" s="40" t="n">
        <x:f>IFERROR(F124/G124,0)</x:f>
        <x:v>0.06496538373235834</x:v>
      </x:c>
      <x:c r="I124" s="40" t="n">
        <x:f>IFERROR(SUMIFS('标准化长表'!$N$2:$N$3075,'标准化长表'!$J$2:$J$3075,$E124,'标准化长表'!$E$2:$E$3075,"建设用地")/SUMIFS('标准化长表'!$N$2:$N$3075,'标准化长表'!$E$2:$E$3075,"建设用地"),0)</x:f>
        <x:v>0.042036176888757715</x:v>
      </x:c>
      <x:c r="J124" s="50" t="n">
        <x:f>IFERROR(H124/I124,0)</x:f>
        <x:v>1.5454636587023423</x:v>
      </x:c>
    </x:row>
    <x:row r="125">
      <x:c r="A125" s="21" t="n">
        <x:v>350600</x:v>
      </x:c>
      <x:c r="B125" s="22" t="str">
        <x:v>漳州市</x:v>
      </x:c>
      <x:c r="C125" s="22" t="n">
        <x:v>350602</x:v>
      </x:c>
      <x:c r="D125" s="22" t="str">
        <x:v>芗城区</x:v>
      </x:c>
      <x:c r="E125" s="22" t="str">
        <x:v>交通门户</x:v>
      </x:c>
      <x:c r="F125" s="33" t="n">
        <x:f>SUMIFS('标准化长表'!$N$2:$N$3075,'标准化长表'!$C$2:$C$3075,$C125,'标准化长表'!$J$2:$J$3075,$E125,'标准化长表'!$E$2:$E$3075,"建设用地")</x:f>
        <x:v>1299.5317440000006</x:v>
      </x:c>
      <x:c r="G125" s="33" t="n">
        <x:f>SUMIFS('标准化长表'!$N$2:$N$3075,'标准化长表'!$C$2:$C$3075,$C125,'标准化长表'!$E$2:$E$3075,"建设用地")</x:f>
        <x:v>7397.810839999998</x:v>
      </x:c>
      <x:c r="H125" s="40" t="n">
        <x:f>IFERROR(F125/G125,0)</x:f>
        <x:v>0.17566436505424365</x:v>
      </x:c>
      <x:c r="I125" s="40" t="n">
        <x:f>IFERROR(SUMIFS('标准化长表'!$N$2:$N$3075,'标准化长表'!$J$2:$J$3075,$E125,'标准化长表'!$E$2:$E$3075,"建设用地")/SUMIFS('标准化长表'!$N$2:$N$3075,'标准化长表'!$E$2:$E$3075,"建设用地"),0)</x:f>
        <x:v>0.1936476595437284</x:v>
      </x:c>
      <x:c r="J125" s="50" t="n">
        <x:f>IFERROR(H125/I125,0)</x:f>
        <x:v>0.9071339435144381</x:v>
      </x:c>
    </x:row>
    <x:row r="126">
      <x:c r="A126" s="21" t="n">
        <x:v>350600</x:v>
      </x:c>
      <x:c r="B126" s="22" t="str">
        <x:v>漳州市</x:v>
      </x:c>
      <x:c r="C126" s="22" t="n">
        <x:v>350602</x:v>
      </x:c>
      <x:c r="D126" s="22" t="str">
        <x:v>芗城区</x:v>
      </x:c>
      <x:c r="E126" s="22" t="str">
        <x:v>公共空间</x:v>
      </x:c>
      <x:c r="F126" s="33" t="n">
        <x:f>SUMIFS('标准化长表'!$N$2:$N$3075,'标准化长表'!$C$2:$C$3075,$C126,'标准化长表'!$J$2:$J$3075,$E126,'标准化长表'!$E$2:$E$3075,"建设用地")</x:f>
        <x:v>157.44427100000001</x:v>
      </x:c>
      <x:c r="G126" s="33" t="n">
        <x:f>SUMIFS('标准化长表'!$N$2:$N$3075,'标准化长表'!$C$2:$C$3075,$C126,'标准化长表'!$E$2:$E$3075,"建设用地")</x:f>
        <x:v>7397.810839999998</x:v>
      </x:c>
      <x:c r="H126" s="40" t="n">
        <x:f>IFERROR(F126/G126,0)</x:f>
        <x:v>0.021282548906049085</x:v>
      </x:c>
      <x:c r="I126" s="40" t="n">
        <x:f>IFERROR(SUMIFS('标准化长表'!$N$2:$N$3075,'标准化长表'!$J$2:$J$3075,$E126,'标准化长表'!$E$2:$E$3075,"建设用地")/SUMIFS('标准化长表'!$N$2:$N$3075,'标准化长表'!$E$2:$E$3075,"建设用地"),0)</x:f>
        <x:v>0.013901166268963908</x:v>
      </x:c>
      <x:c r="J126" s="50" t="n">
        <x:f>IFERROR(H126/I126,0)</x:f>
        <x:v>1.530990169764751</x:v>
      </x:c>
    </x:row>
    <x:row r="127">
      <x:c r="A127" s="21" t="n">
        <x:v>350600</x:v>
      </x:c>
      <x:c r="B127" s="22" t="str">
        <x:v>漳州市</x:v>
      </x:c>
      <x:c r="C127" s="22" t="n">
        <x:v>350602</x:v>
      </x:c>
      <x:c r="D127" s="22" t="str">
        <x:v>芗城区</x:v>
      </x:c>
      <x:c r="E127" s="22" t="str">
        <x:v>其他建设</x:v>
      </x:c>
      <x:c r="F127" s="33" t="n">
        <x:f>SUMIFS('标准化长表'!$N$2:$N$3075,'标准化长表'!$C$2:$C$3075,$C127,'标准化长表'!$J$2:$J$3075,$E127,'标准化长表'!$E$2:$E$3075,"建设用地")</x:f>
        <x:v>602.5710290000001</x:v>
      </x:c>
      <x:c r="G127" s="33" t="n">
        <x:f>SUMIFS('标准化长表'!$N$2:$N$3075,'标准化长表'!$C$2:$C$3075,$C127,'标准化长表'!$E$2:$E$3075,"建设用地")</x:f>
        <x:v>7397.810839999998</x:v>
      </x:c>
      <x:c r="H127" s="40" t="n">
        <x:f>IFERROR(F127/G127,0)</x:f>
        <x:v>0.08145261375728825</x:v>
      </x:c>
      <x:c r="I127" s="40" t="n">
        <x:f>IFERROR(SUMIFS('标准化长表'!$N$2:$N$3075,'标准化长表'!$J$2:$J$3075,$E127,'标准化长表'!$E$2:$E$3075,"建设用地")/SUMIFS('标准化长表'!$N$2:$N$3075,'标准化长表'!$E$2:$E$3075,"建设用地"),0)</x:f>
        <x:v>0.04770007793470843</x:v>
      </x:c>
      <x:c r="J127" s="50" t="n">
        <x:f>IFERROR(H127/I127,0)</x:f>
        <x:v>1.7075991755984148</x:v>
      </x:c>
    </x:row>
    <x:row r="128">
      <x:c r="A128" s="21" t="n">
        <x:v>350600</x:v>
      </x:c>
      <x:c r="B128" s="22" t="str">
        <x:v>漳州市</x:v>
      </x:c>
      <x:c r="C128" s="22" t="n">
        <x:v>350603</x:v>
      </x:c>
      <x:c r="D128" s="22" t="str">
        <x:v>龙文区</x:v>
      </x:c>
      <x:c r="E128" s="22" t="str">
        <x:v>居住功能</x:v>
      </x:c>
      <x:c r="F128" s="33" t="n">
        <x:f>SUMIFS('标准化长表'!$N$2:$N$3075,'标准化长表'!$C$2:$C$3075,$C128,'标准化长表'!$J$2:$J$3075,$E128,'标准化长表'!$E$2:$E$3075,"建设用地")</x:f>
        <x:v>2071.4628200000006</x:v>
      </x:c>
      <x:c r="G128" s="33" t="n">
        <x:f>SUMIFS('标准化长表'!$N$2:$N$3075,'标准化长表'!$C$2:$C$3075,$C128,'标准化长表'!$E$2:$E$3075,"建设用地")</x:f>
        <x:v>5196.536611999999</x:v>
      </x:c>
      <x:c r="H128" s="40" t="n">
        <x:f>IFERROR(F128/G128,0)</x:f>
        <x:v>0.3986237324329663</x:v>
      </x:c>
      <x:c r="I128" s="40" t="n">
        <x:f>IFERROR(SUMIFS('标准化长表'!$N$2:$N$3075,'标准化长表'!$J$2:$J$3075,$E128,'标准化长表'!$E$2:$E$3075,"建设用地")/SUMIFS('标准化长表'!$N$2:$N$3075,'标准化长表'!$E$2:$E$3075,"建设用地"),0)</x:f>
        <x:v>0.4520331968015951</x:v>
      </x:c>
      <x:c r="J128" s="50" t="n">
        <x:f>IFERROR(H128/I128,0)</x:f>
        <x:v>0.8818461459323503</x:v>
      </x:c>
    </x:row>
    <x:row r="129">
      <x:c r="A129" s="21" t="n">
        <x:v>350600</x:v>
      </x:c>
      <x:c r="B129" s="22" t="str">
        <x:v>漳州市</x:v>
      </x:c>
      <x:c r="C129" s="22" t="n">
        <x:v>350603</x:v>
      </x:c>
      <x:c r="D129" s="22" t="str">
        <x:v>龙文区</x:v>
      </x:c>
      <x:c r="E129" s="22" t="str">
        <x:v>产业功能</x:v>
      </x:c>
      <x:c r="F129" s="33" t="n">
        <x:f>SUMIFS('标准化长表'!$N$2:$N$3075,'标准化长表'!$C$2:$C$3075,$C129,'标准化长表'!$J$2:$J$3075,$E129,'标准化长表'!$E$2:$E$3075,"建设用地")</x:f>
        <x:v>1123.037475</x:v>
      </x:c>
      <x:c r="G129" s="33" t="n">
        <x:f>SUMIFS('标准化长表'!$N$2:$N$3075,'标准化长表'!$C$2:$C$3075,$C129,'标准化长表'!$E$2:$E$3075,"建设用地")</x:f>
        <x:v>5196.536611999999</x:v>
      </x:c>
      <x:c r="H129" s="40" t="n">
        <x:f>IFERROR(F129/G129,0)</x:f>
        <x:v>0.21611268405319192</x:v>
      </x:c>
      <x:c r="I129" s="40" t="n">
        <x:f>IFERROR(SUMIFS('标准化长表'!$N$2:$N$3075,'标准化长表'!$J$2:$J$3075,$E129,'标准化长表'!$E$2:$E$3075,"建设用地")/SUMIFS('标准化长表'!$N$2:$N$3075,'标准化长表'!$E$2:$E$3075,"建设用地"),0)</x:f>
        <x:v>0.2200846460431537</x:v>
      </x:c>
      <x:c r="J129" s="50" t="n">
        <x:f>IFERROR(H129/I129,0)</x:f>
        <x:v>0.9819525711521786</x:v>
      </x:c>
    </x:row>
    <x:row r="130">
      <x:c r="A130" s="21" t="n">
        <x:v>350600</x:v>
      </x:c>
      <x:c r="B130" s="22" t="str">
        <x:v>漳州市</x:v>
      </x:c>
      <x:c r="C130" s="22" t="n">
        <x:v>350603</x:v>
      </x:c>
      <x:c r="D130" s="22" t="str">
        <x:v>龙文区</x:v>
      </x:c>
      <x:c r="E130" s="22" t="str">
        <x:v>商业服务</x:v>
      </x:c>
      <x:c r="F130" s="33" t="n">
        <x:f>SUMIFS('标准化长表'!$N$2:$N$3075,'标准化长表'!$C$2:$C$3075,$C130,'标准化长表'!$J$2:$J$3075,$E130,'标准化长表'!$E$2:$E$3075,"建设用地")</x:f>
        <x:v>301.294161</x:v>
      </x:c>
      <x:c r="G130" s="33" t="n">
        <x:f>SUMIFS('标准化长表'!$N$2:$N$3075,'标准化长表'!$C$2:$C$3075,$C130,'标准化长表'!$E$2:$E$3075,"建设用地")</x:f>
        <x:v>5196.536611999999</x:v>
      </x:c>
      <x:c r="H130" s="40" t="n">
        <x:f>IFERROR(F130/G130,0)</x:f>
        <x:v>0.057979801451651936</x:v>
      </x:c>
      <x:c r="I130" s="40" t="n">
        <x:f>IFERROR(SUMIFS('标准化长表'!$N$2:$N$3075,'标准化长表'!$J$2:$J$3075,$E130,'标准化长表'!$E$2:$E$3075,"建设用地")/SUMIFS('标准化长表'!$N$2:$N$3075,'标准化长表'!$E$2:$E$3075,"建设用地"),0)</x:f>
        <x:v>0.030597076519092263</x:v>
      </x:c>
      <x:c r="J130" s="50" t="n">
        <x:f>IFERROR(H130/I130,0)</x:f>
        <x:v>1.89494579377455</x:v>
      </x:c>
    </x:row>
    <x:row r="131">
      <x:c r="A131" s="21" t="n">
        <x:v>350600</x:v>
      </x:c>
      <x:c r="B131" s="22" t="str">
        <x:v>漳州市</x:v>
      </x:c>
      <x:c r="C131" s="22" t="n">
        <x:v>350603</x:v>
      </x:c>
      <x:c r="D131" s="22" t="str">
        <x:v>龙文区</x:v>
      </x:c>
      <x:c r="E131" s="22" t="str">
        <x:v>公共服务</x:v>
      </x:c>
      <x:c r="F131" s="33" t="n">
        <x:f>SUMIFS('标准化长表'!$N$2:$N$3075,'标准化长表'!$C$2:$C$3075,$C131,'标准化长表'!$J$2:$J$3075,$E131,'标准化长表'!$E$2:$E$3075,"建设用地")</x:f>
        <x:v>222.82434399999997</x:v>
      </x:c>
      <x:c r="G131" s="33" t="n">
        <x:f>SUMIFS('标准化长表'!$N$2:$N$3075,'标准化长表'!$C$2:$C$3075,$C131,'标准化长表'!$E$2:$E$3075,"建设用地")</x:f>
        <x:v>5196.536611999999</x:v>
      </x:c>
      <x:c r="H131" s="40" t="n">
        <x:f>IFERROR(F131/G131,0)</x:f>
        <x:v>0.042879394611681804</x:v>
      </x:c>
      <x:c r="I131" s="40" t="n">
        <x:f>IFERROR(SUMIFS('标准化长表'!$N$2:$N$3075,'标准化长表'!$J$2:$J$3075,$E131,'标准化长表'!$E$2:$E$3075,"建设用地")/SUMIFS('标准化长表'!$N$2:$N$3075,'标准化长表'!$E$2:$E$3075,"建设用地"),0)</x:f>
        <x:v>0.042036176888757715</x:v>
      </x:c>
      <x:c r="J131" s="50" t="n">
        <x:f>IFERROR(H131/I131,0)</x:f>
        <x:v>1.0200593342528637</x:v>
      </x:c>
    </x:row>
    <x:row r="132">
      <x:c r="A132" s="21" t="n">
        <x:v>350600</x:v>
      </x:c>
      <x:c r="B132" s="22" t="str">
        <x:v>漳州市</x:v>
      </x:c>
      <x:c r="C132" s="22" t="n">
        <x:v>350603</x:v>
      </x:c>
      <x:c r="D132" s="22" t="str">
        <x:v>龙文区</x:v>
      </x:c>
      <x:c r="E132" s="22" t="str">
        <x:v>交通门户</x:v>
      </x:c>
      <x:c r="F132" s="33" t="n">
        <x:f>SUMIFS('标准化长表'!$N$2:$N$3075,'标准化长表'!$C$2:$C$3075,$C132,'标准化长表'!$J$2:$J$3075,$E132,'标准化长表'!$E$2:$E$3075,"建设用地")</x:f>
        <x:v>1004.479373</x:v>
      </x:c>
      <x:c r="G132" s="33" t="n">
        <x:f>SUMIFS('标准化长表'!$N$2:$N$3075,'标准化长表'!$C$2:$C$3075,$C132,'标准化长表'!$E$2:$E$3075,"建设用地")</x:f>
        <x:v>5196.536611999999</x:v>
      </x:c>
      <x:c r="H132" s="40" t="n">
        <x:f>IFERROR(F132/G132,0)</x:f>
        <x:v>0.19329785355123372</x:v>
      </x:c>
      <x:c r="I132" s="40" t="n">
        <x:f>IFERROR(SUMIFS('标准化长表'!$N$2:$N$3075,'标准化长表'!$J$2:$J$3075,$E132,'标准化长表'!$E$2:$E$3075,"建设用地")/SUMIFS('标准化长表'!$N$2:$N$3075,'标准化长表'!$E$2:$E$3075,"建设用地"),0)</x:f>
        <x:v>0.1936476595437284</x:v>
      </x:c>
      <x:c r="J132" s="50" t="n">
        <x:f>IFERROR(H132/I132,0)</x:f>
        <x:v>0.9981935955574217</x:v>
      </x:c>
    </x:row>
    <x:row r="133">
      <x:c r="A133" s="21" t="n">
        <x:v>350600</x:v>
      </x:c>
      <x:c r="B133" s="22" t="str">
        <x:v>漳州市</x:v>
      </x:c>
      <x:c r="C133" s="22" t="n">
        <x:v>350603</x:v>
      </x:c>
      <x:c r="D133" s="22" t="str">
        <x:v>龙文区</x:v>
      </x:c>
      <x:c r="E133" s="22" t="str">
        <x:v>公共空间</x:v>
      </x:c>
      <x:c r="F133" s="33" t="n">
        <x:f>SUMIFS('标准化长表'!$N$2:$N$3075,'标准化长表'!$C$2:$C$3075,$C133,'标准化长表'!$J$2:$J$3075,$E133,'标准化长表'!$E$2:$E$3075,"建设用地")</x:f>
        <x:v>296.379344</x:v>
      </x:c>
      <x:c r="G133" s="33" t="n">
        <x:f>SUMIFS('标准化长表'!$N$2:$N$3075,'标准化长表'!$C$2:$C$3075,$C133,'标准化长表'!$E$2:$E$3075,"建设用地")</x:f>
        <x:v>5196.536611999999</x:v>
      </x:c>
      <x:c r="H133" s="40" t="n">
        <x:f>IFERROR(F133/G133,0)</x:f>
        <x:v>0.05703401440790235</x:v>
      </x:c>
      <x:c r="I133" s="40" t="n">
        <x:f>IFERROR(SUMIFS('标准化长表'!$N$2:$N$3075,'标准化长表'!$J$2:$J$3075,$E133,'标准化长表'!$E$2:$E$3075,"建设用地")/SUMIFS('标准化长表'!$N$2:$N$3075,'标准化长表'!$E$2:$E$3075,"建设用地"),0)</x:f>
        <x:v>0.013901166268963908</x:v>
      </x:c>
      <x:c r="J133" s="50" t="n">
        <x:f>IFERROR(H133/I133,0)</x:f>
        <x:v>4.102822259973821</x:v>
      </x:c>
    </x:row>
    <x:row r="134">
      <x:c r="A134" s="21" t="n">
        <x:v>350600</x:v>
      </x:c>
      <x:c r="B134" s="22" t="str">
        <x:v>漳州市</x:v>
      </x:c>
      <x:c r="C134" s="22" t="n">
        <x:v>350603</x:v>
      </x:c>
      <x:c r="D134" s="22" t="str">
        <x:v>龙文区</x:v>
      </x:c>
      <x:c r="E134" s="22" t="str">
        <x:v>其他建设</x:v>
      </x:c>
      <x:c r="F134" s="33" t="n">
        <x:f>SUMIFS('标准化长表'!$N$2:$N$3075,'标准化长表'!$C$2:$C$3075,$C134,'标准化长表'!$J$2:$J$3075,$E134,'标准化长表'!$E$2:$E$3075,"建设用地")</x:f>
        <x:v>177.05909499999999</x:v>
      </x:c>
      <x:c r="G134" s="33" t="n">
        <x:f>SUMIFS('标准化长表'!$N$2:$N$3075,'标准化长表'!$C$2:$C$3075,$C134,'标准化长表'!$E$2:$E$3075,"建设用地")</x:f>
        <x:v>5196.536611999999</x:v>
      </x:c>
      <x:c r="H134" s="40" t="n">
        <x:f>IFERROR(F134/G134,0)</x:f>
        <x:v>0.03407251949137235</x:v>
      </x:c>
      <x:c r="I134" s="40" t="n">
        <x:f>IFERROR(SUMIFS('标准化长表'!$N$2:$N$3075,'标准化长表'!$J$2:$J$3075,$E134,'标准化长表'!$E$2:$E$3075,"建设用地")/SUMIFS('标准化长表'!$N$2:$N$3075,'标准化长表'!$E$2:$E$3075,"建设用地"),0)</x:f>
        <x:v>0.04770007793470843</x:v>
      </x:c>
      <x:c r="J134" s="50" t="n">
        <x:f>IFERROR(H134/I134,0)</x:f>
        <x:v>0.714307417652663</x:v>
      </x:c>
    </x:row>
    <x:row r="135">
      <x:c r="A135" s="21" t="n">
        <x:v>350600</x:v>
      </x:c>
      <x:c r="B135" s="22" t="str">
        <x:v>漳州市</x:v>
      </x:c>
      <x:c r="C135" s="22" t="n">
        <x:v>350622</x:v>
      </x:c>
      <x:c r="D135" s="22" t="str">
        <x:v>云霄县</x:v>
      </x:c>
      <x:c r="E135" s="22" t="str">
        <x:v>居住功能</x:v>
      </x:c>
      <x:c r="F135" s="33" t="n">
        <x:f>SUMIFS('标准化长表'!$N$2:$N$3075,'标准化长表'!$C$2:$C$3075,$C135,'标准化长表'!$J$2:$J$3075,$E135,'标准化长表'!$E$2:$E$3075,"建设用地")</x:f>
        <x:v>3051.932985000002</x:v>
      </x:c>
      <x:c r="G135" s="33" t="n">
        <x:f>SUMIFS('标准化长表'!$N$2:$N$3075,'标准化长表'!$C$2:$C$3075,$C135,'标准化长表'!$E$2:$E$3075,"建设用地")</x:f>
        <x:v>6881.244743000003</x:v>
      </x:c>
      <x:c r="H135" s="40" t="n">
        <x:f>IFERROR(F135/G135,0)</x:f>
        <x:v>0.4435146690727144</x:v>
      </x:c>
      <x:c r="I135" s="40" t="n">
        <x:f>IFERROR(SUMIFS('标准化长表'!$N$2:$N$3075,'标准化长表'!$J$2:$J$3075,$E135,'标准化长表'!$E$2:$E$3075,"建设用地")/SUMIFS('标准化长表'!$N$2:$N$3075,'标准化长表'!$E$2:$E$3075,"建设用地"),0)</x:f>
        <x:v>0.4520331968015951</x:v>
      </x:c>
      <x:c r="J135" s="50" t="n">
        <x:f>IFERROR(H135/I135,0)</x:f>
        <x:v>0.9811550837656298</x:v>
      </x:c>
    </x:row>
    <x:row r="136">
      <x:c r="A136" s="21" t="n">
        <x:v>350600</x:v>
      </x:c>
      <x:c r="B136" s="22" t="str">
        <x:v>漳州市</x:v>
      </x:c>
      <x:c r="C136" s="22" t="n">
        <x:v>350622</x:v>
      </x:c>
      <x:c r="D136" s="22" t="str">
        <x:v>云霄县</x:v>
      </x:c>
      <x:c r="E136" s="22" t="str">
        <x:v>产业功能</x:v>
      </x:c>
      <x:c r="F136" s="33" t="n">
        <x:f>SUMIFS('标准化长表'!$N$2:$N$3075,'标准化长表'!$C$2:$C$3075,$C136,'标准化长表'!$J$2:$J$3075,$E136,'标准化长表'!$E$2:$E$3075,"建设用地")</x:f>
        <x:v>1520.8421180000007</x:v>
      </x:c>
      <x:c r="G136" s="33" t="n">
        <x:f>SUMIFS('标准化长表'!$N$2:$N$3075,'标准化长表'!$C$2:$C$3075,$C136,'标准化长表'!$E$2:$E$3075,"建设用地")</x:f>
        <x:v>6881.244743000003</x:v>
      </x:c>
      <x:c r="H136" s="40" t="n">
        <x:f>IFERROR(F136/G136,0)</x:f>
        <x:v>0.2210126473916058</x:v>
      </x:c>
      <x:c r="I136" s="40" t="n">
        <x:f>IFERROR(SUMIFS('标准化长表'!$N$2:$N$3075,'标准化长表'!$J$2:$J$3075,$E136,'标准化长表'!$E$2:$E$3075,"建设用地")/SUMIFS('标准化长表'!$N$2:$N$3075,'标准化长表'!$E$2:$E$3075,"建设用地"),0)</x:f>
        <x:v>0.2200846460431537</x:v>
      </x:c>
      <x:c r="J136" s="50" t="n">
        <x:f>IFERROR(H136/I136,0)</x:f>
        <x:v>1.0042165656039002</x:v>
      </x:c>
    </x:row>
    <x:row r="137">
      <x:c r="A137" s="21" t="n">
        <x:v>350600</x:v>
      </x:c>
      <x:c r="B137" s="22" t="str">
        <x:v>漳州市</x:v>
      </x:c>
      <x:c r="C137" s="22" t="n">
        <x:v>350622</x:v>
      </x:c>
      <x:c r="D137" s="22" t="str">
        <x:v>云霄县</x:v>
      </x:c>
      <x:c r="E137" s="22" t="str">
        <x:v>商业服务</x:v>
      </x:c>
      <x:c r="F137" s="33" t="n">
        <x:f>SUMIFS('标准化长表'!$N$2:$N$3075,'标准化长表'!$C$2:$C$3075,$C137,'标准化长表'!$J$2:$J$3075,$E137,'标准化长表'!$E$2:$E$3075,"建设用地")</x:f>
        <x:v>133.940783</x:v>
      </x:c>
      <x:c r="G137" s="33" t="n">
        <x:f>SUMIFS('标准化长表'!$N$2:$N$3075,'标准化长表'!$C$2:$C$3075,$C137,'标准化长表'!$E$2:$E$3075,"建设用地")</x:f>
        <x:v>6881.244743000003</x:v>
      </x:c>
      <x:c r="H137" s="40" t="n">
        <x:f>IFERROR(F137/G137,0)</x:f>
        <x:v>0.019464615487808694</x:v>
      </x:c>
      <x:c r="I137" s="40" t="n">
        <x:f>IFERROR(SUMIFS('标准化长表'!$N$2:$N$3075,'标准化长表'!$J$2:$J$3075,$E137,'标准化长表'!$E$2:$E$3075,"建设用地")/SUMIFS('标准化长表'!$N$2:$N$3075,'标准化长表'!$E$2:$E$3075,"建设用地"),0)</x:f>
        <x:v>0.030597076519092263</x:v>
      </x:c>
      <x:c r="J137" s="50" t="n">
        <x:f>IFERROR(H137/I137,0)</x:f>
        <x:v>0.6361593231190886</x:v>
      </x:c>
    </x:row>
    <x:row r="138">
      <x:c r="A138" s="21" t="n">
        <x:v>350600</x:v>
      </x:c>
      <x:c r="B138" s="22" t="str">
        <x:v>漳州市</x:v>
      </x:c>
      <x:c r="C138" s="22" t="n">
        <x:v>350622</x:v>
      </x:c>
      <x:c r="D138" s="22" t="str">
        <x:v>云霄县</x:v>
      </x:c>
      <x:c r="E138" s="22" t="str">
        <x:v>公共服务</x:v>
      </x:c>
      <x:c r="F138" s="33" t="n">
        <x:f>SUMIFS('标准化长表'!$N$2:$N$3075,'标准化长表'!$C$2:$C$3075,$C138,'标准化长表'!$J$2:$J$3075,$E138,'标准化长表'!$E$2:$E$3075,"建设用地")</x:f>
        <x:v>318.52436800000004</x:v>
      </x:c>
      <x:c r="G138" s="33" t="n">
        <x:f>SUMIFS('标准化长表'!$N$2:$N$3075,'标准化长表'!$C$2:$C$3075,$C138,'标准化长表'!$E$2:$E$3075,"建设用地")</x:f>
        <x:v>6881.244743000003</x:v>
      </x:c>
      <x:c r="H138" s="40" t="n">
        <x:f>IFERROR(F138/G138,0)</x:f>
        <x:v>0.04628877185686809</x:v>
      </x:c>
      <x:c r="I138" s="40" t="n">
        <x:f>IFERROR(SUMIFS('标准化长表'!$N$2:$N$3075,'标准化长表'!$J$2:$J$3075,$E138,'标准化长表'!$E$2:$E$3075,"建设用地")/SUMIFS('标准化长表'!$N$2:$N$3075,'标准化长表'!$E$2:$E$3075,"建设用地"),0)</x:f>
        <x:v>0.042036176888757715</x:v>
      </x:c>
      <x:c r="J138" s="50" t="n">
        <x:f>IFERROR(H138/I138,0)</x:f>
        <x:v>1.1011651221128937</x:v>
      </x:c>
    </x:row>
    <x:row r="139">
      <x:c r="A139" s="21" t="n">
        <x:v>350600</x:v>
      </x:c>
      <x:c r="B139" s="22" t="str">
        <x:v>漳州市</x:v>
      </x:c>
      <x:c r="C139" s="22" t="n">
        <x:v>350622</x:v>
      </x:c>
      <x:c r="D139" s="22" t="str">
        <x:v>云霄县</x:v>
      </x:c>
      <x:c r="E139" s="22" t="str">
        <x:v>交通门户</x:v>
      </x:c>
      <x:c r="F139" s="33" t="n">
        <x:f>SUMIFS('标准化长表'!$N$2:$N$3075,'标准化长表'!$C$2:$C$3075,$C139,'标准化长表'!$J$2:$J$3075,$E139,'标准化长表'!$E$2:$E$3075,"建设用地")</x:f>
        <x:v>1552.4680999999998</x:v>
      </x:c>
      <x:c r="G139" s="33" t="n">
        <x:f>SUMIFS('标准化长表'!$N$2:$N$3075,'标准化长表'!$C$2:$C$3075,$C139,'标准化长表'!$E$2:$E$3075,"建设用地")</x:f>
        <x:v>6881.244743000003</x:v>
      </x:c>
      <x:c r="H139" s="40" t="n">
        <x:f>IFERROR(F139/G139,0)</x:f>
        <x:v>0.2256086155893902</x:v>
      </x:c>
      <x:c r="I139" s="40" t="n">
        <x:f>IFERROR(SUMIFS('标准化长表'!$N$2:$N$3075,'标准化长表'!$J$2:$J$3075,$E139,'标准化长表'!$E$2:$E$3075,"建设用地")/SUMIFS('标准化长表'!$N$2:$N$3075,'标准化长表'!$E$2:$E$3075,"建设用地"),0)</x:f>
        <x:v>0.1936476595437284</x:v>
      </x:c>
      <x:c r="J139" s="50" t="n">
        <x:f>IFERROR(H139/I139,0)</x:f>
        <x:v>1.1650469523926499</x:v>
      </x:c>
    </x:row>
    <x:row r="140">
      <x:c r="A140" s="21" t="n">
        <x:v>350600</x:v>
      </x:c>
      <x:c r="B140" s="22" t="str">
        <x:v>漳州市</x:v>
      </x:c>
      <x:c r="C140" s="22" t="n">
        <x:v>350622</x:v>
      </x:c>
      <x:c r="D140" s="22" t="str">
        <x:v>云霄县</x:v>
      </x:c>
      <x:c r="E140" s="22" t="str">
        <x:v>公共空间</x:v>
      </x:c>
      <x:c r="F140" s="33" t="n">
        <x:f>SUMIFS('标准化长表'!$N$2:$N$3075,'标准化长表'!$C$2:$C$3075,$C140,'标准化长表'!$J$2:$J$3075,$E140,'标准化长表'!$E$2:$E$3075,"建设用地")</x:f>
        <x:v>63.473493</x:v>
      </x:c>
      <x:c r="G140" s="33" t="n">
        <x:f>SUMIFS('标准化长表'!$N$2:$N$3075,'标准化长表'!$C$2:$C$3075,$C140,'标准化长表'!$E$2:$E$3075,"建设用地")</x:f>
        <x:v>6881.244743000003</x:v>
      </x:c>
      <x:c r="H140" s="40" t="n">
        <x:f>IFERROR(F140/G140,0)</x:f>
        <x:v>0.009224129553678333</x:v>
      </x:c>
      <x:c r="I140" s="40" t="n">
        <x:f>IFERROR(SUMIFS('标准化长表'!$N$2:$N$3075,'标准化长表'!$J$2:$J$3075,$E140,'标准化长表'!$E$2:$E$3075,"建设用地")/SUMIFS('标准化长表'!$N$2:$N$3075,'标准化长表'!$E$2:$E$3075,"建设用地"),0)</x:f>
        <x:v>0.013901166268963908</x:v>
      </x:c>
      <x:c r="J140" s="50" t="n">
        <x:f>IFERROR(H140/I140,0)</x:f>
        <x:v>0.6635507679864499</x:v>
      </x:c>
    </x:row>
    <x:row r="141">
      <x:c r="A141" s="21" t="n">
        <x:v>350600</x:v>
      </x:c>
      <x:c r="B141" s="22" t="str">
        <x:v>漳州市</x:v>
      </x:c>
      <x:c r="C141" s="22" t="n">
        <x:v>350622</x:v>
      </x:c>
      <x:c r="D141" s="22" t="str">
        <x:v>云霄县</x:v>
      </x:c>
      <x:c r="E141" s="22" t="str">
        <x:v>其他建设</x:v>
      </x:c>
      <x:c r="F141" s="33" t="n">
        <x:f>SUMIFS('标准化长表'!$N$2:$N$3075,'标准化长表'!$C$2:$C$3075,$C141,'标准化长表'!$J$2:$J$3075,$E141,'标准化长表'!$E$2:$E$3075,"建设用地")</x:f>
        <x:v>240.0628959999999</x:v>
      </x:c>
      <x:c r="G141" s="33" t="n">
        <x:f>SUMIFS('标准化长表'!$N$2:$N$3075,'标准化长表'!$C$2:$C$3075,$C141,'标准化长表'!$E$2:$E$3075,"建设用地")</x:f>
        <x:v>6881.244743000003</x:v>
      </x:c>
      <x:c r="H141" s="40" t="n">
        <x:f>IFERROR(F141/G141,0)</x:f>
        <x:v>0.03488655104793441</x:v>
      </x:c>
      <x:c r="I141" s="40" t="n">
        <x:f>IFERROR(SUMIFS('标准化长表'!$N$2:$N$3075,'标准化长表'!$J$2:$J$3075,$E141,'标准化长表'!$E$2:$E$3075,"建设用地")/SUMIFS('标准化长表'!$N$2:$N$3075,'标准化长表'!$E$2:$E$3075,"建设用地"),0)</x:f>
        <x:v>0.04770007793470843</x:v>
      </x:c>
      <x:c r="J141" s="50" t="n">
        <x:f>IFERROR(H141/I141,0)</x:f>
        <x:v>0.7313730408509375</x:v>
      </x:c>
    </x:row>
    <x:row r="142">
      <x:c r="A142" s="21" t="n">
        <x:v>350600</x:v>
      </x:c>
      <x:c r="B142" s="22" t="str">
        <x:v>漳州市</x:v>
      </x:c>
      <x:c r="C142" s="22" t="n">
        <x:v>350623</x:v>
      </x:c>
      <x:c r="D142" s="22" t="str">
        <x:v>漳浦县</x:v>
      </x:c>
      <x:c r="E142" s="22" t="str">
        <x:v>居住功能</x:v>
      </x:c>
      <x:c r="F142" s="33" t="n">
        <x:f>SUMIFS('标准化长表'!$N$2:$N$3075,'标准化长表'!$C$2:$C$3075,$C142,'标准化长表'!$J$2:$J$3075,$E142,'标准化长表'!$E$2:$E$3075,"建设用地")</x:f>
        <x:v>11193.88062099996</x:v>
      </x:c>
      <x:c r="G142" s="33" t="n">
        <x:f>SUMIFS('标准化长表'!$N$2:$N$3075,'标准化长表'!$C$2:$C$3075,$C142,'标准化长表'!$E$2:$E$3075,"建设用地")</x:f>
        <x:v>22459.970655999965</x:v>
      </x:c>
      <x:c r="H142" s="40" t="n">
        <x:f>IFERROR(F142/G142,0)</x:f>
        <x:v>0.4983924864572173</x:v>
      </x:c>
      <x:c r="I142" s="40" t="n">
        <x:f>IFERROR(SUMIFS('标准化长表'!$N$2:$N$3075,'标准化长表'!$J$2:$J$3075,$E142,'标准化长表'!$E$2:$E$3075,"建设用地")/SUMIFS('标准化长表'!$N$2:$N$3075,'标准化长表'!$E$2:$E$3075,"建设用地"),0)</x:f>
        <x:v>0.4520331968015951</x:v>
      </x:c>
      <x:c r="J142" s="50" t="n">
        <x:f>IFERROR(H142/I142,0)</x:f>
        <x:v>1.1025572678813014</x:v>
      </x:c>
    </x:row>
    <x:row r="143">
      <x:c r="A143" s="21" t="n">
        <x:v>350600</x:v>
      </x:c>
      <x:c r="B143" s="22" t="str">
        <x:v>漳州市</x:v>
      </x:c>
      <x:c r="C143" s="22" t="n">
        <x:v>350623</x:v>
      </x:c>
      <x:c r="D143" s="22" t="str">
        <x:v>漳浦县</x:v>
      </x:c>
      <x:c r="E143" s="22" t="str">
        <x:v>产业功能</x:v>
      </x:c>
      <x:c r="F143" s="33" t="n">
        <x:f>SUMIFS('标准化长表'!$N$2:$N$3075,'标准化长表'!$C$2:$C$3075,$C143,'标准化长表'!$J$2:$J$3075,$E143,'标准化长表'!$E$2:$E$3075,"建设用地")</x:f>
        <x:v>5625.415518999998</x:v>
      </x:c>
      <x:c r="G143" s="33" t="n">
        <x:f>SUMIFS('标准化长表'!$N$2:$N$3075,'标准化长表'!$C$2:$C$3075,$C143,'标准化长表'!$E$2:$E$3075,"建设用地")</x:f>
        <x:v>22459.970655999965</x:v>
      </x:c>
      <x:c r="H143" s="40" t="n">
        <x:f>IFERROR(F143/G143,0)</x:f>
        <x:v>0.2504640636071901</x:v>
      </x:c>
      <x:c r="I143" s="40" t="n">
        <x:f>IFERROR(SUMIFS('标准化长表'!$N$2:$N$3075,'标准化长表'!$J$2:$J$3075,$E143,'标准化长表'!$E$2:$E$3075,"建设用地")/SUMIFS('标准化长表'!$N$2:$N$3075,'标准化长表'!$E$2:$E$3075,"建设用地"),0)</x:f>
        <x:v>0.2200846460431537</x:v>
      </x:c>
      <x:c r="J143" s="50" t="n">
        <x:f>IFERROR(H143/I143,0)</x:f>
        <x:v>1.1380351519754797</x:v>
      </x:c>
    </x:row>
    <x:row r="144">
      <x:c r="A144" s="21" t="n">
        <x:v>350600</x:v>
      </x:c>
      <x:c r="B144" s="22" t="str">
        <x:v>漳州市</x:v>
      </x:c>
      <x:c r="C144" s="22" t="n">
        <x:v>350623</x:v>
      </x:c>
      <x:c r="D144" s="22" t="str">
        <x:v>漳浦县</x:v>
      </x:c>
      <x:c r="E144" s="22" t="str">
        <x:v>商业服务</x:v>
      </x:c>
      <x:c r="F144" s="33" t="n">
        <x:f>SUMIFS('标准化长表'!$N$2:$N$3075,'标准化长表'!$C$2:$C$3075,$C144,'标准化长表'!$J$2:$J$3075,$E144,'标准化长表'!$E$2:$E$3075,"建设用地")</x:f>
        <x:v>555.2929120000003</x:v>
      </x:c>
      <x:c r="G144" s="33" t="n">
        <x:f>SUMIFS('标准化长表'!$N$2:$N$3075,'标准化长表'!$C$2:$C$3075,$C144,'标准化长表'!$E$2:$E$3075,"建设用地")</x:f>
        <x:v>22459.970655999965</x:v>
      </x:c>
      <x:c r="H144" s="40" t="n">
        <x:f>IFERROR(F144/G144,0)</x:f>
        <x:v>0.024723670413685922</x:v>
      </x:c>
      <x:c r="I144" s="40" t="n">
        <x:f>IFERROR(SUMIFS('标准化长表'!$N$2:$N$3075,'标准化长表'!$J$2:$J$3075,$E144,'标准化长表'!$E$2:$E$3075,"建设用地")/SUMIFS('标准化长表'!$N$2:$N$3075,'标准化长表'!$E$2:$E$3075,"建设用地"),0)</x:f>
        <x:v>0.030597076519092263</x:v>
      </x:c>
      <x:c r="J144" s="50" t="n">
        <x:f>IFERROR(H144/I144,0)</x:f>
        <x:v>0.8080402844454307</x:v>
      </x:c>
    </x:row>
    <x:row r="145">
      <x:c r="A145" s="21" t="n">
        <x:v>350600</x:v>
      </x:c>
      <x:c r="B145" s="22" t="str">
        <x:v>漳州市</x:v>
      </x:c>
      <x:c r="C145" s="22" t="n">
        <x:v>350623</x:v>
      </x:c>
      <x:c r="D145" s="22" t="str">
        <x:v>漳浦县</x:v>
      </x:c>
      <x:c r="E145" s="22" t="str">
        <x:v>公共服务</x:v>
      </x:c>
      <x:c r="F145" s="33" t="n">
        <x:f>SUMIFS('标准化长表'!$N$2:$N$3075,'标准化长表'!$C$2:$C$3075,$C145,'标准化长表'!$J$2:$J$3075,$E145,'标准化长表'!$E$2:$E$3075,"建设用地")</x:f>
        <x:v>614.817254</x:v>
      </x:c>
      <x:c r="G145" s="33" t="n">
        <x:f>SUMIFS('标准化长表'!$N$2:$N$3075,'标准化长表'!$C$2:$C$3075,$C145,'标准化长表'!$E$2:$E$3075,"建设用地")</x:f>
        <x:v>22459.970655999965</x:v>
      </x:c>
      <x:c r="H145" s="40" t="n">
        <x:f>IFERROR(F145/G145,0)</x:f>
        <x:v>0.027373911721285244</x:v>
      </x:c>
      <x:c r="I145" s="40" t="n">
        <x:f>IFERROR(SUMIFS('标准化长表'!$N$2:$N$3075,'标准化长表'!$J$2:$J$3075,$E145,'标准化长表'!$E$2:$E$3075,"建设用地")/SUMIFS('标准化长表'!$N$2:$N$3075,'标准化长表'!$E$2:$E$3075,"建设用地"),0)</x:f>
        <x:v>0.042036176888757715</x:v>
      </x:c>
      <x:c r="J145" s="50" t="n">
        <x:f>IFERROR(H145/I145,0)</x:f>
        <x:v>0.6511988897973785</x:v>
      </x:c>
    </x:row>
    <x:row r="146">
      <x:c r="A146" s="21" t="n">
        <x:v>350600</x:v>
      </x:c>
      <x:c r="B146" s="22" t="str">
        <x:v>漳州市</x:v>
      </x:c>
      <x:c r="C146" s="22" t="n">
        <x:v>350623</x:v>
      </x:c>
      <x:c r="D146" s="22" t="str">
        <x:v>漳浦县</x:v>
      </x:c>
      <x:c r="E146" s="22" t="str">
        <x:v>交通门户</x:v>
      </x:c>
      <x:c r="F146" s="33" t="n">
        <x:f>SUMIFS('标准化长表'!$N$2:$N$3075,'标准化长表'!$C$2:$C$3075,$C146,'标准化长表'!$J$2:$J$3075,$E146,'标准化长表'!$E$2:$E$3075,"建设用地")</x:f>
        <x:v>3465.7611190000034</x:v>
      </x:c>
      <x:c r="G146" s="33" t="n">
        <x:f>SUMIFS('标准化长表'!$N$2:$N$3075,'标准化长表'!$C$2:$C$3075,$C146,'标准化长表'!$E$2:$E$3075,"建设用地")</x:f>
        <x:v>22459.970655999965</x:v>
      </x:c>
      <x:c r="H146" s="40" t="n">
        <x:f>IFERROR(F146/G146,0)</x:f>
        <x:v>0.15430835472058638</x:v>
      </x:c>
      <x:c r="I146" s="40" t="n">
        <x:f>IFERROR(SUMIFS('标准化长表'!$N$2:$N$3075,'标准化长表'!$J$2:$J$3075,$E146,'标准化长表'!$E$2:$E$3075,"建设用地")/SUMIFS('标准化长表'!$N$2:$N$3075,'标准化长表'!$E$2:$E$3075,"建设用地"),0)</x:f>
        <x:v>0.1936476595437284</x:v>
      </x:c>
      <x:c r="J146" s="50" t="n">
        <x:f>IFERROR(H146/I146,0)</x:f>
        <x:v>0.7968511216927017</x:v>
      </x:c>
    </x:row>
    <x:row r="147">
      <x:c r="A147" s="21" t="n">
        <x:v>350600</x:v>
      </x:c>
      <x:c r="B147" s="22" t="str">
        <x:v>漳州市</x:v>
      </x:c>
      <x:c r="C147" s="22" t="n">
        <x:v>350623</x:v>
      </x:c>
      <x:c r="D147" s="22" t="str">
        <x:v>漳浦县</x:v>
      </x:c>
      <x:c r="E147" s="22" t="str">
        <x:v>公共空间</x:v>
      </x:c>
      <x:c r="F147" s="33" t="n">
        <x:f>SUMIFS('标准化长表'!$N$2:$N$3075,'标准化长表'!$C$2:$C$3075,$C147,'标准化长表'!$J$2:$J$3075,$E147,'标准化长表'!$E$2:$E$3075,"建设用地")</x:f>
        <x:v>96.14037099999997</x:v>
      </x:c>
      <x:c r="G147" s="33" t="n">
        <x:f>SUMIFS('标准化长表'!$N$2:$N$3075,'标准化长表'!$C$2:$C$3075,$C147,'标准化长表'!$E$2:$E$3075,"建设用地")</x:f>
        <x:v>22459.970655999965</x:v>
      </x:c>
      <x:c r="H147" s="40" t="n">
        <x:f>IFERROR(F147/G147,0)</x:f>
        <x:v>0.004280520775049054</x:v>
      </x:c>
      <x:c r="I147" s="40" t="n">
        <x:f>IFERROR(SUMIFS('标准化长表'!$N$2:$N$3075,'标准化长表'!$J$2:$J$3075,$E147,'标准化长表'!$E$2:$E$3075,"建设用地")/SUMIFS('标准化长表'!$N$2:$N$3075,'标准化长表'!$E$2:$E$3075,"建设用地"),0)</x:f>
        <x:v>0.013901166268963908</x:v>
      </x:c>
      <x:c r="J147" s="50" t="n">
        <x:f>IFERROR(H147/I147,0)</x:f>
        <x:v>0.3079252986568366</x:v>
      </x:c>
    </x:row>
    <x:row r="148">
      <x:c r="A148" s="21" t="n">
        <x:v>350600</x:v>
      </x:c>
      <x:c r="B148" s="22" t="str">
        <x:v>漳州市</x:v>
      </x:c>
      <x:c r="C148" s="22" t="n">
        <x:v>350623</x:v>
      </x:c>
      <x:c r="D148" s="22" t="str">
        <x:v>漳浦县</x:v>
      </x:c>
      <x:c r="E148" s="22" t="str">
        <x:v>其他建设</x:v>
      </x:c>
      <x:c r="F148" s="33" t="n">
        <x:f>SUMIFS('标准化长表'!$N$2:$N$3075,'标准化长表'!$C$2:$C$3075,$C148,'标准化长表'!$J$2:$J$3075,$E148,'标准化长表'!$E$2:$E$3075,"建设用地")</x:f>
        <x:v>908.66286</x:v>
      </x:c>
      <x:c r="G148" s="33" t="n">
        <x:f>SUMIFS('标准化长表'!$N$2:$N$3075,'标准化长表'!$C$2:$C$3075,$C148,'标准化长表'!$E$2:$E$3075,"建设用地")</x:f>
        <x:v>22459.970655999965</x:v>
      </x:c>
      <x:c r="H148" s="40" t="n">
        <x:f>IFERROR(F148/G148,0)</x:f>
        <x:v>0.040456992304985916</x:v>
      </x:c>
      <x:c r="I148" s="40" t="n">
        <x:f>IFERROR(SUMIFS('标准化长表'!$N$2:$N$3075,'标准化长表'!$J$2:$J$3075,$E148,'标准化长表'!$E$2:$E$3075,"建设用地")/SUMIFS('标准化长表'!$N$2:$N$3075,'标准化长表'!$E$2:$E$3075,"建设用地"),0)</x:f>
        <x:v>0.04770007793470843</x:v>
      </x:c>
      <x:c r="J148" s="50" t="n">
        <x:f>IFERROR(H148/I148,0)</x:f>
        <x:v>0.8481535891904243</x:v>
      </x:c>
    </x:row>
    <x:row r="149">
      <x:c r="A149" s="21" t="n">
        <x:v>350600</x:v>
      </x:c>
      <x:c r="B149" s="22" t="str">
        <x:v>漳州市</x:v>
      </x:c>
      <x:c r="C149" s="22" t="n">
        <x:v>350624</x:v>
      </x:c>
      <x:c r="D149" s="22" t="str">
        <x:v>诏安县</x:v>
      </x:c>
      <x:c r="E149" s="22" t="str">
        <x:v>居住功能</x:v>
      </x:c>
      <x:c r="F149" s="33" t="n">
        <x:f>SUMIFS('标准化长表'!$N$2:$N$3075,'标准化长表'!$C$2:$C$3075,$C149,'标准化长表'!$J$2:$J$3075,$E149,'标准化长表'!$E$2:$E$3075,"建设用地")</x:f>
        <x:v>4475.005717999991</x:v>
      </x:c>
      <x:c r="G149" s="33" t="n">
        <x:f>SUMIFS('标准化长表'!$N$2:$N$3075,'标准化长表'!$C$2:$C$3075,$C149,'标准化长表'!$E$2:$E$3075,"建设用地")</x:f>
        <x:v>8355.51696699999</x:v>
      </x:c>
      <x:c r="H149" s="40" t="n">
        <x:f>IFERROR(F149/G149,0)</x:f>
        <x:v>0.5355749662975936</x:v>
      </x:c>
      <x:c r="I149" s="40" t="n">
        <x:f>IFERROR(SUMIFS('标准化长表'!$N$2:$N$3075,'标准化长表'!$J$2:$J$3075,$E149,'标准化长表'!$E$2:$E$3075,"建设用地")/SUMIFS('标准化长表'!$N$2:$N$3075,'标准化长表'!$E$2:$E$3075,"建设用地"),0)</x:f>
        <x:v>0.4520331968015951</x:v>
      </x:c>
      <x:c r="J149" s="50" t="n">
        <x:f>IFERROR(H149/I149,0)</x:f>
        <x:v>1.1848133501855758</x:v>
      </x:c>
    </x:row>
    <x:row r="150">
      <x:c r="A150" s="21" t="n">
        <x:v>350600</x:v>
      </x:c>
      <x:c r="B150" s="22" t="str">
        <x:v>漳州市</x:v>
      </x:c>
      <x:c r="C150" s="22" t="n">
        <x:v>350624</x:v>
      </x:c>
      <x:c r="D150" s="22" t="str">
        <x:v>诏安县</x:v>
      </x:c>
      <x:c r="E150" s="22" t="str">
        <x:v>产业功能</x:v>
      </x:c>
      <x:c r="F150" s="33" t="n">
        <x:f>SUMIFS('标准化长表'!$N$2:$N$3075,'标准化长表'!$C$2:$C$3075,$C150,'标准化长表'!$J$2:$J$3075,$E150,'标准化长表'!$E$2:$E$3075,"建设用地")</x:f>
        <x:v>1340.703591</x:v>
      </x:c>
      <x:c r="G150" s="33" t="n">
        <x:f>SUMIFS('标准化长表'!$N$2:$N$3075,'标准化长表'!$C$2:$C$3075,$C150,'标准化长表'!$E$2:$E$3075,"建设用地")</x:f>
        <x:v>8355.51696699999</x:v>
      </x:c>
      <x:c r="H150" s="40" t="n">
        <x:f>IFERROR(F150/G150,0)</x:f>
        <x:v>0.1604572878368977</x:v>
      </x:c>
      <x:c r="I150" s="40" t="n">
        <x:f>IFERROR(SUMIFS('标准化长表'!$N$2:$N$3075,'标准化长表'!$J$2:$J$3075,$E150,'标准化长表'!$E$2:$E$3075,"建设用地")/SUMIFS('标准化长表'!$N$2:$N$3075,'标准化长表'!$E$2:$E$3075,"建设用地"),0)</x:f>
        <x:v>0.2200846460431537</x:v>
      </x:c>
      <x:c r="J150" s="50" t="n">
        <x:f>IFERROR(H150/I150,0)</x:f>
        <x:v>0.7290707949042279</x:v>
      </x:c>
    </x:row>
    <x:row r="151">
      <x:c r="A151" s="21" t="n">
        <x:v>350600</x:v>
      </x:c>
      <x:c r="B151" s="22" t="str">
        <x:v>漳州市</x:v>
      </x:c>
      <x:c r="C151" s="22" t="n">
        <x:v>350624</x:v>
      </x:c>
      <x:c r="D151" s="22" t="str">
        <x:v>诏安县</x:v>
      </x:c>
      <x:c r="E151" s="22" t="str">
        <x:v>商业服务</x:v>
      </x:c>
      <x:c r="F151" s="33" t="n">
        <x:f>SUMIFS('标准化长表'!$N$2:$N$3075,'标准化长表'!$C$2:$C$3075,$C151,'标准化长表'!$J$2:$J$3075,$E151,'标准化长表'!$E$2:$E$3075,"建设用地")</x:f>
        <x:v>83.94727700000004</x:v>
      </x:c>
      <x:c r="G151" s="33" t="n">
        <x:f>SUMIFS('标准化长表'!$N$2:$N$3075,'标准化长表'!$C$2:$C$3075,$C151,'标准化长表'!$E$2:$E$3075,"建设用地")</x:f>
        <x:v>8355.51696699999</x:v>
      </x:c>
      <x:c r="H151" s="40" t="n">
        <x:f>IFERROR(F151/G151,0)</x:f>
        <x:v>0.010046927955690685</x:v>
      </x:c>
      <x:c r="I151" s="40" t="n">
        <x:f>IFERROR(SUMIFS('标准化长表'!$N$2:$N$3075,'标准化长表'!$J$2:$J$3075,$E151,'标准化长表'!$E$2:$E$3075,"建设用地")/SUMIFS('标准化长表'!$N$2:$N$3075,'标准化长表'!$E$2:$E$3075,"建设用地"),0)</x:f>
        <x:v>0.030597076519092263</x:v>
      </x:c>
      <x:c r="J151" s="50" t="n">
        <x:f>IFERROR(H151/I151,0)</x:f>
        <x:v>0.32836235022066584</x:v>
      </x:c>
    </x:row>
    <x:row r="152">
      <x:c r="A152" s="21" t="n">
        <x:v>350600</x:v>
      </x:c>
      <x:c r="B152" s="22" t="str">
        <x:v>漳州市</x:v>
      </x:c>
      <x:c r="C152" s="22" t="n">
        <x:v>350624</x:v>
      </x:c>
      <x:c r="D152" s="22" t="str">
        <x:v>诏安县</x:v>
      </x:c>
      <x:c r="E152" s="22" t="str">
        <x:v>公共服务</x:v>
      </x:c>
      <x:c r="F152" s="33" t="n">
        <x:f>SUMIFS('标准化长表'!$N$2:$N$3075,'标准化长表'!$C$2:$C$3075,$C152,'标准化长表'!$J$2:$J$3075,$E152,'标准化长表'!$E$2:$E$3075,"建设用地")</x:f>
        <x:v>315.5317369999998</x:v>
      </x:c>
      <x:c r="G152" s="33" t="n">
        <x:f>SUMIFS('标准化长表'!$N$2:$N$3075,'标准化长表'!$C$2:$C$3075,$C152,'标准化长表'!$E$2:$E$3075,"建设用地")</x:f>
        <x:v>8355.51696699999</x:v>
      </x:c>
      <x:c r="H152" s="40" t="n">
        <x:f>IFERROR(F152/G152,0)</x:f>
        <x:v>0.03776328122439203</x:v>
      </x:c>
      <x:c r="I152" s="40" t="n">
        <x:f>IFERROR(SUMIFS('标准化长表'!$N$2:$N$3075,'标准化长表'!$J$2:$J$3075,$E152,'标准化长表'!$E$2:$E$3075,"建设用地")/SUMIFS('标准化长表'!$N$2:$N$3075,'标准化长表'!$E$2:$E$3075,"建设用地"),0)</x:f>
        <x:v>0.042036176888757715</x:v>
      </x:c>
      <x:c r="J152" s="50" t="n">
        <x:f>IFERROR(H152/I152,0)</x:f>
        <x:v>0.8983519439535796</x:v>
      </x:c>
    </x:row>
    <x:row r="153">
      <x:c r="A153" s="21" t="n">
        <x:v>350600</x:v>
      </x:c>
      <x:c r="B153" s="22" t="str">
        <x:v>漳州市</x:v>
      </x:c>
      <x:c r="C153" s="22" t="n">
        <x:v>350624</x:v>
      </x:c>
      <x:c r="D153" s="22" t="str">
        <x:v>诏安县</x:v>
      </x:c>
      <x:c r="E153" s="22" t="str">
        <x:v>交通门户</x:v>
      </x:c>
      <x:c r="F153" s="33" t="n">
        <x:f>SUMIFS('标准化长表'!$N$2:$N$3075,'标准化长表'!$C$2:$C$3075,$C153,'标准化长表'!$J$2:$J$3075,$E153,'标准化长表'!$E$2:$E$3075,"建设用地")</x:f>
        <x:v>1655.280752</x:v>
      </x:c>
      <x:c r="G153" s="33" t="n">
        <x:f>SUMIFS('标准化长表'!$N$2:$N$3075,'标准化长表'!$C$2:$C$3075,$C153,'标准化长表'!$E$2:$E$3075,"建设用地")</x:f>
        <x:v>8355.51696699999</x:v>
      </x:c>
      <x:c r="H153" s="40" t="n">
        <x:f>IFERROR(F153/G153,0)</x:f>
        <x:v>0.1981063240655857</x:v>
      </x:c>
      <x:c r="I153" s="40" t="n">
        <x:f>IFERROR(SUMIFS('标准化长表'!$N$2:$N$3075,'标准化长表'!$J$2:$J$3075,$E153,'标准化长表'!$E$2:$E$3075,"建设用地")/SUMIFS('标准化长表'!$N$2:$N$3075,'标准化长表'!$E$2:$E$3075,"建设用地"),0)</x:f>
        <x:v>0.1936476595437284</x:v>
      </x:c>
      <x:c r="J153" s="50" t="n">
        <x:f>IFERROR(H153/I153,0)</x:f>
        <x:v>1.023024623857385</x:v>
      </x:c>
    </x:row>
    <x:row r="154">
      <x:c r="A154" s="21" t="n">
        <x:v>350600</x:v>
      </x:c>
      <x:c r="B154" s="22" t="str">
        <x:v>漳州市</x:v>
      </x:c>
      <x:c r="C154" s="22" t="n">
        <x:v>350624</x:v>
      </x:c>
      <x:c r="D154" s="22" t="str">
        <x:v>诏安县</x:v>
      </x:c>
      <x:c r="E154" s="22" t="str">
        <x:v>公共空间</x:v>
      </x:c>
      <x:c r="F154" s="33" t="n">
        <x:f>SUMIFS('标准化长表'!$N$2:$N$3075,'标准化长表'!$C$2:$C$3075,$C154,'标准化长表'!$J$2:$J$3075,$E154,'标准化长表'!$E$2:$E$3075,"建设用地")</x:f>
        <x:v>94.67182700000001</x:v>
      </x:c>
      <x:c r="G154" s="33" t="n">
        <x:f>SUMIFS('标准化长表'!$N$2:$N$3075,'标准化长表'!$C$2:$C$3075,$C154,'标准化长表'!$E$2:$E$3075,"建设用地")</x:f>
        <x:v>8355.51696699999</x:v>
      </x:c>
      <x:c r="H154" s="40" t="n">
        <x:f>IFERROR(F154/G154,0)</x:f>
        <x:v>0.011330457154704515</x:v>
      </x:c>
      <x:c r="I154" s="40" t="n">
        <x:f>IFERROR(SUMIFS('标准化长表'!$N$2:$N$3075,'标准化长表'!$J$2:$J$3075,$E154,'标准化长表'!$E$2:$E$3075,"建设用地")/SUMIFS('标准化长表'!$N$2:$N$3075,'标准化长表'!$E$2:$E$3075,"建设用地"),0)</x:f>
        <x:v>0.013901166268963908</x:v>
      </x:c>
      <x:c r="J154" s="50" t="n">
        <x:f>IFERROR(H154/I154,0)</x:f>
        <x:v>0.8150724144636107</x:v>
      </x:c>
    </x:row>
    <x:row r="155">
      <x:c r="A155" s="21" t="n">
        <x:v>350600</x:v>
      </x:c>
      <x:c r="B155" s="22" t="str">
        <x:v>漳州市</x:v>
      </x:c>
      <x:c r="C155" s="22" t="n">
        <x:v>350624</x:v>
      </x:c>
      <x:c r="D155" s="22" t="str">
        <x:v>诏安县</x:v>
      </x:c>
      <x:c r="E155" s="22" t="str">
        <x:v>其他建设</x:v>
      </x:c>
      <x:c r="F155" s="33" t="n">
        <x:f>SUMIFS('标准化长表'!$N$2:$N$3075,'标准化长表'!$C$2:$C$3075,$C155,'标准化长表'!$J$2:$J$3075,$E155,'标准化长表'!$E$2:$E$3075,"建设用地")</x:f>
        <x:v>390.3760650000002</x:v>
      </x:c>
      <x:c r="G155" s="33" t="n">
        <x:f>SUMIFS('标准化长表'!$N$2:$N$3075,'标准化长表'!$C$2:$C$3075,$C155,'标准化长表'!$E$2:$E$3075,"建设用地")</x:f>
        <x:v>8355.51696699999</x:v>
      </x:c>
      <x:c r="H155" s="40" t="n">
        <x:f>IFERROR(F155/G155,0)</x:f>
        <x:v>0.04672075546513586</x:v>
      </x:c>
      <x:c r="I155" s="40" t="n">
        <x:f>IFERROR(SUMIFS('标准化长表'!$N$2:$N$3075,'标准化长表'!$J$2:$J$3075,$E155,'标准化长表'!$E$2:$E$3075,"建设用地")/SUMIFS('标准化长表'!$N$2:$N$3075,'标准化长表'!$E$2:$E$3075,"建设用地"),0)</x:f>
        <x:v>0.04770007793470843</x:v>
      </x:c>
      <x:c r="J155" s="50" t="n">
        <x:f>IFERROR(H155/I155,0)</x:f>
        <x:v>0.9794691641612607</x:v>
      </x:c>
    </x:row>
    <x:row r="156">
      <x:c r="A156" s="21" t="n">
        <x:v>350600</x:v>
      </x:c>
      <x:c r="B156" s="22" t="str">
        <x:v>漳州市</x:v>
      </x:c>
      <x:c r="C156" s="22" t="n">
        <x:v>350625</x:v>
      </x:c>
      <x:c r="D156" s="22" t="str">
        <x:v>长泰区</x:v>
      </x:c>
      <x:c r="E156" s="22" t="str">
        <x:v>居住功能</x:v>
      </x:c>
      <x:c r="F156" s="33" t="n">
        <x:f>SUMIFS('标准化长表'!$N$2:$N$3075,'标准化长表'!$C$2:$C$3075,$C156,'标准化长表'!$J$2:$J$3075,$E156,'标准化长表'!$E$2:$E$3075,"建设用地")</x:f>
        <x:v>3067.718258000004</x:v>
      </x:c>
      <x:c r="G156" s="33" t="n">
        <x:f>SUMIFS('标准化长表'!$N$2:$N$3075,'标准化长表'!$C$2:$C$3075,$C156,'标准化长表'!$E$2:$E$3075,"建设用地")</x:f>
        <x:v>8236.588497000006</x:v>
      </x:c>
      <x:c r="H156" s="40" t="n">
        <x:f>IFERROR(F156/G156,0)</x:f>
        <x:v>0.3724501059045686</x:v>
      </x:c>
      <x:c r="I156" s="40" t="n">
        <x:f>IFERROR(SUMIFS('标准化长表'!$N$2:$N$3075,'标准化长表'!$J$2:$J$3075,$E156,'标准化长表'!$E$2:$E$3075,"建设用地")/SUMIFS('标准化长表'!$N$2:$N$3075,'标准化长表'!$E$2:$E$3075,"建设用地"),0)</x:f>
        <x:v>0.4520331968015951</x:v>
      </x:c>
      <x:c r="J156" s="50" t="n">
        <x:f>IFERROR(H156/I156,0)</x:f>
        <x:v>0.823944145120039</x:v>
      </x:c>
    </x:row>
    <x:row r="157">
      <x:c r="A157" s="21" t="n">
        <x:v>350600</x:v>
      </x:c>
      <x:c r="B157" s="22" t="str">
        <x:v>漳州市</x:v>
      </x:c>
      <x:c r="C157" s="22" t="n">
        <x:v>350625</x:v>
      </x:c>
      <x:c r="D157" s="22" t="str">
        <x:v>长泰区</x:v>
      </x:c>
      <x:c r="E157" s="22" t="str">
        <x:v>产业功能</x:v>
      </x:c>
      <x:c r="F157" s="33" t="n">
        <x:f>SUMIFS('标准化长表'!$N$2:$N$3075,'标准化长表'!$C$2:$C$3075,$C157,'标准化长表'!$J$2:$J$3075,$E157,'标准化长表'!$E$2:$E$3075,"建设用地")</x:f>
        <x:v>2649.8821899999994</x:v>
      </x:c>
      <x:c r="G157" s="33" t="n">
        <x:f>SUMIFS('标准化长表'!$N$2:$N$3075,'标准化长表'!$C$2:$C$3075,$C157,'标准化长表'!$E$2:$E$3075,"建设用地")</x:f>
        <x:v>8236.588497000006</x:v>
      </x:c>
      <x:c r="H157" s="40" t="n">
        <x:f>IFERROR(F157/G157,0)</x:f>
        <x:v>0.32172084242950344</x:v>
      </x:c>
      <x:c r="I157" s="40" t="n">
        <x:f>IFERROR(SUMIFS('标准化长表'!$N$2:$N$3075,'标准化长表'!$J$2:$J$3075,$E157,'标准化长表'!$E$2:$E$3075,"建设用地")/SUMIFS('标准化长表'!$N$2:$N$3075,'标准化长表'!$E$2:$E$3075,"建设用地"),0)</x:f>
        <x:v>0.2200846460431537</x:v>
      </x:c>
      <x:c r="J157" s="50" t="n">
        <x:f>IFERROR(H157/I157,0)</x:f>
        <x:v>1.4618050291723719</x:v>
      </x:c>
    </x:row>
    <x:row r="158">
      <x:c r="A158" s="21" t="n">
        <x:v>350600</x:v>
      </x:c>
      <x:c r="B158" s="22" t="str">
        <x:v>漳州市</x:v>
      </x:c>
      <x:c r="C158" s="22" t="n">
        <x:v>350625</x:v>
      </x:c>
      <x:c r="D158" s="22" t="str">
        <x:v>长泰区</x:v>
      </x:c>
      <x:c r="E158" s="22" t="str">
        <x:v>商业服务</x:v>
      </x:c>
      <x:c r="F158" s="33" t="n">
        <x:f>SUMIFS('标准化长表'!$N$2:$N$3075,'标准化长表'!$C$2:$C$3075,$C158,'标准化长表'!$J$2:$J$3075,$E158,'标准化长表'!$E$2:$E$3075,"建设用地")</x:f>
        <x:v>243.34023199999996</x:v>
      </x:c>
      <x:c r="G158" s="33" t="n">
        <x:f>SUMIFS('标准化长表'!$N$2:$N$3075,'标准化长表'!$C$2:$C$3075,$C158,'标准化长表'!$E$2:$E$3075,"建设用地")</x:f>
        <x:v>8236.588497000006</x:v>
      </x:c>
      <x:c r="H158" s="40" t="n">
        <x:f>IFERROR(F158/G158,0)</x:f>
        <x:v>0.029543813204779043</x:v>
      </x:c>
      <x:c r="I158" s="40" t="n">
        <x:f>IFERROR(SUMIFS('标准化长表'!$N$2:$N$3075,'标准化长表'!$J$2:$J$3075,$E158,'标准化长表'!$E$2:$E$3075,"建设用地")/SUMIFS('标准化长表'!$N$2:$N$3075,'标准化长表'!$E$2:$E$3075,"建设用地"),0)</x:f>
        <x:v>0.030597076519092263</x:v>
      </x:c>
      <x:c r="J158" s="50" t="n">
        <x:f>IFERROR(H158/I158,0)</x:f>
        <x:v>0.9655763414633423</x:v>
      </x:c>
    </x:row>
    <x:row r="159">
      <x:c r="A159" s="21" t="n">
        <x:v>350600</x:v>
      </x:c>
      <x:c r="B159" s="22" t="str">
        <x:v>漳州市</x:v>
      </x:c>
      <x:c r="C159" s="22" t="n">
        <x:v>350625</x:v>
      </x:c>
      <x:c r="D159" s="22" t="str">
        <x:v>长泰区</x:v>
      </x:c>
      <x:c r="E159" s="22" t="str">
        <x:v>公共服务</x:v>
      </x:c>
      <x:c r="F159" s="33" t="n">
        <x:f>SUMIFS('标准化长表'!$N$2:$N$3075,'标准化长表'!$C$2:$C$3075,$C159,'标准化长表'!$J$2:$J$3075,$E159,'标准化长表'!$E$2:$E$3075,"建设用地")</x:f>
        <x:v>192.42934999999997</x:v>
      </x:c>
      <x:c r="G159" s="33" t="n">
        <x:f>SUMIFS('标准化长表'!$N$2:$N$3075,'标准化长表'!$C$2:$C$3075,$C159,'标准化长表'!$E$2:$E$3075,"建设用地")</x:f>
        <x:v>8236.588497000006</x:v>
      </x:c>
      <x:c r="H159" s="40" t="n">
        <x:f>IFERROR(F159/G159,0)</x:f>
        <x:v>0.023362749039858927</x:v>
      </x:c>
      <x:c r="I159" s="40" t="n">
        <x:f>IFERROR(SUMIFS('标准化长表'!$N$2:$N$3075,'标准化长表'!$J$2:$J$3075,$E159,'标准化长表'!$E$2:$E$3075,"建设用地")/SUMIFS('标准化长表'!$N$2:$N$3075,'标准化长表'!$E$2:$E$3075,"建设用地"),0)</x:f>
        <x:v>0.042036176888757715</x:v>
      </x:c>
      <x:c r="J159" s="50" t="n">
        <x:f>IFERROR(H159/I159,0)</x:f>
        <x:v>0.5557772083242692</x:v>
      </x:c>
    </x:row>
    <x:row r="160">
      <x:c r="A160" s="21" t="n">
        <x:v>350600</x:v>
      </x:c>
      <x:c r="B160" s="22" t="str">
        <x:v>漳州市</x:v>
      </x:c>
      <x:c r="C160" s="22" t="n">
        <x:v>350625</x:v>
      </x:c>
      <x:c r="D160" s="22" t="str">
        <x:v>长泰区</x:v>
      </x:c>
      <x:c r="E160" s="22" t="str">
        <x:v>交通门户</x:v>
      </x:c>
      <x:c r="F160" s="33" t="n">
        <x:f>SUMIFS('标准化长表'!$N$2:$N$3075,'标准化长表'!$C$2:$C$3075,$C160,'标准化长表'!$J$2:$J$3075,$E160,'标准化长表'!$E$2:$E$3075,"建设用地")</x:f>
        <x:v>1501.3202140000003</x:v>
      </x:c>
      <x:c r="G160" s="33" t="n">
        <x:f>SUMIFS('标准化长表'!$N$2:$N$3075,'标准化长表'!$C$2:$C$3075,$C160,'标准化长表'!$E$2:$E$3075,"建设用地")</x:f>
        <x:v>8236.588497000006</x:v>
      </x:c>
      <x:c r="H160" s="40" t="n">
        <x:f>IFERROR(F160/G160,0)</x:f>
        <x:v>0.18227451991158994</x:v>
      </x:c>
      <x:c r="I160" s="40" t="n">
        <x:f>IFERROR(SUMIFS('标准化长表'!$N$2:$N$3075,'标准化长表'!$J$2:$J$3075,$E160,'标准化长表'!$E$2:$E$3075,"建设用地")/SUMIFS('标准化长表'!$N$2:$N$3075,'标准化长表'!$E$2:$E$3075,"建设用地"),0)</x:f>
        <x:v>0.1936476595437284</x:v>
      </x:c>
      <x:c r="J160" s="50" t="n">
        <x:f>IFERROR(H160/I160,0)</x:f>
        <x:v>0.9412689021962063</x:v>
      </x:c>
    </x:row>
    <x:row r="161">
      <x:c r="A161" s="21" t="n">
        <x:v>350600</x:v>
      </x:c>
      <x:c r="B161" s="22" t="str">
        <x:v>漳州市</x:v>
      </x:c>
      <x:c r="C161" s="22" t="n">
        <x:v>350625</x:v>
      </x:c>
      <x:c r="D161" s="22" t="str">
        <x:v>长泰区</x:v>
      </x:c>
      <x:c r="E161" s="22" t="str">
        <x:v>公共空间</x:v>
      </x:c>
      <x:c r="F161" s="33" t="n">
        <x:f>SUMIFS('标准化长表'!$N$2:$N$3075,'标准化长表'!$C$2:$C$3075,$C161,'标准化长表'!$J$2:$J$3075,$E161,'标准化长表'!$E$2:$E$3075,"建设用地")</x:f>
        <x:v>112.81082899999997</x:v>
      </x:c>
      <x:c r="G161" s="33" t="n">
        <x:f>SUMIFS('标准化长表'!$N$2:$N$3075,'标准化长表'!$C$2:$C$3075,$C161,'标准化长表'!$E$2:$E$3075,"建设用地")</x:f>
        <x:v>8236.588497000006</x:v>
      </x:c>
      <x:c r="H161" s="40" t="n">
        <x:f>IFERROR(F161/G161,0)</x:f>
        <x:v>0.013696305095378846</x:v>
      </x:c>
      <x:c r="I161" s="40" t="n">
        <x:f>IFERROR(SUMIFS('标准化长表'!$N$2:$N$3075,'标准化长表'!$J$2:$J$3075,$E161,'标准化长表'!$E$2:$E$3075,"建设用地")/SUMIFS('标准化长表'!$N$2:$N$3075,'标准化长表'!$E$2:$E$3075,"建设用地"),0)</x:f>
        <x:v>0.013901166268963908</x:v>
      </x:c>
      <x:c r="J161" s="50" t="n">
        <x:f>IFERROR(H161/I161,0)</x:f>
        <x:v>0.9852630225679381</x:v>
      </x:c>
    </x:row>
    <x:row r="162">
      <x:c r="A162" s="21" t="n">
        <x:v>350600</x:v>
      </x:c>
      <x:c r="B162" s="22" t="str">
        <x:v>漳州市</x:v>
      </x:c>
      <x:c r="C162" s="22" t="n">
        <x:v>350625</x:v>
      </x:c>
      <x:c r="D162" s="22" t="str">
        <x:v>长泰区</x:v>
      </x:c>
      <x:c r="E162" s="22" t="str">
        <x:v>其他建设</x:v>
      </x:c>
      <x:c r="F162" s="33" t="n">
        <x:f>SUMIFS('标准化长表'!$N$2:$N$3075,'标准化长表'!$C$2:$C$3075,$C162,'标准化长表'!$J$2:$J$3075,$E162,'标准化长表'!$E$2:$E$3075,"建设用地")</x:f>
        <x:v>469.0874239999997</x:v>
      </x:c>
      <x:c r="G162" s="33" t="n">
        <x:f>SUMIFS('标准化长表'!$N$2:$N$3075,'标准化长表'!$C$2:$C$3075,$C162,'标准化长表'!$E$2:$E$3075,"建设用地")</x:f>
        <x:v>8236.588497000006</x:v>
      </x:c>
      <x:c r="H162" s="40" t="n">
        <x:f>IFERROR(F162/G162,0)</x:f>
        <x:v>0.056951664414320854</x:v>
      </x:c>
      <x:c r="I162" s="40" t="n">
        <x:f>IFERROR(SUMIFS('标准化长表'!$N$2:$N$3075,'标准化长表'!$J$2:$J$3075,$E162,'标准化长表'!$E$2:$E$3075,"建设用地")/SUMIFS('标准化长表'!$N$2:$N$3075,'标准化长表'!$E$2:$E$3075,"建设用地"),0)</x:f>
        <x:v>0.04770007793470843</x:v>
      </x:c>
      <x:c r="J162" s="50" t="n">
        <x:f>IFERROR(H162/I162,0)</x:f>
        <x:v>1.193953278069607</x:v>
      </x:c>
    </x:row>
    <x:row r="163">
      <x:c r="A163" s="21" t="n">
        <x:v>350600</x:v>
      </x:c>
      <x:c r="B163" s="22" t="str">
        <x:v>漳州市</x:v>
      </x:c>
      <x:c r="C163" s="22" t="n">
        <x:v>350626</x:v>
      </x:c>
      <x:c r="D163" s="22" t="str">
        <x:v>东山县</x:v>
      </x:c>
      <x:c r="E163" s="22" t="str">
        <x:v>居住功能</x:v>
      </x:c>
      <x:c r="F163" s="33" t="n">
        <x:f>SUMIFS('标准化长表'!$N$2:$N$3075,'标准化长表'!$C$2:$C$3075,$C163,'标准化长表'!$J$2:$J$3075,$E163,'标准化长表'!$E$2:$E$3075,"建设用地")</x:f>
        <x:v>2046.968155000001</x:v>
      </x:c>
      <x:c r="G163" s="33" t="n">
        <x:f>SUMIFS('标准化长表'!$N$2:$N$3075,'标准化长表'!$C$2:$C$3075,$C163,'标准化长表'!$E$2:$E$3075,"建设用地")</x:f>
        <x:v>5317.8266810000005</x:v>
      </x:c>
      <x:c r="H163" s="40" t="n">
        <x:f>IFERROR(F163/G163,0)</x:f>
        <x:v>0.38492569949930655</x:v>
      </x:c>
      <x:c r="I163" s="40" t="n">
        <x:f>IFERROR(SUMIFS('标准化长表'!$N$2:$N$3075,'标准化长表'!$J$2:$J$3075,$E163,'标准化长表'!$E$2:$E$3075,"建设用地")/SUMIFS('标准化长表'!$N$2:$N$3075,'标准化长表'!$E$2:$E$3075,"建设用地"),0)</x:f>
        <x:v>0.4520331968015951</x:v>
      </x:c>
      <x:c r="J163" s="50" t="n">
        <x:f>IFERROR(H163/I163,0)</x:f>
        <x:v>0.8515429889284367</x:v>
      </x:c>
    </x:row>
    <x:row r="164">
      <x:c r="A164" s="21" t="n">
        <x:v>350600</x:v>
      </x:c>
      <x:c r="B164" s="22" t="str">
        <x:v>漳州市</x:v>
      </x:c>
      <x:c r="C164" s="22" t="n">
        <x:v>350626</x:v>
      </x:c>
      <x:c r="D164" s="22" t="str">
        <x:v>东山县</x:v>
      </x:c>
      <x:c r="E164" s="22" t="str">
        <x:v>产业功能</x:v>
      </x:c>
      <x:c r="F164" s="33" t="n">
        <x:f>SUMIFS('标准化长表'!$N$2:$N$3075,'标准化长表'!$C$2:$C$3075,$C164,'标准化长表'!$J$2:$J$3075,$E164,'标准化长表'!$E$2:$E$3075,"建设用地")</x:f>
        <x:v>1764.2617240000004</x:v>
      </x:c>
      <x:c r="G164" s="33" t="n">
        <x:f>SUMIFS('标准化长表'!$N$2:$N$3075,'标准化长表'!$C$2:$C$3075,$C164,'标准化长表'!$E$2:$E$3075,"建设用地")</x:f>
        <x:v>5317.8266810000005</x:v>
      </x:c>
      <x:c r="H164" s="40" t="n">
        <x:f>IFERROR(F164/G164,0)</x:f>
        <x:v>0.33176367524415756</x:v>
      </x:c>
      <x:c r="I164" s="40" t="n">
        <x:f>IFERROR(SUMIFS('标准化长表'!$N$2:$N$3075,'标准化长表'!$J$2:$J$3075,$E164,'标准化长表'!$E$2:$E$3075,"建设用地")/SUMIFS('标准化长表'!$N$2:$N$3075,'标准化长表'!$E$2:$E$3075,"建设用地"),0)</x:f>
        <x:v>0.2200846460431537</x:v>
      </x:c>
      <x:c r="J164" s="50" t="n">
        <x:f>IFERROR(H164/I164,0)</x:f>
        <x:v>1.5074367122325567</x:v>
      </x:c>
    </x:row>
    <x:row r="165">
      <x:c r="A165" s="21" t="n">
        <x:v>350600</x:v>
      </x:c>
      <x:c r="B165" s="22" t="str">
        <x:v>漳州市</x:v>
      </x:c>
      <x:c r="C165" s="22" t="n">
        <x:v>350626</x:v>
      </x:c>
      <x:c r="D165" s="22" t="str">
        <x:v>东山县</x:v>
      </x:c>
      <x:c r="E165" s="22" t="str">
        <x:v>商业服务</x:v>
      </x:c>
      <x:c r="F165" s="33" t="n">
        <x:f>SUMIFS('标准化长表'!$N$2:$N$3075,'标准化长表'!$C$2:$C$3075,$C165,'标准化长表'!$J$2:$J$3075,$E165,'标准化长表'!$E$2:$E$3075,"建设用地")</x:f>
        <x:v>157.194678</x:v>
      </x:c>
      <x:c r="G165" s="33" t="n">
        <x:f>SUMIFS('标准化长表'!$N$2:$N$3075,'标准化长表'!$C$2:$C$3075,$C165,'标准化长表'!$E$2:$E$3075,"建设用地")</x:f>
        <x:v>5317.8266810000005</x:v>
      </x:c>
      <x:c r="H165" s="40" t="n">
        <x:f>IFERROR(F165/G165,0)</x:f>
        <x:v>0.029559947593184824</x:v>
      </x:c>
      <x:c r="I165" s="40" t="n">
        <x:f>IFERROR(SUMIFS('标准化长表'!$N$2:$N$3075,'标准化长表'!$J$2:$J$3075,$E165,'标准化长表'!$E$2:$E$3075,"建设用地")/SUMIFS('标准化长表'!$N$2:$N$3075,'标准化长表'!$E$2:$E$3075,"建设用地"),0)</x:f>
        <x:v>0.030597076519092263</x:v>
      </x:c>
      <x:c r="J165" s="50" t="n">
        <x:f>IFERROR(H165/I165,0)</x:f>
        <x:v>0.9661036594375191</x:v>
      </x:c>
    </x:row>
    <x:row r="166">
      <x:c r="A166" s="21" t="n">
        <x:v>350600</x:v>
      </x:c>
      <x:c r="B166" s="22" t="str">
        <x:v>漳州市</x:v>
      </x:c>
      <x:c r="C166" s="22" t="n">
        <x:v>350626</x:v>
      </x:c>
      <x:c r="D166" s="22" t="str">
        <x:v>东山县</x:v>
      </x:c>
      <x:c r="E166" s="22" t="str">
        <x:v>公共服务</x:v>
      </x:c>
      <x:c r="F166" s="33" t="n">
        <x:f>SUMIFS('标准化长表'!$N$2:$N$3075,'标准化长表'!$C$2:$C$3075,$C166,'标准化长表'!$J$2:$J$3075,$E166,'标准化长表'!$E$2:$E$3075,"建设用地")</x:f>
        <x:v>203.08795199999994</x:v>
      </x:c>
      <x:c r="G166" s="33" t="n">
        <x:f>SUMIFS('标准化长表'!$N$2:$N$3075,'标准化长表'!$C$2:$C$3075,$C166,'标准化长表'!$E$2:$E$3075,"建设用地")</x:f>
        <x:v>5317.8266810000005</x:v>
      </x:c>
      <x:c r="H166" s="40" t="n">
        <x:f>IFERROR(F166/G166,0)</x:f>
        <x:v>0.038190028404951684</x:v>
      </x:c>
      <x:c r="I166" s="40" t="n">
        <x:f>IFERROR(SUMIFS('标准化长表'!$N$2:$N$3075,'标准化长表'!$J$2:$J$3075,$E166,'标准化长表'!$E$2:$E$3075,"建设用地")/SUMIFS('标准化长表'!$N$2:$N$3075,'标准化长表'!$E$2:$E$3075,"建设用地"),0)</x:f>
        <x:v>0.042036176888757715</x:v>
      </x:c>
      <x:c r="J166" s="50" t="n">
        <x:f>IFERROR(H166/I166,0)</x:f>
        <x:v>0.9085038467226867</x:v>
      </x:c>
    </x:row>
    <x:row r="167">
      <x:c r="A167" s="21" t="n">
        <x:v>350600</x:v>
      </x:c>
      <x:c r="B167" s="22" t="str">
        <x:v>漳州市</x:v>
      </x:c>
      <x:c r="C167" s="22" t="n">
        <x:v>350626</x:v>
      </x:c>
      <x:c r="D167" s="22" t="str">
        <x:v>东山县</x:v>
      </x:c>
      <x:c r="E167" s="22" t="str">
        <x:v>交通门户</x:v>
      </x:c>
      <x:c r="F167" s="33" t="n">
        <x:f>SUMIFS('标准化长表'!$N$2:$N$3075,'标准化长表'!$C$2:$C$3075,$C167,'标准化长表'!$J$2:$J$3075,$E167,'标准化长表'!$E$2:$E$3075,"建设用地")</x:f>
        <x:v>856.2721139999995</x:v>
      </x:c>
      <x:c r="G167" s="33" t="n">
        <x:f>SUMIFS('标准化长表'!$N$2:$N$3075,'标准化长表'!$C$2:$C$3075,$C167,'标准化长表'!$E$2:$E$3075,"建设用地")</x:f>
        <x:v>5317.8266810000005</x:v>
      </x:c>
      <x:c r="H167" s="40" t="n">
        <x:f>IFERROR(F167/G167,0)</x:f>
        <x:v>0.1610191842203816</x:v>
      </x:c>
      <x:c r="I167" s="40" t="n">
        <x:f>IFERROR(SUMIFS('标准化长表'!$N$2:$N$3075,'标准化长表'!$J$2:$J$3075,$E167,'标准化长表'!$E$2:$E$3075,"建设用地")/SUMIFS('标准化长表'!$N$2:$N$3075,'标准化长表'!$E$2:$E$3075,"建设用地"),0)</x:f>
        <x:v>0.1936476595437284</x:v>
      </x:c>
      <x:c r="J167" s="50" t="n">
        <x:f>IFERROR(H167/I167,0)</x:f>
        <x:v>0.8315059660404581</x:v>
      </x:c>
    </x:row>
    <x:row r="168">
      <x:c r="A168" s="21" t="n">
        <x:v>350600</x:v>
      </x:c>
      <x:c r="B168" s="22" t="str">
        <x:v>漳州市</x:v>
      </x:c>
      <x:c r="C168" s="22" t="n">
        <x:v>350626</x:v>
      </x:c>
      <x:c r="D168" s="22" t="str">
        <x:v>东山县</x:v>
      </x:c>
      <x:c r="E168" s="22" t="str">
        <x:v>公共空间</x:v>
      </x:c>
      <x:c r="F168" s="33" t="n">
        <x:f>SUMIFS('标准化长表'!$N$2:$N$3075,'标准化长表'!$C$2:$C$3075,$C168,'标准化长表'!$J$2:$J$3075,$E168,'标准化长表'!$E$2:$E$3075,"建设用地")</x:f>
        <x:v>9.046275</x:v>
      </x:c>
      <x:c r="G168" s="33" t="n">
        <x:f>SUMIFS('标准化长表'!$N$2:$N$3075,'标准化长表'!$C$2:$C$3075,$C168,'标准化长表'!$E$2:$E$3075,"建设用地")</x:f>
        <x:v>5317.8266810000005</x:v>
      </x:c>
      <x:c r="H168" s="40" t="n">
        <x:f>IFERROR(F168/G168,0)</x:f>
        <x:v>0.0017011225718057581</x:v>
      </x:c>
      <x:c r="I168" s="40" t="n">
        <x:f>IFERROR(SUMIFS('标准化长表'!$N$2:$N$3075,'标准化长表'!$J$2:$J$3075,$E168,'标准化长表'!$E$2:$E$3075,"建设用地")/SUMIFS('标准化长表'!$N$2:$N$3075,'标准化长表'!$E$2:$E$3075,"建设用地"),0)</x:f>
        <x:v>0.013901166268963908</x:v>
      </x:c>
      <x:c r="J168" s="50" t="n">
        <x:f>IFERROR(H168/I168,0)</x:f>
        <x:v>0.12237265125040098</x:v>
      </x:c>
    </x:row>
    <x:row r="169">
      <x:c r="A169" s="21" t="n">
        <x:v>350600</x:v>
      </x:c>
      <x:c r="B169" s="22" t="str">
        <x:v>漳州市</x:v>
      </x:c>
      <x:c r="C169" s="22" t="n">
        <x:v>350626</x:v>
      </x:c>
      <x:c r="D169" s="22" t="str">
        <x:v>东山县</x:v>
      </x:c>
      <x:c r="E169" s="22" t="str">
        <x:v>其他建设</x:v>
      </x:c>
      <x:c r="F169" s="33" t="n">
        <x:f>SUMIFS('标准化长表'!$N$2:$N$3075,'标准化长表'!$C$2:$C$3075,$C169,'标准化长表'!$J$2:$J$3075,$E169,'标准化长表'!$E$2:$E$3075,"建设用地")</x:f>
        <x:v>280.9957830000001</x:v>
      </x:c>
      <x:c r="G169" s="33" t="n">
        <x:f>SUMIFS('标准化长表'!$N$2:$N$3075,'标准化长表'!$C$2:$C$3075,$C169,'标准化长表'!$E$2:$E$3075,"建设用地")</x:f>
        <x:v>5317.8266810000005</x:v>
      </x:c>
      <x:c r="H169" s="40" t="n">
        <x:f>IFERROR(F169/G169,0)</x:f>
        <x:v>0.0528403424662121</x:v>
      </x:c>
      <x:c r="I169" s="40" t="n">
        <x:f>IFERROR(SUMIFS('标准化长表'!$N$2:$N$3075,'标准化长表'!$J$2:$J$3075,$E169,'标准化长表'!$E$2:$E$3075,"建设用地")/SUMIFS('标准化长表'!$N$2:$N$3075,'标准化长表'!$E$2:$E$3075,"建设用地"),0)</x:f>
        <x:v>0.04770007793470843</x:v>
      </x:c>
      <x:c r="J169" s="50" t="n">
        <x:f>IFERROR(H169/I169,0)</x:f>
        <x:v>1.1077621830836342</x:v>
      </x:c>
    </x:row>
    <x:row r="170">
      <x:c r="A170" s="21" t="n">
        <x:v>350600</x:v>
      </x:c>
      <x:c r="B170" s="22" t="str">
        <x:v>漳州市</x:v>
      </x:c>
      <x:c r="C170" s="22" t="n">
        <x:v>350627</x:v>
      </x:c>
      <x:c r="D170" s="22" t="str">
        <x:v>南靖县</x:v>
      </x:c>
      <x:c r="E170" s="22" t="str">
        <x:v>居住功能</x:v>
      </x:c>
      <x:c r="F170" s="33" t="n">
        <x:f>SUMIFS('标准化长表'!$N$2:$N$3075,'标准化长表'!$C$2:$C$3075,$C170,'标准化长表'!$J$2:$J$3075,$E170,'标准化长表'!$E$2:$E$3075,"建设用地")</x:f>
        <x:v>4642.155265000002</x:v>
      </x:c>
      <x:c r="G170" s="33" t="n">
        <x:f>SUMIFS('标准化长表'!$N$2:$N$3075,'标准化长表'!$C$2:$C$3075,$C170,'标准化长表'!$E$2:$E$3075,"建设用地")</x:f>
        <x:v>10155.956178000006</x:v>
      </x:c>
      <x:c r="H170" s="40" t="n">
        <x:f>IFERROR(F170/G170,0)</x:f>
        <x:v>0.4570869727712997</x:v>
      </x:c>
      <x:c r="I170" s="40" t="n">
        <x:f>IFERROR(SUMIFS('标准化长表'!$N$2:$N$3075,'标准化长表'!$J$2:$J$3075,$E170,'标准化长表'!$E$2:$E$3075,"建设用地")/SUMIFS('标准化长表'!$N$2:$N$3075,'标准化长表'!$E$2:$E$3075,"建设用地"),0)</x:f>
        <x:v>0.4520331968015951</x:v>
      </x:c>
      <x:c r="J170" s="50" t="n">
        <x:f>IFERROR(H170/I170,0)</x:f>
        <x:v>1.0111800991729438</x:v>
      </x:c>
    </x:row>
    <x:row r="171">
      <x:c r="A171" s="21" t="n">
        <x:v>350600</x:v>
      </x:c>
      <x:c r="B171" s="22" t="str">
        <x:v>漳州市</x:v>
      </x:c>
      <x:c r="C171" s="22" t="n">
        <x:v>350627</x:v>
      </x:c>
      <x:c r="D171" s="22" t="str">
        <x:v>南靖县</x:v>
      </x:c>
      <x:c r="E171" s="22" t="str">
        <x:v>产业功能</x:v>
      </x:c>
      <x:c r="F171" s="33" t="n">
        <x:f>SUMIFS('标准化长表'!$N$2:$N$3075,'标准化长表'!$C$2:$C$3075,$C171,'标准化长表'!$J$2:$J$3075,$E171,'标准化长表'!$E$2:$E$3075,"建设用地")</x:f>
        <x:v>1529.2697110000001</x:v>
      </x:c>
      <x:c r="G171" s="33" t="n">
        <x:f>SUMIFS('标准化长表'!$N$2:$N$3075,'标准化长表'!$C$2:$C$3075,$C171,'标准化长表'!$E$2:$E$3075,"建设用地")</x:f>
        <x:v>10155.956178000006</x:v>
      </x:c>
      <x:c r="H171" s="40" t="n">
        <x:f>IFERROR(F171/G171,0)</x:f>
        <x:v>0.15057860473174633</x:v>
      </x:c>
      <x:c r="I171" s="40" t="n">
        <x:f>IFERROR(SUMIFS('标准化长表'!$N$2:$N$3075,'标准化长表'!$J$2:$J$3075,$E171,'标准化长表'!$E$2:$E$3075,"建设用地")/SUMIFS('标准化长表'!$N$2:$N$3075,'标准化长表'!$E$2:$E$3075,"建设用地"),0)</x:f>
        <x:v>0.2200846460431537</x:v>
      </x:c>
      <x:c r="J171" s="50" t="n">
        <x:f>IFERROR(H171/I171,0)</x:f>
        <x:v>0.6841849599186544</x:v>
      </x:c>
    </x:row>
    <x:row r="172">
      <x:c r="A172" s="21" t="n">
        <x:v>350600</x:v>
      </x:c>
      <x:c r="B172" s="22" t="str">
        <x:v>漳州市</x:v>
      </x:c>
      <x:c r="C172" s="22" t="n">
        <x:v>350627</x:v>
      </x:c>
      <x:c r="D172" s="22" t="str">
        <x:v>南靖县</x:v>
      </x:c>
      <x:c r="E172" s="22" t="str">
        <x:v>商业服务</x:v>
      </x:c>
      <x:c r="F172" s="33" t="n">
        <x:f>SUMIFS('标准化长表'!$N$2:$N$3075,'标准化长表'!$C$2:$C$3075,$C172,'标准化长表'!$J$2:$J$3075,$E172,'标准化长表'!$E$2:$E$3075,"建设用地")</x:f>
        <x:v>242.78810600000006</x:v>
      </x:c>
      <x:c r="G172" s="33" t="n">
        <x:f>SUMIFS('标准化长表'!$N$2:$N$3075,'标准化长表'!$C$2:$C$3075,$C172,'标准化长表'!$E$2:$E$3075,"建设用地")</x:f>
        <x:v>10155.956178000006</x:v>
      </x:c>
      <x:c r="H172" s="40" t="n">
        <x:f>IFERROR(F172/G172,0)</x:f>
        <x:v>0.023905982040955585</x:v>
      </x:c>
      <x:c r="I172" s="40" t="n">
        <x:f>IFERROR(SUMIFS('标准化长表'!$N$2:$N$3075,'标准化长表'!$J$2:$J$3075,$E172,'标准化长表'!$E$2:$E$3075,"建设用地")/SUMIFS('标准化长表'!$N$2:$N$3075,'标准化长表'!$E$2:$E$3075,"建设用地"),0)</x:f>
        <x:v>0.030597076519092263</x:v>
      </x:c>
      <x:c r="J172" s="50" t="n">
        <x:f>IFERROR(H172/I172,0)</x:f>
        <x:v>0.7813158889882338</x:v>
      </x:c>
    </x:row>
    <x:row r="173">
      <x:c r="A173" s="21" t="n">
        <x:v>350600</x:v>
      </x:c>
      <x:c r="B173" s="22" t="str">
        <x:v>漳州市</x:v>
      </x:c>
      <x:c r="C173" s="22" t="n">
        <x:v>350627</x:v>
      </x:c>
      <x:c r="D173" s="22" t="str">
        <x:v>南靖县</x:v>
      </x:c>
      <x:c r="E173" s="22" t="str">
        <x:v>公共服务</x:v>
      </x:c>
      <x:c r="F173" s="33" t="n">
        <x:f>SUMIFS('标准化长表'!$N$2:$N$3075,'标准化长表'!$C$2:$C$3075,$C173,'标准化长表'!$J$2:$J$3075,$E173,'标准化长表'!$E$2:$E$3075,"建设用地")</x:f>
        <x:v>361.39051700000005</x:v>
      </x:c>
      <x:c r="G173" s="33" t="n">
        <x:f>SUMIFS('标准化长表'!$N$2:$N$3075,'标准化长表'!$C$2:$C$3075,$C173,'标准化长表'!$E$2:$E$3075,"建设用地")</x:f>
        <x:v>10155.956178000006</x:v>
      </x:c>
      <x:c r="H173" s="40" t="n">
        <x:f>IFERROR(F173/G173,0)</x:f>
        <x:v>0.035584095743033034</x:v>
      </x:c>
      <x:c r="I173" s="40" t="n">
        <x:f>IFERROR(SUMIFS('标准化长表'!$N$2:$N$3075,'标准化长表'!$J$2:$J$3075,$E173,'标准化长表'!$E$2:$E$3075,"建设用地")/SUMIFS('标准化长表'!$N$2:$N$3075,'标准化长表'!$E$2:$E$3075,"建设用地"),0)</x:f>
        <x:v>0.042036176888757715</x:v>
      </x:c>
      <x:c r="J173" s="50" t="n">
        <x:f>IFERROR(H173/I173,0)</x:f>
        <x:v>0.8465112285829627</x:v>
      </x:c>
    </x:row>
    <x:row r="174">
      <x:c r="A174" s="21" t="n">
        <x:v>350600</x:v>
      </x:c>
      <x:c r="B174" s="22" t="str">
        <x:v>漳州市</x:v>
      </x:c>
      <x:c r="C174" s="22" t="n">
        <x:v>350627</x:v>
      </x:c>
      <x:c r="D174" s="22" t="str">
        <x:v>南靖县</x:v>
      </x:c>
      <x:c r="E174" s="22" t="str">
        <x:v>交通门户</x:v>
      </x:c>
      <x:c r="F174" s="33" t="n">
        <x:f>SUMIFS('标准化长表'!$N$2:$N$3075,'标准化长表'!$C$2:$C$3075,$C174,'标准化长表'!$J$2:$J$3075,$E174,'标准化长表'!$E$2:$E$3075,"建设用地")</x:f>
        <x:v>2725.0023700000006</x:v>
      </x:c>
      <x:c r="G174" s="33" t="n">
        <x:f>SUMIFS('标准化长表'!$N$2:$N$3075,'标准化长表'!$C$2:$C$3075,$C174,'标准化长表'!$E$2:$E$3075,"建设用地")</x:f>
        <x:v>10155.956178000006</x:v>
      </x:c>
      <x:c r="H174" s="40" t="n">
        <x:f>IFERROR(F174/G174,0)</x:f>
        <x:v>0.26831568807897616</x:v>
      </x:c>
      <x:c r="I174" s="40" t="n">
        <x:f>IFERROR(SUMIFS('标准化长表'!$N$2:$N$3075,'标准化长表'!$J$2:$J$3075,$E174,'标准化长表'!$E$2:$E$3075,"建设用地")/SUMIFS('标准化长表'!$N$2:$N$3075,'标准化长表'!$E$2:$E$3075,"建设用地"),0)</x:f>
        <x:v>0.1936476595437284</x:v>
      </x:c>
      <x:c r="J174" s="50" t="n">
        <x:f>IFERROR(H174/I174,0)</x:f>
        <x:v>1.3855870435572533</x:v>
      </x:c>
    </x:row>
    <x:row r="175">
      <x:c r="A175" s="21" t="n">
        <x:v>350600</x:v>
      </x:c>
      <x:c r="B175" s="22" t="str">
        <x:v>漳州市</x:v>
      </x:c>
      <x:c r="C175" s="22" t="n">
        <x:v>350627</x:v>
      </x:c>
      <x:c r="D175" s="22" t="str">
        <x:v>南靖县</x:v>
      </x:c>
      <x:c r="E175" s="22" t="str">
        <x:v>公共空间</x:v>
      </x:c>
      <x:c r="F175" s="33" t="n">
        <x:f>SUMIFS('标准化长表'!$N$2:$N$3075,'标准化长表'!$C$2:$C$3075,$C175,'标准化长表'!$J$2:$J$3075,$E175,'标准化长表'!$E$2:$E$3075,"建设用地")</x:f>
        <x:v>65.123812</x:v>
      </x:c>
      <x:c r="G175" s="33" t="n">
        <x:f>SUMIFS('标准化长表'!$N$2:$N$3075,'标准化长表'!$C$2:$C$3075,$C175,'标准化长表'!$E$2:$E$3075,"建设用地")</x:f>
        <x:v>10155.956178000006</x:v>
      </x:c>
      <x:c r="H175" s="40" t="n">
        <x:f>IFERROR(F175/G175,0)</x:f>
        <x:v>0.006412376231109803</x:v>
      </x:c>
      <x:c r="I175" s="40" t="n">
        <x:f>IFERROR(SUMIFS('标准化长表'!$N$2:$N$3075,'标准化长表'!$J$2:$J$3075,$E175,'标准化长表'!$E$2:$E$3075,"建设用地")/SUMIFS('标准化长表'!$N$2:$N$3075,'标准化长表'!$E$2:$E$3075,"建设用地"),0)</x:f>
        <x:v>0.013901166268963908</x:v>
      </x:c>
      <x:c r="J175" s="50" t="n">
        <x:f>IFERROR(H175/I175,0)</x:f>
        <x:v>0.4612833273871585</x:v>
      </x:c>
    </x:row>
    <x:row r="176">
      <x:c r="A176" s="21" t="n">
        <x:v>350600</x:v>
      </x:c>
      <x:c r="B176" s="22" t="str">
        <x:v>漳州市</x:v>
      </x:c>
      <x:c r="C176" s="22" t="n">
        <x:v>350627</x:v>
      </x:c>
      <x:c r="D176" s="22" t="str">
        <x:v>南靖县</x:v>
      </x:c>
      <x:c r="E176" s="22" t="str">
        <x:v>其他建设</x:v>
      </x:c>
      <x:c r="F176" s="33" t="n">
        <x:f>SUMIFS('标准化长表'!$N$2:$N$3075,'标准化长表'!$C$2:$C$3075,$C176,'标准化长表'!$J$2:$J$3075,$E176,'标准化长表'!$E$2:$E$3075,"建设用地")</x:f>
        <x:v>590.2263970000001</x:v>
      </x:c>
      <x:c r="G176" s="33" t="n">
        <x:f>SUMIFS('标准化长表'!$N$2:$N$3075,'标准化长表'!$C$2:$C$3075,$C176,'标准化长表'!$E$2:$E$3075,"建设用地")</x:f>
        <x:v>10155.956178000006</x:v>
      </x:c>
      <x:c r="H176" s="40" t="n">
        <x:f>IFERROR(F176/G176,0)</x:f>
        <x:v>0.05811628040287905</x:v>
      </x:c>
      <x:c r="I176" s="40" t="n">
        <x:f>IFERROR(SUMIFS('标准化长表'!$N$2:$N$3075,'标准化长表'!$J$2:$J$3075,$E176,'标准化长表'!$E$2:$E$3075,"建设用地")/SUMIFS('标准化长表'!$N$2:$N$3075,'标准化长表'!$E$2:$E$3075,"建设用地"),0)</x:f>
        <x:v>0.04770007793470843</x:v>
      </x:c>
      <x:c r="J176" s="50" t="n">
        <x:f>IFERROR(H176/I176,0)</x:f>
        <x:v>1.2183686677080119</x:v>
      </x:c>
    </x:row>
    <x:row r="177">
      <x:c r="A177" s="21" t="n">
        <x:v>350600</x:v>
      </x:c>
      <x:c r="B177" s="22" t="str">
        <x:v>漳州市</x:v>
      </x:c>
      <x:c r="C177" s="22" t="n">
        <x:v>350628</x:v>
      </x:c>
      <x:c r="D177" s="22" t="str">
        <x:v>平和县</x:v>
      </x:c>
      <x:c r="E177" s="22" t="str">
        <x:v>居住功能</x:v>
      </x:c>
      <x:c r="F177" s="33" t="n">
        <x:f>SUMIFS('标准化长表'!$N$2:$N$3075,'标准化长表'!$C$2:$C$3075,$C177,'标准化长表'!$J$2:$J$3075,$E177,'标准化长表'!$E$2:$E$3075,"建设用地")</x:f>
        <x:v>5168.963566000005</x:v>
      </x:c>
      <x:c r="G177" s="33" t="n">
        <x:f>SUMIFS('标准化长表'!$N$2:$N$3075,'标准化长表'!$C$2:$C$3075,$C177,'标准化长表'!$E$2:$E$3075,"建设用地")</x:f>
        <x:v>8758.264321000004</x:v>
      </x:c>
      <x:c r="H177" s="40" t="n">
        <x:f>IFERROR(F177/G177,0)</x:f>
        <x:v>0.5901812706892388</x:v>
      </x:c>
      <x:c r="I177" s="40" t="n">
        <x:f>IFERROR(SUMIFS('标准化长表'!$N$2:$N$3075,'标准化长表'!$J$2:$J$3075,$E177,'标准化长表'!$E$2:$E$3075,"建设用地")/SUMIFS('标准化长表'!$N$2:$N$3075,'标准化长表'!$E$2:$E$3075,"建设用地"),0)</x:f>
        <x:v>0.4520331968015951</x:v>
      </x:c>
      <x:c r="J177" s="50" t="n">
        <x:f>IFERROR(H177/I177,0)</x:f>
        <x:v>1.305614885953341</x:v>
      </x:c>
    </x:row>
    <x:row r="178">
      <x:c r="A178" s="21" t="n">
        <x:v>350600</x:v>
      </x:c>
      <x:c r="B178" s="22" t="str">
        <x:v>漳州市</x:v>
      </x:c>
      <x:c r="C178" s="22" t="n">
        <x:v>350628</x:v>
      </x:c>
      <x:c r="D178" s="22" t="str">
        <x:v>平和县</x:v>
      </x:c>
      <x:c r="E178" s="22" t="str">
        <x:v>产业功能</x:v>
      </x:c>
      <x:c r="F178" s="33" t="n">
        <x:f>SUMIFS('标准化长表'!$N$2:$N$3075,'标准化长表'!$C$2:$C$3075,$C178,'标准化长表'!$J$2:$J$3075,$E178,'标准化长表'!$E$2:$E$3075,"建设用地")</x:f>
        <x:v>962.064187</x:v>
      </x:c>
      <x:c r="G178" s="33" t="n">
        <x:f>SUMIFS('标准化长表'!$N$2:$N$3075,'标准化长表'!$C$2:$C$3075,$C178,'标准化长表'!$E$2:$E$3075,"建设用地")</x:f>
        <x:v>8758.264321000004</x:v>
      </x:c>
      <x:c r="H178" s="40" t="n">
        <x:f>IFERROR(F178/G178,0)</x:f>
        <x:v>0.10984644351201232</x:v>
      </x:c>
      <x:c r="I178" s="40" t="n">
        <x:f>IFERROR(SUMIFS('标准化长表'!$N$2:$N$3075,'标准化长表'!$J$2:$J$3075,$E178,'标准化长表'!$E$2:$E$3075,"建设用地")/SUMIFS('标准化长表'!$N$2:$N$3075,'标准化长表'!$E$2:$E$3075,"建设用地"),0)</x:f>
        <x:v>0.2200846460431537</x:v>
      </x:c>
      <x:c r="J178" s="50" t="n">
        <x:f>IFERROR(H178/I178,0)</x:f>
        <x:v>0.4991099810319066</x:v>
      </x:c>
    </x:row>
    <x:row r="179">
      <x:c r="A179" s="21" t="n">
        <x:v>350600</x:v>
      </x:c>
      <x:c r="B179" s="22" t="str">
        <x:v>漳州市</x:v>
      </x:c>
      <x:c r="C179" s="22" t="n">
        <x:v>350628</x:v>
      </x:c>
      <x:c r="D179" s="22" t="str">
        <x:v>平和县</x:v>
      </x:c>
      <x:c r="E179" s="22" t="str">
        <x:v>商业服务</x:v>
      </x:c>
      <x:c r="F179" s="33" t="n">
        <x:f>SUMIFS('标准化长表'!$N$2:$N$3075,'标准化长表'!$C$2:$C$3075,$C179,'标准化长表'!$J$2:$J$3075,$E179,'标准化长表'!$E$2:$E$3075,"建设用地")</x:f>
        <x:v>353.82249199999967</x:v>
      </x:c>
      <x:c r="G179" s="33" t="n">
        <x:f>SUMIFS('标准化长表'!$N$2:$N$3075,'标准化长表'!$C$2:$C$3075,$C179,'标准化长表'!$E$2:$E$3075,"建设用地")</x:f>
        <x:v>8758.264321000004</x:v>
      </x:c>
      <x:c r="H179" s="40" t="n">
        <x:f>IFERROR(F179/G179,0)</x:f>
        <x:v>0.040398699905828006</x:v>
      </x:c>
      <x:c r="I179" s="40" t="n">
        <x:f>IFERROR(SUMIFS('标准化长表'!$N$2:$N$3075,'标准化长表'!$J$2:$J$3075,$E179,'标准化长表'!$E$2:$E$3075,"建设用地")/SUMIFS('标准化长表'!$N$2:$N$3075,'标准化长表'!$E$2:$E$3075,"建设用地"),0)</x:f>
        <x:v>0.030597076519092263</x:v>
      </x:c>
      <x:c r="J179" s="50" t="n">
        <x:f>IFERROR(H179/I179,0)</x:f>
        <x:v>1.320345095081866</x:v>
      </x:c>
    </x:row>
    <x:row r="180">
      <x:c r="A180" s="21" t="n">
        <x:v>350600</x:v>
      </x:c>
      <x:c r="B180" s="22" t="str">
        <x:v>漳州市</x:v>
      </x:c>
      <x:c r="C180" s="22" t="n">
        <x:v>350628</x:v>
      </x:c>
      <x:c r="D180" s="22" t="str">
        <x:v>平和县</x:v>
      </x:c>
      <x:c r="E180" s="22" t="str">
        <x:v>公共服务</x:v>
      </x:c>
      <x:c r="F180" s="33" t="n">
        <x:f>SUMIFS('标准化长表'!$N$2:$N$3075,'标准化长表'!$C$2:$C$3075,$C180,'标准化长表'!$J$2:$J$3075,$E180,'标准化长表'!$E$2:$E$3075,"建设用地")</x:f>
        <x:v>289.238791</x:v>
      </x:c>
      <x:c r="G180" s="33" t="n">
        <x:f>SUMIFS('标准化长表'!$N$2:$N$3075,'标准化长表'!$C$2:$C$3075,$C180,'标准化长表'!$E$2:$E$3075,"建设用地")</x:f>
        <x:v>8758.264321000004</x:v>
      </x:c>
      <x:c r="H180" s="40" t="n">
        <x:f>IFERROR(F180/G180,0)</x:f>
        <x:v>0.033024670231347295</x:v>
      </x:c>
      <x:c r="I180" s="40" t="n">
        <x:f>IFERROR(SUMIFS('标准化长表'!$N$2:$N$3075,'标准化长表'!$J$2:$J$3075,$E180,'标准化长表'!$E$2:$E$3075,"建设用地")/SUMIFS('标准化长表'!$N$2:$N$3075,'标准化长表'!$E$2:$E$3075,"建设用地"),0)</x:f>
        <x:v>0.042036176888757715</x:v>
      </x:c>
      <x:c r="J180" s="50" t="n">
        <x:f>IFERROR(H180/I180,0)</x:f>
        <x:v>0.7856249705757499</x:v>
      </x:c>
    </x:row>
    <x:row r="181">
      <x:c r="A181" s="21" t="n">
        <x:v>350600</x:v>
      </x:c>
      <x:c r="B181" s="22" t="str">
        <x:v>漳州市</x:v>
      </x:c>
      <x:c r="C181" s="22" t="n">
        <x:v>350628</x:v>
      </x:c>
      <x:c r="D181" s="22" t="str">
        <x:v>平和县</x:v>
      </x:c>
      <x:c r="E181" s="22" t="str">
        <x:v>交通门户</x:v>
      </x:c>
      <x:c r="F181" s="33" t="n">
        <x:f>SUMIFS('标准化长表'!$N$2:$N$3075,'标准化长表'!$C$2:$C$3075,$C181,'标准化长表'!$J$2:$J$3075,$E181,'标准化长表'!$E$2:$E$3075,"建设用地")</x:f>
        <x:v>1685.257835000001</x:v>
      </x:c>
      <x:c r="G181" s="33" t="n">
        <x:f>SUMIFS('标准化长表'!$N$2:$N$3075,'标准化长表'!$C$2:$C$3075,$C181,'标准化长表'!$E$2:$E$3075,"建设用地")</x:f>
        <x:v>8758.264321000004</x:v>
      </x:c>
      <x:c r="H181" s="40" t="n">
        <x:f>IFERROR(F181/G181,0)</x:f>
        <x:v>0.19241915672254808</x:v>
      </x:c>
      <x:c r="I181" s="40" t="n">
        <x:f>IFERROR(SUMIFS('标准化长表'!$N$2:$N$3075,'标准化长表'!$J$2:$J$3075,$E181,'标准化长表'!$E$2:$E$3075,"建设用地")/SUMIFS('标准化长表'!$N$2:$N$3075,'标准化长表'!$E$2:$E$3075,"建设用地"),0)</x:f>
        <x:v>0.1936476595437284</x:v>
      </x:c>
      <x:c r="J181" s="50" t="n">
        <x:f>IFERROR(H181/I181,0)</x:f>
        <x:v>0.9936559893154665</x:v>
      </x:c>
    </x:row>
    <x:row r="182">
      <x:c r="A182" s="21" t="n">
        <x:v>350600</x:v>
      </x:c>
      <x:c r="B182" s="22" t="str">
        <x:v>漳州市</x:v>
      </x:c>
      <x:c r="C182" s="22" t="n">
        <x:v>350628</x:v>
      </x:c>
      <x:c r="D182" s="22" t="str">
        <x:v>平和县</x:v>
      </x:c>
      <x:c r="E182" s="22" t="str">
        <x:v>公共空间</x:v>
      </x:c>
      <x:c r="F182" s="33" t="n">
        <x:f>SUMIFS('标准化长表'!$N$2:$N$3075,'标准化长表'!$C$2:$C$3075,$C182,'标准化长表'!$J$2:$J$3075,$E182,'标准化长表'!$E$2:$E$3075,"建设用地")</x:f>
        <x:v>55.179999</x:v>
      </x:c>
      <x:c r="G182" s="33" t="n">
        <x:f>SUMIFS('标准化长表'!$N$2:$N$3075,'标准化长表'!$C$2:$C$3075,$C182,'标准化长表'!$E$2:$E$3075,"建设用地")</x:f>
        <x:v>8758.264321000004</x:v>
      </x:c>
      <x:c r="H182" s="40" t="n">
        <x:f>IFERROR(F182/G182,0)</x:f>
        <x:v>0.006300334972500538</x:v>
      </x:c>
      <x:c r="I182" s="40" t="n">
        <x:f>IFERROR(SUMIFS('标准化长表'!$N$2:$N$3075,'标准化长表'!$J$2:$J$3075,$E182,'标准化长表'!$E$2:$E$3075,"建设用地")/SUMIFS('标准化长表'!$N$2:$N$3075,'标准化长表'!$E$2:$E$3075,"建设用地"),0)</x:f>
        <x:v>0.013901166268963908</x:v>
      </x:c>
      <x:c r="J182" s="50" t="n">
        <x:f>IFERROR(H182/I182,0)</x:f>
        <x:v>0.453223481440318</x:v>
      </x:c>
    </x:row>
    <x:row r="183">
      <x:c r="A183" s="21" t="n">
        <x:v>350600</x:v>
      </x:c>
      <x:c r="B183" s="22" t="str">
        <x:v>漳州市</x:v>
      </x:c>
      <x:c r="C183" s="22" t="n">
        <x:v>350628</x:v>
      </x:c>
      <x:c r="D183" s="22" t="str">
        <x:v>平和县</x:v>
      </x:c>
      <x:c r="E183" s="22" t="str">
        <x:v>其他建设</x:v>
      </x:c>
      <x:c r="F183" s="33" t="n">
        <x:f>SUMIFS('标准化长表'!$N$2:$N$3075,'标准化长表'!$C$2:$C$3075,$C183,'标准化长表'!$J$2:$J$3075,$E183,'标准化长表'!$E$2:$E$3075,"建设用地")</x:f>
        <x:v>243.7374509999999</x:v>
      </x:c>
      <x:c r="G183" s="33" t="n">
        <x:f>SUMIFS('标准化长表'!$N$2:$N$3075,'标准化长表'!$C$2:$C$3075,$C183,'标准化长表'!$E$2:$E$3075,"建设用地")</x:f>
        <x:v>8758.264321000004</x:v>
      </x:c>
      <x:c r="H183" s="40" t="n">
        <x:f>IFERROR(F183/G183,0)</x:f>
        <x:v>0.027829423966525182</x:v>
      </x:c>
      <x:c r="I183" s="40" t="n">
        <x:f>IFERROR(SUMIFS('标准化长表'!$N$2:$N$3075,'标准化长表'!$J$2:$J$3075,$E183,'标准化长表'!$E$2:$E$3075,"建设用地")/SUMIFS('标准化长表'!$N$2:$N$3075,'标准化长表'!$E$2:$E$3075,"建设用地"),0)</x:f>
        <x:v>0.04770007793470843</x:v>
      </x:c>
      <x:c r="J183" s="50" t="n">
        <x:f>IFERROR(H183/I183,0)</x:f>
        <x:v>0.5834251257328745</x:v>
      </x:c>
    </x:row>
    <x:row r="184">
      <x:c r="A184" s="21" t="n">
        <x:v>350600</x:v>
      </x:c>
      <x:c r="B184" s="22" t="str">
        <x:v>漳州市</x:v>
      </x:c>
      <x:c r="C184" s="22" t="n">
        <x:v>350629</x:v>
      </x:c>
      <x:c r="D184" s="22" t="str">
        <x:v>华安县</x:v>
      </x:c>
      <x:c r="E184" s="22" t="str">
        <x:v>居住功能</x:v>
      </x:c>
      <x:c r="F184" s="33" t="n">
        <x:f>SUMIFS('标准化长表'!$N$2:$N$3075,'标准化长表'!$C$2:$C$3075,$C184,'标准化长表'!$J$2:$J$3075,$E184,'标准化长表'!$E$2:$E$3075,"建设用地")</x:f>
        <x:v>2208.9972539999985</x:v>
      </x:c>
      <x:c r="G184" s="33" t="n">
        <x:f>SUMIFS('标准化长表'!$N$2:$N$3075,'标准化长表'!$C$2:$C$3075,$C184,'标准化长表'!$E$2:$E$3075,"建设用地")</x:f>
        <x:v>4976.498838999998</x:v>
      </x:c>
      <x:c r="H184" s="40" t="n">
        <x:f>IFERROR(F184/G184,0)</x:f>
        <x:v>0.4438858172111792</x:v>
      </x:c>
      <x:c r="I184" s="40" t="n">
        <x:f>IFERROR(SUMIFS('标准化长表'!$N$2:$N$3075,'标准化长表'!$J$2:$J$3075,$E184,'标准化长表'!$E$2:$E$3075,"建设用地")/SUMIFS('标准化长表'!$N$2:$N$3075,'标准化长表'!$E$2:$E$3075,"建设用地"),0)</x:f>
        <x:v>0.4520331968015951</x:v>
      </x:c>
      <x:c r="J184" s="50" t="n">
        <x:f>IFERROR(H184/I184,0)</x:f>
        <x:v>0.9819761476633498</x:v>
      </x:c>
    </x:row>
    <x:row r="185">
      <x:c r="A185" s="21" t="n">
        <x:v>350600</x:v>
      </x:c>
      <x:c r="B185" s="22" t="str">
        <x:v>漳州市</x:v>
      </x:c>
      <x:c r="C185" s="22" t="n">
        <x:v>350629</x:v>
      </x:c>
      <x:c r="D185" s="22" t="str">
        <x:v>华安县</x:v>
      </x:c>
      <x:c r="E185" s="22" t="str">
        <x:v>产业功能</x:v>
      </x:c>
      <x:c r="F185" s="33" t="n">
        <x:f>SUMIFS('标准化长表'!$N$2:$N$3075,'标准化长表'!$C$2:$C$3075,$C185,'标准化长表'!$J$2:$J$3075,$E185,'标准化长表'!$E$2:$E$3075,"建设用地")</x:f>
        <x:v>1013.337978</x:v>
      </x:c>
      <x:c r="G185" s="33" t="n">
        <x:f>SUMIFS('标准化长表'!$N$2:$N$3075,'标准化长表'!$C$2:$C$3075,$C185,'标准化长表'!$E$2:$E$3075,"建设用地")</x:f>
        <x:v>4976.498838999998</x:v>
      </x:c>
      <x:c r="H185" s="40" t="n">
        <x:f>IFERROR(F185/G185,0)</x:f>
        <x:v>0.20362467887235056</x:v>
      </x:c>
      <x:c r="I185" s="40" t="n">
        <x:f>IFERROR(SUMIFS('标准化长表'!$N$2:$N$3075,'标准化长表'!$J$2:$J$3075,$E185,'标准化长表'!$E$2:$E$3075,"建设用地")/SUMIFS('标准化长表'!$N$2:$N$3075,'标准化长表'!$E$2:$E$3075,"建设用地"),0)</x:f>
        <x:v>0.2200846460431537</x:v>
      </x:c>
      <x:c r="J185" s="50" t="n">
        <x:f>IFERROR(H185/I185,0)</x:f>
        <x:v>0.9252107429267206</x:v>
      </x:c>
    </x:row>
    <x:row r="186">
      <x:c r="A186" s="21" t="n">
        <x:v>350600</x:v>
      </x:c>
      <x:c r="B186" s="22" t="str">
        <x:v>漳州市</x:v>
      </x:c>
      <x:c r="C186" s="22" t="n">
        <x:v>350629</x:v>
      </x:c>
      <x:c r="D186" s="22" t="str">
        <x:v>华安县</x:v>
      </x:c>
      <x:c r="E186" s="22" t="str">
        <x:v>商业服务</x:v>
      </x:c>
      <x:c r="F186" s="33" t="n">
        <x:f>SUMIFS('标准化长表'!$N$2:$N$3075,'标准化长表'!$C$2:$C$3075,$C186,'标准化长表'!$J$2:$J$3075,$E186,'标准化长表'!$E$2:$E$3075,"建设用地")</x:f>
        <x:v>42.898257</x:v>
      </x:c>
      <x:c r="G186" s="33" t="n">
        <x:f>SUMIFS('标准化长表'!$N$2:$N$3075,'标准化长表'!$C$2:$C$3075,$C186,'标准化长表'!$E$2:$E$3075,"建设用地")</x:f>
        <x:v>4976.498838999998</x:v>
      </x:c>
      <x:c r="H186" s="40" t="n">
        <x:f>IFERROR(F186/G186,0)</x:f>
        <x:v>0.008620168192105955</x:v>
      </x:c>
      <x:c r="I186" s="40" t="n">
        <x:f>IFERROR(SUMIFS('标准化长表'!$N$2:$N$3075,'标准化长表'!$J$2:$J$3075,$E186,'标准化长表'!$E$2:$E$3075,"建设用地")/SUMIFS('标准化长表'!$N$2:$N$3075,'标准化长表'!$E$2:$E$3075,"建设用地"),0)</x:f>
        <x:v>0.030597076519092263</x:v>
      </x:c>
      <x:c r="J186" s="50" t="n">
        <x:f>IFERROR(H186/I186,0)</x:f>
        <x:v>0.2817317591348003</x:v>
      </x:c>
    </x:row>
    <x:row r="187">
      <x:c r="A187" s="21" t="n">
        <x:v>350600</x:v>
      </x:c>
      <x:c r="B187" s="22" t="str">
        <x:v>漳州市</x:v>
      </x:c>
      <x:c r="C187" s="22" t="n">
        <x:v>350629</x:v>
      </x:c>
      <x:c r="D187" s="22" t="str">
        <x:v>华安县</x:v>
      </x:c>
      <x:c r="E187" s="22" t="str">
        <x:v>公共服务</x:v>
      </x:c>
      <x:c r="F187" s="33" t="n">
        <x:f>SUMIFS('标准化长表'!$N$2:$N$3075,'标准化长表'!$C$2:$C$3075,$C187,'标准化长表'!$J$2:$J$3075,$E187,'标准化长表'!$E$2:$E$3075,"建设用地")</x:f>
        <x:v>154.05832300000003</x:v>
      </x:c>
      <x:c r="G187" s="33" t="n">
        <x:f>SUMIFS('标准化长表'!$N$2:$N$3075,'标准化长表'!$C$2:$C$3075,$C187,'标准化长表'!$E$2:$E$3075,"建设用地")</x:f>
        <x:v>4976.498838999998</x:v>
      </x:c>
      <x:c r="H187" s="40" t="n">
        <x:f>IFERROR(F187/G187,0)</x:f>
        <x:v>0.03095717048955592</x:v>
      </x:c>
      <x:c r="I187" s="40" t="n">
        <x:f>IFERROR(SUMIFS('标准化长表'!$N$2:$N$3075,'标准化长表'!$J$2:$J$3075,$E187,'标准化长表'!$E$2:$E$3075,"建设用地")/SUMIFS('标准化长表'!$N$2:$N$3075,'标准化长表'!$E$2:$E$3075,"建设用地"),0)</x:f>
        <x:v>0.042036176888757715</x:v>
      </x:c>
      <x:c r="J187" s="50" t="n">
        <x:f>IFERROR(H187/I187,0)</x:f>
        <x:v>0.7364411509514606</x:v>
      </x:c>
    </x:row>
    <x:row r="188">
      <x:c r="A188" s="21" t="n">
        <x:v>350600</x:v>
      </x:c>
      <x:c r="B188" s="22" t="str">
        <x:v>漳州市</x:v>
      </x:c>
      <x:c r="C188" s="22" t="n">
        <x:v>350629</x:v>
      </x:c>
      <x:c r="D188" s="22" t="str">
        <x:v>华安县</x:v>
      </x:c>
      <x:c r="E188" s="22" t="str">
        <x:v>交通门户</x:v>
      </x:c>
      <x:c r="F188" s="33" t="n">
        <x:f>SUMIFS('标准化长表'!$N$2:$N$3075,'标准化长表'!$C$2:$C$3075,$C188,'标准化长表'!$J$2:$J$3075,$E188,'标准化长表'!$E$2:$E$3075,"建设用地")</x:f>
        <x:v>1385.2746940000002</x:v>
      </x:c>
      <x:c r="G188" s="33" t="n">
        <x:f>SUMIFS('标准化长表'!$N$2:$N$3075,'标准化长表'!$C$2:$C$3075,$C188,'标准化长表'!$E$2:$E$3075,"建设用地")</x:f>
        <x:v>4976.498838999998</x:v>
      </x:c>
      <x:c r="H188" s="40" t="n">
        <x:f>IFERROR(F188/G188,0)</x:f>
        <x:v>0.27836331099764994</x:v>
      </x:c>
      <x:c r="I188" s="40" t="n">
        <x:f>IFERROR(SUMIFS('标准化长表'!$N$2:$N$3075,'标准化长表'!$J$2:$J$3075,$E188,'标准化长表'!$E$2:$E$3075,"建设用地")/SUMIFS('标准化长表'!$N$2:$N$3075,'标准化长表'!$E$2:$E$3075,"建设用地"),0)</x:f>
        <x:v>0.1936476595437284</x:v>
      </x:c>
      <x:c r="J188" s="50" t="n">
        <x:f>IFERROR(H188/I188,0)</x:f>
        <x:v>1.4374731491902775</x:v>
      </x:c>
    </x:row>
    <x:row r="189">
      <x:c r="A189" s="21" t="n">
        <x:v>350600</x:v>
      </x:c>
      <x:c r="B189" s="22" t="str">
        <x:v>漳州市</x:v>
      </x:c>
      <x:c r="C189" s="22" t="n">
        <x:v>350629</x:v>
      </x:c>
      <x:c r="D189" s="22" t="str">
        <x:v>华安县</x:v>
      </x:c>
      <x:c r="E189" s="22" t="str">
        <x:v>公共空间</x:v>
      </x:c>
      <x:c r="F189" s="33" t="n">
        <x:f>SUMIFS('标准化长表'!$N$2:$N$3075,'标准化长表'!$C$2:$C$3075,$C189,'标准化长表'!$J$2:$J$3075,$E189,'标准化长表'!$E$2:$E$3075,"建设用地")</x:f>
        <x:v>16.8471</x:v>
      </x:c>
      <x:c r="G189" s="33" t="n">
        <x:f>SUMIFS('标准化长表'!$N$2:$N$3075,'标准化长表'!$C$2:$C$3075,$C189,'标准化长表'!$E$2:$E$3075,"建设用地")</x:f>
        <x:v>4976.498838999998</x:v>
      </x:c>
      <x:c r="H189" s="40" t="n">
        <x:f>IFERROR(F189/G189,0)</x:f>
        <x:v>0.0033853318457490768</x:v>
      </x:c>
      <x:c r="I189" s="40" t="n">
        <x:f>IFERROR(SUMIFS('标准化长表'!$N$2:$N$3075,'标准化长表'!$J$2:$J$3075,$E189,'标准化长表'!$E$2:$E$3075,"建设用地")/SUMIFS('标准化长表'!$N$2:$N$3075,'标准化长表'!$E$2:$E$3075,"建设用地"),0)</x:f>
        <x:v>0.013901166268963908</x:v>
      </x:c>
      <x:c r="J189" s="50" t="n">
        <x:f>IFERROR(H189/I189,0)</x:f>
        <x:v>0.24352862056669689</x:v>
      </x:c>
    </x:row>
    <x:row r="190">
      <x:c r="A190" s="21" t="n">
        <x:v>350600</x:v>
      </x:c>
      <x:c r="B190" s="22" t="str">
        <x:v>漳州市</x:v>
      </x:c>
      <x:c r="C190" s="22" t="n">
        <x:v>350629</x:v>
      </x:c>
      <x:c r="D190" s="22" t="str">
        <x:v>华安县</x:v>
      </x:c>
      <x:c r="E190" s="22" t="str">
        <x:v>其他建设</x:v>
      </x:c>
      <x:c r="F190" s="33" t="n">
        <x:f>SUMIFS('标准化长表'!$N$2:$N$3075,'标准化长表'!$C$2:$C$3075,$C190,'标准化长表'!$J$2:$J$3075,$E190,'标准化长表'!$E$2:$E$3075,"建设用地")</x:f>
        <x:v>155.08523300000002</x:v>
      </x:c>
      <x:c r="G190" s="33" t="n">
        <x:f>SUMIFS('标准化长表'!$N$2:$N$3075,'标准化长表'!$C$2:$C$3075,$C190,'标准化长表'!$E$2:$E$3075,"建设用地")</x:f>
        <x:v>4976.498838999998</x:v>
      </x:c>
      <x:c r="H190" s="40" t="n">
        <x:f>IFERROR(F190/G190,0)</x:f>
        <x:v>0.03116352239140954</x:v>
      </x:c>
      <x:c r="I190" s="40" t="n">
        <x:f>IFERROR(SUMIFS('标准化长表'!$N$2:$N$3075,'标准化长表'!$J$2:$J$3075,$E190,'标准化长表'!$E$2:$E$3075,"建设用地")/SUMIFS('标准化长表'!$N$2:$N$3075,'标准化长表'!$E$2:$E$3075,"建设用地"),0)</x:f>
        <x:v>0.04770007793470843</x:v>
      </x:c>
      <x:c r="J190" s="50" t="n">
        <x:f>IFERROR(H190/I190,0)</x:f>
        <x:v>0.6533222531431914</x:v>
      </x:c>
    </x:row>
    <x:row r="191">
      <x:c r="A191" s="21" t="n">
        <x:v>350600</x:v>
      </x:c>
      <x:c r="B191" s="22" t="str">
        <x:v>漳州市</x:v>
      </x:c>
      <x:c r="C191" s="22" t="n">
        <x:v>350681</x:v>
      </x:c>
      <x:c r="D191" s="22" t="str">
        <x:v>龙海区</x:v>
      </x:c>
      <x:c r="E191" s="22" t="str">
        <x:v>居住功能</x:v>
      </x:c>
      <x:c r="F191" s="33" t="n">
        <x:f>SUMIFS('标准化长表'!$N$2:$N$3075,'标准化长表'!$C$2:$C$3075,$C191,'标准化长表'!$J$2:$J$3075,$E191,'标准化长表'!$E$2:$E$3075,"建设用地")</x:f>
        <x:v>10726.828920000025</x:v>
      </x:c>
      <x:c r="G191" s="33" t="n">
        <x:f>SUMIFS('标准化长表'!$N$2:$N$3075,'标准化长表'!$C$2:$C$3075,$C191,'标准化长表'!$E$2:$E$3075,"建设用地")</x:f>
        <x:v>24433.721474000024</x:v>
      </x:c>
      <x:c r="H191" s="40" t="n">
        <x:f>IFERROR(F191/G191,0)</x:f>
        <x:v>0.4390174018892074</x:v>
      </x:c>
      <x:c r="I191" s="40" t="n">
        <x:f>IFERROR(SUMIFS('标准化长表'!$N$2:$N$3075,'标准化长表'!$J$2:$J$3075,$E191,'标准化长表'!$E$2:$E$3075,"建设用地")/SUMIFS('标准化长表'!$N$2:$N$3075,'标准化长表'!$E$2:$E$3075,"建设用地"),0)</x:f>
        <x:v>0.4520331968015951</x:v>
      </x:c>
      <x:c r="J191" s="50" t="n">
        <x:f>IFERROR(H191/I191,0)</x:f>
        <x:v>0.9712061083024827</x:v>
      </x:c>
    </x:row>
    <x:row r="192">
      <x:c r="A192" s="21" t="n">
        <x:v>350600</x:v>
      </x:c>
      <x:c r="B192" s="22" t="str">
        <x:v>漳州市</x:v>
      </x:c>
      <x:c r="C192" s="22" t="n">
        <x:v>350681</x:v>
      </x:c>
      <x:c r="D192" s="22" t="str">
        <x:v>龙海区</x:v>
      </x:c>
      <x:c r="E192" s="22" t="str">
        <x:v>产业功能</x:v>
      </x:c>
      <x:c r="F192" s="33" t="n">
        <x:f>SUMIFS('标准化长表'!$N$2:$N$3075,'标准化长表'!$C$2:$C$3075,$C192,'标准化长表'!$J$2:$J$3075,$E192,'标准化长表'!$E$2:$E$3075,"建设用地")</x:f>
        <x:v>6065.112479000002</x:v>
      </x:c>
      <x:c r="G192" s="33" t="n">
        <x:f>SUMIFS('标准化长表'!$N$2:$N$3075,'标准化长表'!$C$2:$C$3075,$C192,'标准化长表'!$E$2:$E$3075,"建设用地")</x:f>
        <x:v>24433.721474000024</x:v>
      </x:c>
      <x:c r="H192" s="40" t="n">
        <x:f>IFERROR(F192/G192,0)</x:f>
        <x:v>0.2482271268195433</x:v>
      </x:c>
      <x:c r="I192" s="40" t="n">
        <x:f>IFERROR(SUMIFS('标准化长表'!$N$2:$N$3075,'标准化长表'!$J$2:$J$3075,$E192,'标准化长表'!$E$2:$E$3075,"建设用地")/SUMIFS('标准化长表'!$N$2:$N$3075,'标准化长表'!$E$2:$E$3075,"建设用地"),0)</x:f>
        <x:v>0.2200846460431537</x:v>
      </x:c>
      <x:c r="J192" s="50" t="n">
        <x:f>IFERROR(H192/I192,0)</x:f>
        <x:v>1.1278711681271554</x:v>
      </x:c>
    </x:row>
    <x:row r="193">
      <x:c r="A193" s="21" t="n">
        <x:v>350600</x:v>
      </x:c>
      <x:c r="B193" s="22" t="str">
        <x:v>漳州市</x:v>
      </x:c>
      <x:c r="C193" s="22" t="n">
        <x:v>350681</x:v>
      </x:c>
      <x:c r="D193" s="22" t="str">
        <x:v>龙海区</x:v>
      </x:c>
      <x:c r="E193" s="22" t="str">
        <x:v>商业服务</x:v>
      </x:c>
      <x:c r="F193" s="33" t="n">
        <x:f>SUMIFS('标准化长表'!$N$2:$N$3075,'标准化长表'!$C$2:$C$3075,$C193,'标准化长表'!$J$2:$J$3075,$E193,'标准化长表'!$E$2:$E$3075,"建设用地")</x:f>
        <x:v>477.48764800000015</x:v>
      </x:c>
      <x:c r="G193" s="33" t="n">
        <x:f>SUMIFS('标准化长表'!$N$2:$N$3075,'标准化长表'!$C$2:$C$3075,$C193,'标准化长表'!$E$2:$E$3075,"建设用地")</x:f>
        <x:v>24433.721474000024</x:v>
      </x:c>
      <x:c r="H193" s="40" t="n">
        <x:f>IFERROR(F193/G193,0)</x:f>
        <x:v>0.01954215809933398</x:v>
      </x:c>
      <x:c r="I193" s="40" t="n">
        <x:f>IFERROR(SUMIFS('标准化长表'!$N$2:$N$3075,'标准化长表'!$J$2:$J$3075,$E193,'标准化长表'!$E$2:$E$3075,"建设用地")/SUMIFS('标准化长表'!$N$2:$N$3075,'标准化长表'!$E$2:$E$3075,"建设用地"),0)</x:f>
        <x:v>0.030597076519092263</x:v>
      </x:c>
      <x:c r="J193" s="50" t="n">
        <x:f>IFERROR(H193/I193,0)</x:f>
        <x:v>0.6386936375159853</x:v>
      </x:c>
    </x:row>
    <x:row r="194">
      <x:c r="A194" s="21" t="n">
        <x:v>350600</x:v>
      </x:c>
      <x:c r="B194" s="22" t="str">
        <x:v>漳州市</x:v>
      </x:c>
      <x:c r="C194" s="22" t="n">
        <x:v>350681</x:v>
      </x:c>
      <x:c r="D194" s="22" t="str">
        <x:v>龙海区</x:v>
      </x:c>
      <x:c r="E194" s="22" t="str">
        <x:v>公共服务</x:v>
      </x:c>
      <x:c r="F194" s="33" t="n">
        <x:f>SUMIFS('标准化长表'!$N$2:$N$3075,'标准化长表'!$C$2:$C$3075,$C194,'标准化长表'!$J$2:$J$3075,$E194,'标准化长表'!$E$2:$E$3075,"建设用地")</x:f>
        <x:v>821.6267829999995</x:v>
      </x:c>
      <x:c r="G194" s="33" t="n">
        <x:f>SUMIFS('标准化长表'!$N$2:$N$3075,'标准化长表'!$C$2:$C$3075,$C194,'标准化长表'!$E$2:$E$3075,"建设用地")</x:f>
        <x:v>24433.721474000024</x:v>
      </x:c>
      <x:c r="H194" s="40" t="n">
        <x:f>IFERROR(F194/G194,0)</x:f>
        <x:v>0.03362675570621914</x:v>
      </x:c>
      <x:c r="I194" s="40" t="n">
        <x:f>IFERROR(SUMIFS('标准化长表'!$N$2:$N$3075,'标准化长表'!$J$2:$J$3075,$E194,'标准化长表'!$E$2:$E$3075,"建设用地")/SUMIFS('标准化长表'!$N$2:$N$3075,'标准化长表'!$E$2:$E$3075,"建设用地"),0)</x:f>
        <x:v>0.042036176888757715</x:v>
      </x:c>
      <x:c r="J194" s="50" t="n">
        <x:f>IFERROR(H194/I194,0)</x:f>
        <x:v>0.7999480018177482</x:v>
      </x:c>
    </x:row>
    <x:row r="195">
      <x:c r="A195" s="21" t="n">
        <x:v>350600</x:v>
      </x:c>
      <x:c r="B195" s="22" t="str">
        <x:v>漳州市</x:v>
      </x:c>
      <x:c r="C195" s="22" t="n">
        <x:v>350681</x:v>
      </x:c>
      <x:c r="D195" s="22" t="str">
        <x:v>龙海区</x:v>
      </x:c>
      <x:c r="E195" s="22" t="str">
        <x:v>交通门户</x:v>
      </x:c>
      <x:c r="F195" s="33" t="n">
        <x:f>SUMIFS('标准化长表'!$N$2:$N$3075,'标准化长表'!$C$2:$C$3075,$C195,'标准化长表'!$J$2:$J$3075,$E195,'标准化长表'!$E$2:$E$3075,"建设用地")</x:f>
        <x:v>4882.406652999998</x:v>
      </x:c>
      <x:c r="G195" s="33" t="n">
        <x:f>SUMIFS('标准化长表'!$N$2:$N$3075,'标准化长表'!$C$2:$C$3075,$C195,'标准化长表'!$E$2:$E$3075,"建设用地")</x:f>
        <x:v>24433.721474000024</x:v>
      </x:c>
      <x:c r="H195" s="40" t="n">
        <x:f>IFERROR(F195/G195,0)</x:f>
        <x:v>0.19982247314210314</x:v>
      </x:c>
      <x:c r="I195" s="40" t="n">
        <x:f>IFERROR(SUMIFS('标准化长表'!$N$2:$N$3075,'标准化长表'!$J$2:$J$3075,$E195,'标准化长表'!$E$2:$E$3075,"建设用地")/SUMIFS('标准化长表'!$N$2:$N$3075,'标准化长表'!$E$2:$E$3075,"建设用地"),0)</x:f>
        <x:v>0.1936476595437284</x:v>
      </x:c>
      <x:c r="J195" s="50" t="n">
        <x:f>IFERROR(H195/I195,0)</x:f>
        <x:v>1.0318868485832662</x:v>
      </x:c>
    </x:row>
    <x:row r="196">
      <x:c r="A196" s="21" t="n">
        <x:v>350600</x:v>
      </x:c>
      <x:c r="B196" s="22" t="str">
        <x:v>漳州市</x:v>
      </x:c>
      <x:c r="C196" s="22" t="n">
        <x:v>350681</x:v>
      </x:c>
      <x:c r="D196" s="22" t="str">
        <x:v>龙海区</x:v>
      </x:c>
      <x:c r="E196" s="22" t="str">
        <x:v>公共空间</x:v>
      </x:c>
      <x:c r="F196" s="33" t="n">
        <x:f>SUMIFS('标准化长表'!$N$2:$N$3075,'标准化长表'!$C$2:$C$3075,$C196,'标准化长表'!$J$2:$J$3075,$E196,'标准化长表'!$E$2:$E$3075,"建设用地")</x:f>
        <x:v>224.90700500000003</x:v>
      </x:c>
      <x:c r="G196" s="33" t="n">
        <x:f>SUMIFS('标准化长表'!$N$2:$N$3075,'标准化长表'!$C$2:$C$3075,$C196,'标准化长表'!$E$2:$E$3075,"建设用地")</x:f>
        <x:v>24433.721474000024</x:v>
      </x:c>
      <x:c r="H196" s="40" t="n">
        <x:f>IFERROR(F196/G196,0)</x:f>
        <x:v>0.009204778946151288</x:v>
      </x:c>
      <x:c r="I196" s="40" t="n">
        <x:f>IFERROR(SUMIFS('标准化长表'!$N$2:$N$3075,'标准化长表'!$J$2:$J$3075,$E196,'标准化长表'!$E$2:$E$3075,"建设用地")/SUMIFS('标准化长表'!$N$2:$N$3075,'标准化长表'!$E$2:$E$3075,"建设用地"),0)</x:f>
        <x:v>0.013901166268963908</x:v>
      </x:c>
      <x:c r="J196" s="50" t="n">
        <x:f>IFERROR(H196/I196,0)</x:f>
        <x:v>0.6621587547443489</x:v>
      </x:c>
    </x:row>
    <x:row r="197">
      <x:c r="A197" s="24" t="n">
        <x:v>350600</x:v>
      </x:c>
      <x:c r="B197" s="25" t="str">
        <x:v>漳州市</x:v>
      </x:c>
      <x:c r="C197" s="25" t="n">
        <x:v>350681</x:v>
      </x:c>
      <x:c r="D197" s="25" t="str">
        <x:v>龙海区</x:v>
      </x:c>
      <x:c r="E197" s="25" t="str">
        <x:v>其他建设</x:v>
      </x:c>
      <x:c r="F197" s="37" t="n">
        <x:f>SUMIFS('标准化长表'!$N$2:$N$3075,'标准化长表'!$C$2:$C$3075,$C197,'标准化长表'!$J$2:$J$3075,$E197,'标准化长表'!$E$2:$E$3075,"建设用地")</x:f>
        <x:v>1235.3519860000001</x:v>
      </x:c>
      <x:c r="G197" s="37" t="n">
        <x:f>SUMIFS('标准化长表'!$N$2:$N$3075,'标准化长表'!$C$2:$C$3075,$C197,'标准化长表'!$E$2:$E$3075,"建设用地")</x:f>
        <x:v>24433.721474000024</x:v>
      </x:c>
      <x:c r="H197" s="42" t="n">
        <x:f>IFERROR(F197/G197,0)</x:f>
        <x:v>0.05055930539744185</x:v>
      </x:c>
      <x:c r="I197" s="42" t="n">
        <x:f>IFERROR(SUMIFS('标准化长表'!$N$2:$N$3075,'标准化长表'!$J$2:$J$3075,$E197,'标准化长表'!$E$2:$E$3075,"建设用地")/SUMIFS('标准化长表'!$N$2:$N$3075,'标准化长表'!$E$2:$E$3075,"建设用地"),0)</x:f>
        <x:v>0.04770007793470843</x:v>
      </x:c>
      <x:c r="J197" s="51" t="n">
        <x:f>IFERROR(H197/I197,0)</x:f>
        <x:v>1.0599417775930495</x:v>
      </x:c>
    </x:row>
  </x:sheetData>
  <x:pageMargins left="0.7" right="0.7" top="0.75" bottom="0.75" header="0.3" footer="0.3"/>
  <x:tableParts count="1">
    <x:tablePart xmlns:r="http://schemas.openxmlformats.org/officeDocument/2006/relationships" r:id="R409923e6a14c42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>
      <x:c r="A1" s="18" t="str">
        <x:v>地市编码</x:v>
      </x:c>
      <x:c r="B1" s="19" t="str">
        <x:v>城市</x:v>
      </x:c>
      <x:c r="C1" s="19" t="str">
        <x:v>区县编码</x:v>
      </x:c>
      <x:c r="D1" s="19" t="str">
        <x:v>区县</x:v>
      </x:c>
      <x:c r="E1" s="19" t="str">
        <x:v>201_城市范围_总面积</x:v>
      </x:c>
      <x:c r="F1" s="19" t="str">
        <x:v>201_城市范围_建设用地</x:v>
      </x:c>
      <x:c r="G1" s="19" t="str">
        <x:v>201_城市范围_建设占该范围比</x:v>
      </x:c>
      <x:c r="H1" s="19" t="str">
        <x:v>201A_城市独立工业用地_总面积</x:v>
      </x:c>
      <x:c r="I1" s="19" t="str">
        <x:v>201A_城市独立工业用地_建设用地</x:v>
      </x:c>
      <x:c r="J1" s="19" t="str">
        <x:v>201A_城市独立工业用地_建设占该范围比</x:v>
      </x:c>
      <x:c r="K1" s="19" t="str">
        <x:v>202_建制镇范围_总面积</x:v>
      </x:c>
      <x:c r="L1" s="19" t="str">
        <x:v>202_建制镇范围_建设用地</x:v>
      </x:c>
      <x:c r="M1" s="19" t="str">
        <x:v>202_建制镇范围_建设占该范围比</x:v>
      </x:c>
      <x:c r="N1" s="19" t="str">
        <x:v>202A_建制镇独立工业用地_总面积</x:v>
      </x:c>
      <x:c r="O1" s="19" t="str">
        <x:v>202A_建制镇独立工业用地_建设用地</x:v>
      </x:c>
      <x:c r="P1" s="19" t="str">
        <x:v>202A_建制镇独立工业用地_建设占该范围比</x:v>
      </x:c>
      <x:c r="Q1" s="19" t="str">
        <x:v>203_村庄范围_总面积</x:v>
      </x:c>
      <x:c r="R1" s="19" t="str">
        <x:v>203_村庄范围_建设用地</x:v>
      </x:c>
      <x:c r="S1" s="19" t="str">
        <x:v>203_村庄范围_建设占该范围比</x:v>
      </x:c>
      <x:c r="T1" s="19" t="str">
        <x:v>203A_村庄独立工业用地_总面积</x:v>
      </x:c>
      <x:c r="U1" s="19" t="str">
        <x:v>203A_村庄独立工业用地_建设用地</x:v>
      </x:c>
      <x:c r="V1" s="19" t="str">
        <x:v>203A_村庄独立工业用地_建设占该范围比</x:v>
      </x:c>
      <x:c r="W1" s="19" t="str">
        <x:v>204_盐田及采矿用地_总面积</x:v>
      </x:c>
      <x:c r="X1" s="19" t="str">
        <x:v>204_盐田及采矿用地_建设用地</x:v>
      </x:c>
      <x:c r="Y1" s="19" t="str">
        <x:v>204_盐田及采矿用地_建设占该范围比</x:v>
      </x:c>
      <x:c r="Z1" s="19" t="str">
        <x:v>205_特殊用地_总面积</x:v>
      </x:c>
      <x:c r="AA1" s="19" t="str">
        <x:v>205_特殊用地_建设用地</x:v>
      </x:c>
      <x:c r="AB1" s="20" t="str">
        <x:v>205_特殊用地_建设占该范围比</x:v>
      </x:c>
    </x:row>
    <x:row r="2">
      <x:c r="A2" s="21" t="n">
        <x:v>350200</x:v>
      </x:c>
      <x:c r="B2" s="22" t="str">
        <x:v>厦门市</x:v>
      </x:c>
      <x:c r="C2" s="22" t="n">
        <x:v>350203</x:v>
      </x:c>
      <x:c r="D2" s="22" t="str">
        <x:v>思明区</x:v>
      </x:c>
      <x:c r="E2" s="33" t="n">
        <x:f>SUMIFS('标准化长表'!$N$2:$N$3075,'标准化长表'!$C$2:$C$3075,$C2,'标准化长表'!$K$2:$K$3075,"201")</x:f>
        <x:v>4954.969496000001</x:v>
      </x:c>
      <x:c r="F2" s="33" t="n">
        <x:f>SUMIFS('标准化长表'!$N$2:$N$3075,'标准化长表'!$C$2:$C$3075,$C2,'标准化长表'!$K$2:$K$3075,"201",'标准化长表'!$E$2:$E$3075,"建设用地")</x:f>
        <x:v>4645.036612000001</x:v>
      </x:c>
      <x:c r="G2" s="40" t="n">
        <x:f>IFERROR(F2/E2,0)</x:f>
        <x:v>0.9374500924273702</x:v>
      </x:c>
      <x:c r="H2" s="33" t="n">
        <x:f>SUMIFS('标准化长表'!$N$2:$N$3075,'标准化长表'!$C$2:$C$3075,$C2,'标准化长表'!$K$2:$K$3075,"201A")</x:f>
        <x:v>0</x:v>
      </x:c>
      <x:c r="I2" s="33" t="n">
        <x:f>SUMIFS('标准化长表'!$N$2:$N$3075,'标准化长表'!$C$2:$C$3075,$C2,'标准化长表'!$K$2:$K$3075,"201A",'标准化长表'!$E$2:$E$3075,"建设用地")</x:f>
        <x:v>0</x:v>
      </x:c>
      <x:c r="J2" s="40" t="n">
        <x:f>IFERROR(I2/H2,0)</x:f>
        <x:v>0</x:v>
      </x:c>
      <x:c r="K2" s="33" t="n">
        <x:f>SUMIFS('标准化长表'!$N$2:$N$3075,'标准化长表'!$C$2:$C$3075,$C2,'标准化长表'!$K$2:$K$3075,"202")</x:f>
        <x:v>0</x:v>
      </x:c>
      <x:c r="L2" s="33" t="n">
        <x:f>SUMIFS('标准化长表'!$N$2:$N$3075,'标准化长表'!$C$2:$C$3075,$C2,'标准化长表'!$K$2:$K$3075,"202",'标准化长表'!$E$2:$E$3075,"建设用地")</x:f>
        <x:v>0</x:v>
      </x:c>
      <x:c r="M2" s="40" t="n">
        <x:f>IFERROR(L2/K2,0)</x:f>
        <x:v>0</x:v>
      </x:c>
      <x:c r="N2" s="33" t="n">
        <x:f>SUMIFS('标准化长表'!$N$2:$N$3075,'标准化长表'!$C$2:$C$3075,$C2,'标准化长表'!$K$2:$K$3075,"202A")</x:f>
        <x:v>0</x:v>
      </x:c>
      <x:c r="O2" s="33" t="n">
        <x:f>SUMIFS('标准化长表'!$N$2:$N$3075,'标准化长表'!$C$2:$C$3075,$C2,'标准化长表'!$K$2:$K$3075,"202A",'标准化长表'!$E$2:$E$3075,"建设用地")</x:f>
        <x:v>0</x:v>
      </x:c>
      <x:c r="P2" s="40" t="n">
        <x:f>IFERROR(O2/N2,0)</x:f>
        <x:v>0</x:v>
      </x:c>
      <x:c r="Q2" s="33" t="n">
        <x:f>SUMIFS('标准化长表'!$N$2:$N$3075,'标准化长表'!$C$2:$C$3075,$C2,'标准化长表'!$K$2:$K$3075,"203")</x:f>
        <x:v>0.035635</x:v>
      </x:c>
      <x:c r="R2" s="33" t="n">
        <x:f>SUMIFS('标准化长表'!$N$2:$N$3075,'标准化长表'!$C$2:$C$3075,$C2,'标准化长表'!$K$2:$K$3075,"203",'标准化长表'!$E$2:$E$3075,"建设用地")</x:f>
        <x:v>0.035635</x:v>
      </x:c>
      <x:c r="S2" s="40" t="n">
        <x:f>IFERROR(R2/Q2,0)</x:f>
        <x:v>1</x:v>
      </x:c>
      <x:c r="T2" s="33" t="n">
        <x:f>SUMIFS('标准化长表'!$N$2:$N$3075,'标准化长表'!$C$2:$C$3075,$C2,'标准化长表'!$K$2:$K$3075,"203A")</x:f>
        <x:v>0</x:v>
      </x:c>
      <x:c r="U2" s="33" t="n">
        <x:f>SUMIFS('标准化长表'!$N$2:$N$3075,'标准化长表'!$C$2:$C$3075,$C2,'标准化长表'!$K$2:$K$3075,"203A",'标准化长表'!$E$2:$E$3075,"建设用地")</x:f>
        <x:v>0</x:v>
      </x:c>
      <x:c r="V2" s="40" t="n">
        <x:f>IFERROR(U2/T2,0)</x:f>
        <x:v>0</x:v>
      </x:c>
      <x:c r="W2" s="33" t="n">
        <x:f>SUMIFS('标准化长表'!$N$2:$N$3075,'标准化长表'!$C$2:$C$3075,$C2,'标准化长表'!$K$2:$K$3075,"204")</x:f>
        <x:v>0</x:v>
      </x:c>
      <x:c r="X2" s="33" t="n">
        <x:f>SUMIFS('标准化长表'!$N$2:$N$3075,'标准化长表'!$C$2:$C$3075,$C2,'标准化长表'!$K$2:$K$3075,"204",'标准化长表'!$E$2:$E$3075,"建设用地")</x:f>
        <x:v>0</x:v>
      </x:c>
      <x:c r="Y2" s="40" t="n">
        <x:f>IFERROR(X2/W2,0)</x:f>
        <x:v>0</x:v>
      </x:c>
      <x:c r="Z2" s="33" t="n">
        <x:f>SUMIFS('标准化长表'!$N$2:$N$3075,'标准化长表'!$C$2:$C$3075,$C2,'标准化长表'!$K$2:$K$3075,"205")</x:f>
        <x:v>55.38167300000001</x:v>
      </x:c>
      <x:c r="AA2" s="33" t="n">
        <x:f>SUMIFS('标准化长表'!$N$2:$N$3075,'标准化长表'!$C$2:$C$3075,$C2,'标准化长表'!$K$2:$K$3075,"205",'标准化长表'!$E$2:$E$3075,"建设用地")</x:f>
        <x:v>55.38167300000001</x:v>
      </x:c>
      <x:c r="AB2" s="52" t="n">
        <x:f>IFERROR(AA2/Z2,0)</x:f>
        <x:v>1</x:v>
      </x:c>
    </x:row>
    <x:row r="3">
      <x:c r="A3" s="21" t="n">
        <x:v>350200</x:v>
      </x:c>
      <x:c r="B3" s="22" t="str">
        <x:v>厦门市</x:v>
      </x:c>
      <x:c r="C3" s="22" t="n">
        <x:v>350205</x:v>
      </x:c>
      <x:c r="D3" s="22" t="str">
        <x:v>海沧区</x:v>
      </x:c>
      <x:c r="E3" s="33" t="n">
        <x:f>SUMIFS('标准化长表'!$N$2:$N$3075,'标准化长表'!$C$2:$C$3075,$C3,'标准化长表'!$K$2:$K$3075,"201")</x:f>
        <x:v>5428.686158999998</x:v>
      </x:c>
      <x:c r="F3" s="33" t="n">
        <x:f>SUMIFS('标准化长表'!$N$2:$N$3075,'标准化长表'!$C$2:$C$3075,$C3,'标准化长表'!$K$2:$K$3075,"201",'标准化长表'!$E$2:$E$3075,"建设用地")</x:f>
        <x:v>5206.641785999999</x:v>
      </x:c>
      <x:c r="G3" s="40" t="n">
        <x:f>IFERROR(F3/E3,0)</x:f>
        <x:v>0.9590979536306624</x:v>
      </x:c>
      <x:c r="H3" s="33" t="n">
        <x:f>SUMIFS('标准化长表'!$N$2:$N$3075,'标准化长表'!$C$2:$C$3075,$C3,'标准化长表'!$K$2:$K$3075,"201A")</x:f>
        <x:v>0.9123119999999999</x:v>
      </x:c>
      <x:c r="I3" s="33" t="n">
        <x:f>SUMIFS('标准化长表'!$N$2:$N$3075,'标准化长表'!$C$2:$C$3075,$C3,'标准化长表'!$K$2:$K$3075,"201A",'标准化长表'!$E$2:$E$3075,"建设用地")</x:f>
        <x:v>0.9123119999999999</x:v>
      </x:c>
      <x:c r="J3" s="40" t="n">
        <x:f>IFERROR(I3/H3,0)</x:f>
        <x:v>1</x:v>
      </x:c>
      <x:c r="K3" s="33" t="n">
        <x:f>SUMIFS('标准化长表'!$N$2:$N$3075,'标准化长表'!$C$2:$C$3075,$C3,'标准化长表'!$K$2:$K$3075,"202")</x:f>
        <x:v>653.7779289999999</x:v>
      </x:c>
      <x:c r="L3" s="33" t="n">
        <x:f>SUMIFS('标准化长表'!$N$2:$N$3075,'标准化长表'!$C$2:$C$3075,$C3,'标准化长表'!$K$2:$K$3075,"202",'标准化长表'!$E$2:$E$3075,"建设用地")</x:f>
        <x:v>636.1676209999999</x:v>
      </x:c>
      <x:c r="M3" s="40" t="n">
        <x:f>IFERROR(L3/K3,0)</x:f>
        <x:v>0.9730637771346363</x:v>
      </x:c>
      <x:c r="N3" s="33" t="n">
        <x:f>SUMIFS('标准化长表'!$N$2:$N$3075,'标准化长表'!$C$2:$C$3075,$C3,'标准化长表'!$K$2:$K$3075,"202A")</x:f>
        <x:v>0.882333</x:v>
      </x:c>
      <x:c r="O3" s="33" t="n">
        <x:f>SUMIFS('标准化长表'!$N$2:$N$3075,'标准化长表'!$C$2:$C$3075,$C3,'标准化长表'!$K$2:$K$3075,"202A",'标准化长表'!$E$2:$E$3075,"建设用地")</x:f>
        <x:v>0.882333</x:v>
      </x:c>
      <x:c r="P3" s="40" t="n">
        <x:f>IFERROR(O3/N3,0)</x:f>
        <x:v>1</x:v>
      </x:c>
      <x:c r="Q3" s="33" t="n">
        <x:f>SUMIFS('标准化长表'!$N$2:$N$3075,'标准化长表'!$C$2:$C$3075,$C3,'标准化长表'!$K$2:$K$3075,"203")</x:f>
        <x:v>695.5720170000003</x:v>
      </x:c>
      <x:c r="R3" s="33" t="n">
        <x:f>SUMIFS('标准化长表'!$N$2:$N$3075,'标准化长表'!$C$2:$C$3075,$C3,'标准化长表'!$K$2:$K$3075,"203",'标准化长表'!$E$2:$E$3075,"建设用地")</x:f>
        <x:v>682.3935750000002</x:v>
      </x:c>
      <x:c r="S3" s="40" t="n">
        <x:f>IFERROR(R3/Q3,0)</x:f>
        <x:v>0.981053806539201</x:v>
      </x:c>
      <x:c r="T3" s="33" t="n">
        <x:f>SUMIFS('标准化长表'!$N$2:$N$3075,'标准化长表'!$C$2:$C$3075,$C3,'标准化长表'!$K$2:$K$3075,"203A")</x:f>
        <x:v>9.397561999999999</x:v>
      </x:c>
      <x:c r="U3" s="33" t="n">
        <x:f>SUMIFS('标准化长表'!$N$2:$N$3075,'标准化长表'!$C$2:$C$3075,$C3,'标准化长表'!$K$2:$K$3075,"203A",'标准化长表'!$E$2:$E$3075,"建设用地")</x:f>
        <x:v>9.397561999999999</x:v>
      </x:c>
      <x:c r="V3" s="40" t="n">
        <x:f>IFERROR(U3/T3,0)</x:f>
        <x:v>1</x:v>
      </x:c>
      <x:c r="W3" s="33" t="n">
        <x:f>SUMIFS('标准化长表'!$N$2:$N$3075,'标准化长表'!$C$2:$C$3075,$C3,'标准化长表'!$K$2:$K$3075,"204")</x:f>
        <x:v>61.947492</x:v>
      </x:c>
      <x:c r="X3" s="33" t="n">
        <x:f>SUMIFS('标准化长表'!$N$2:$N$3075,'标准化长表'!$C$2:$C$3075,$C3,'标准化长表'!$K$2:$K$3075,"204",'标准化长表'!$E$2:$E$3075,"建设用地")</x:f>
        <x:v>51.643522999999995</x:v>
      </x:c>
      <x:c r="Y3" s="40" t="n">
        <x:f>IFERROR(X3/W3,0)</x:f>
        <x:v>0.8336660828819349</x:v>
      </x:c>
      <x:c r="Z3" s="33" t="n">
        <x:f>SUMIFS('标准化长表'!$N$2:$N$3075,'标准化长表'!$C$2:$C$3075,$C3,'标准化长表'!$K$2:$K$3075,"205")</x:f>
        <x:v>51.012488</x:v>
      </x:c>
      <x:c r="AA3" s="33" t="n">
        <x:f>SUMIFS('标准化长表'!$N$2:$N$3075,'标准化长表'!$C$2:$C$3075,$C3,'标准化长表'!$K$2:$K$3075,"205",'标准化长表'!$E$2:$E$3075,"建设用地")</x:f>
        <x:v>50.730976999999996</x:v>
      </x:c>
      <x:c r="AB3" s="52" t="n">
        <x:f>IFERROR(AA3/Z3,0)</x:f>
        <x:v>0.9944815277388548</x:v>
      </x:c>
    </x:row>
    <x:row r="4">
      <x:c r="A4" s="21" t="n">
        <x:v>350200</x:v>
      </x:c>
      <x:c r="B4" s="22" t="str">
        <x:v>厦门市</x:v>
      </x:c>
      <x:c r="C4" s="22" t="n">
        <x:v>350206</x:v>
      </x:c>
      <x:c r="D4" s="22" t="str">
        <x:v>湖里区</x:v>
      </x:c>
      <x:c r="E4" s="33" t="n">
        <x:f>SUMIFS('标准化长表'!$N$2:$N$3075,'标准化长表'!$C$2:$C$3075,$C4,'标准化长表'!$K$2:$K$3075,"201")</x:f>
        <x:v>5986.274859000001</x:v>
      </x:c>
      <x:c r="F4" s="33" t="n">
        <x:f>SUMIFS('标准化长表'!$N$2:$N$3075,'标准化长表'!$C$2:$C$3075,$C4,'标准化长表'!$K$2:$K$3075,"201",'标准化长表'!$E$2:$E$3075,"建设用地")</x:f>
        <x:v>5726.877231</x:v>
      </x:c>
      <x:c r="G4" s="40" t="n">
        <x:f>IFERROR(F4/E4,0)</x:f>
        <x:v>0.9566679388919117</x:v>
      </x:c>
      <x:c r="H4" s="33" t="n">
        <x:f>SUMIFS('标准化长表'!$N$2:$N$3075,'标准化长表'!$C$2:$C$3075,$C4,'标准化长表'!$K$2:$K$3075,"201A")</x:f>
        <x:v>0.76822</x:v>
      </x:c>
      <x:c r="I4" s="33" t="n">
        <x:f>SUMIFS('标准化长表'!$N$2:$N$3075,'标准化长表'!$C$2:$C$3075,$C4,'标准化长表'!$K$2:$K$3075,"201A",'标准化长表'!$E$2:$E$3075,"建设用地")</x:f>
        <x:v>0.76822</x:v>
      </x:c>
      <x:c r="J4" s="40" t="n">
        <x:f>IFERROR(I4/H4,0)</x:f>
        <x:v>1</x:v>
      </x:c>
      <x:c r="K4" s="33" t="n">
        <x:f>SUMIFS('标准化长表'!$N$2:$N$3075,'标准化长表'!$C$2:$C$3075,$C4,'标准化长表'!$K$2:$K$3075,"202")</x:f>
        <x:v>0</x:v>
      </x:c>
      <x:c r="L4" s="33" t="n">
        <x:f>SUMIFS('标准化长表'!$N$2:$N$3075,'标准化长表'!$C$2:$C$3075,$C4,'标准化长表'!$K$2:$K$3075,"202",'标准化长表'!$E$2:$E$3075,"建设用地")</x:f>
        <x:v>0</x:v>
      </x:c>
      <x:c r="M4" s="40" t="n">
        <x:f>IFERROR(L4/K4,0)</x:f>
        <x:v>0</x:v>
      </x:c>
      <x:c r="N4" s="33" t="n">
        <x:f>SUMIFS('标准化长表'!$N$2:$N$3075,'标准化长表'!$C$2:$C$3075,$C4,'标准化长表'!$K$2:$K$3075,"202A")</x:f>
        <x:v>0</x:v>
      </x:c>
      <x:c r="O4" s="33" t="n">
        <x:f>SUMIFS('标准化长表'!$N$2:$N$3075,'标准化长表'!$C$2:$C$3075,$C4,'标准化长表'!$K$2:$K$3075,"202A",'标准化长表'!$E$2:$E$3075,"建设用地")</x:f>
        <x:v>0</x:v>
      </x:c>
      <x:c r="P4" s="40" t="n">
        <x:f>IFERROR(O4/N4,0)</x:f>
        <x:v>0</x:v>
      </x:c>
      <x:c r="Q4" s="33" t="n">
        <x:f>SUMIFS('标准化长表'!$N$2:$N$3075,'标准化长表'!$C$2:$C$3075,$C4,'标准化长表'!$K$2:$K$3075,"203")</x:f>
        <x:v>0</x:v>
      </x:c>
      <x:c r="R4" s="33" t="n">
        <x:f>SUMIFS('标准化长表'!$N$2:$N$3075,'标准化长表'!$C$2:$C$3075,$C4,'标准化长表'!$K$2:$K$3075,"203",'标准化长表'!$E$2:$E$3075,"建设用地")</x:f>
        <x:v>0</x:v>
      </x:c>
      <x:c r="S4" s="40" t="n">
        <x:f>IFERROR(R4/Q4,0)</x:f>
        <x:v>0</x:v>
      </x:c>
      <x:c r="T4" s="33" t="n">
        <x:f>SUMIFS('标准化长表'!$N$2:$N$3075,'标准化长表'!$C$2:$C$3075,$C4,'标准化长表'!$K$2:$K$3075,"203A")</x:f>
        <x:v>0</x:v>
      </x:c>
      <x:c r="U4" s="33" t="n">
        <x:f>SUMIFS('标准化长表'!$N$2:$N$3075,'标准化长表'!$C$2:$C$3075,$C4,'标准化长表'!$K$2:$K$3075,"203A",'标准化长表'!$E$2:$E$3075,"建设用地")</x:f>
        <x:v>0</x:v>
      </x:c>
      <x:c r="V4" s="40" t="n">
        <x:f>IFERROR(U4/T4,0)</x:f>
        <x:v>0</x:v>
      </x:c>
      <x:c r="W4" s="33" t="n">
        <x:f>SUMIFS('标准化长表'!$N$2:$N$3075,'标准化长表'!$C$2:$C$3075,$C4,'标准化长表'!$K$2:$K$3075,"204")</x:f>
        <x:v>0</x:v>
      </x:c>
      <x:c r="X4" s="33" t="n">
        <x:f>SUMIFS('标准化长表'!$N$2:$N$3075,'标准化长表'!$C$2:$C$3075,$C4,'标准化长表'!$K$2:$K$3075,"204",'标准化长表'!$E$2:$E$3075,"建设用地")</x:f>
        <x:v>0</x:v>
      </x:c>
      <x:c r="Y4" s="40" t="n">
        <x:f>IFERROR(X4/W4,0)</x:f>
        <x:v>0</x:v>
      </x:c>
      <x:c r="Z4" s="33" t="n">
        <x:f>SUMIFS('标准化长表'!$N$2:$N$3075,'标准化长表'!$C$2:$C$3075,$C4,'标准化长表'!$K$2:$K$3075,"205")</x:f>
        <x:v>3.7780429999999985</x:v>
      </x:c>
      <x:c r="AA4" s="33" t="n">
        <x:f>SUMIFS('标准化长表'!$N$2:$N$3075,'标准化长表'!$C$2:$C$3075,$C4,'标准化长表'!$K$2:$K$3075,"205",'标准化长表'!$E$2:$E$3075,"建设用地")</x:f>
        <x:v>3.7780429999999985</x:v>
      </x:c>
      <x:c r="AB4" s="52" t="n">
        <x:f>IFERROR(AA4/Z4,0)</x:f>
        <x:v>1</x:v>
      </x:c>
    </x:row>
    <x:row r="5">
      <x:c r="A5" s="21" t="n">
        <x:v>350200</x:v>
      </x:c>
      <x:c r="B5" s="22" t="str">
        <x:v>厦门市</x:v>
      </x:c>
      <x:c r="C5" s="22" t="n">
        <x:v>350211</x:v>
      </x:c>
      <x:c r="D5" s="22" t="str">
        <x:v>集美区</x:v>
      </x:c>
      <x:c r="E5" s="33" t="n">
        <x:f>SUMIFS('标准化长表'!$N$2:$N$3075,'标准化长表'!$C$2:$C$3075,$C5,'标准化长表'!$K$2:$K$3075,"201")</x:f>
        <x:v>6668.024153000002</x:v>
      </x:c>
      <x:c r="F5" s="33" t="n">
        <x:f>SUMIFS('标准化长表'!$N$2:$N$3075,'标准化长表'!$C$2:$C$3075,$C5,'标准化长表'!$K$2:$K$3075,"201",'标准化长表'!$E$2:$E$3075,"建设用地")</x:f>
        <x:v>6279.297292000002</x:v>
      </x:c>
      <x:c r="G5" s="40" t="n">
        <x:f>IFERROR(F5/E5,0)</x:f>
        <x:v>0.9417028414893925</x:v>
      </x:c>
      <x:c r="H5" s="33" t="n">
        <x:f>SUMIFS('标准化长表'!$N$2:$N$3075,'标准化长表'!$C$2:$C$3075,$C5,'标准化长表'!$K$2:$K$3075,"201A")</x:f>
        <x:v>4.2625150000000005</x:v>
      </x:c>
      <x:c r="I5" s="33" t="n">
        <x:f>SUMIFS('标准化长表'!$N$2:$N$3075,'标准化长表'!$C$2:$C$3075,$C5,'标准化长表'!$K$2:$K$3075,"201A",'标准化长表'!$E$2:$E$3075,"建设用地")</x:f>
        <x:v>4.2625150000000005</x:v>
      </x:c>
      <x:c r="J5" s="40" t="n">
        <x:f>IFERROR(I5/H5,0)</x:f>
        <x:v>1</x:v>
      </x:c>
      <x:c r="K5" s="33" t="n">
        <x:f>SUMIFS('标准化长表'!$N$2:$N$3075,'标准化长表'!$C$2:$C$3075,$C5,'标准化长表'!$K$2:$K$3075,"202")</x:f>
        <x:v>1113.9604009999996</x:v>
      </x:c>
      <x:c r="L5" s="33" t="n">
        <x:f>SUMIFS('标准化长表'!$N$2:$N$3075,'标准化长表'!$C$2:$C$3075,$C5,'标准化长表'!$K$2:$K$3075,"202",'标准化长表'!$E$2:$E$3075,"建设用地")</x:f>
        <x:v>1057.0696609999995</x:v>
      </x:c>
      <x:c r="M5" s="40" t="n">
        <x:f>IFERROR(L5/K5,0)</x:f>
        <x:v>0.9489292977120826</x:v>
      </x:c>
      <x:c r="N5" s="33" t="n">
        <x:f>SUMIFS('标准化长表'!$N$2:$N$3075,'标准化长表'!$C$2:$C$3075,$C5,'标准化长表'!$K$2:$K$3075,"202A")</x:f>
        <x:v>10.776172</x:v>
      </x:c>
      <x:c r="O5" s="33" t="n">
        <x:f>SUMIFS('标准化长表'!$N$2:$N$3075,'标准化长表'!$C$2:$C$3075,$C5,'标准化长表'!$K$2:$K$3075,"202A",'标准化长表'!$E$2:$E$3075,"建设用地")</x:f>
        <x:v>10.776172</x:v>
      </x:c>
      <x:c r="P5" s="40" t="n">
        <x:f>IFERROR(O5/N5,0)</x:f>
        <x:v>1</x:v>
      </x:c>
      <x:c r="Q5" s="33" t="n">
        <x:f>SUMIFS('标准化长表'!$N$2:$N$3075,'标准化长表'!$C$2:$C$3075,$C5,'标准化长表'!$K$2:$K$3075,"203")</x:f>
        <x:v>988.4093560000001</x:v>
      </x:c>
      <x:c r="R5" s="33" t="n">
        <x:f>SUMIFS('标准化长表'!$N$2:$N$3075,'标准化长表'!$C$2:$C$3075,$C5,'标准化长表'!$K$2:$K$3075,"203",'标准化长表'!$E$2:$E$3075,"建设用地")</x:f>
        <x:v>955.4865300000002</x:v>
      </x:c>
      <x:c r="S5" s="40" t="n">
        <x:f>IFERROR(R5/Q5,0)</x:f>
        <x:v>0.9666911024261896</x:v>
      </x:c>
      <x:c r="T5" s="33" t="n">
        <x:f>SUMIFS('标准化长表'!$N$2:$N$3075,'标准化长表'!$C$2:$C$3075,$C5,'标准化长表'!$K$2:$K$3075,"203A")</x:f>
        <x:v>50.74258800000002</x:v>
      </x:c>
      <x:c r="U5" s="33" t="n">
        <x:f>SUMIFS('标准化长表'!$N$2:$N$3075,'标准化长表'!$C$2:$C$3075,$C5,'标准化长表'!$K$2:$K$3075,"203A",'标准化长表'!$E$2:$E$3075,"建设用地")</x:f>
        <x:v>50.74258800000002</x:v>
      </x:c>
      <x:c r="V5" s="40" t="n">
        <x:f>IFERROR(U5/T5,0)</x:f>
        <x:v>1</x:v>
      </x:c>
      <x:c r="W5" s="33" t="n">
        <x:f>SUMIFS('标准化长表'!$N$2:$N$3075,'标准化长表'!$C$2:$C$3075,$C5,'标准化长表'!$K$2:$K$3075,"204")</x:f>
        <x:v>11.460423</x:v>
      </x:c>
      <x:c r="X5" s="33" t="n">
        <x:f>SUMIFS('标准化长表'!$N$2:$N$3075,'标准化长表'!$C$2:$C$3075,$C5,'标准化长表'!$K$2:$K$3075,"204",'标准化长表'!$E$2:$E$3075,"建设用地")</x:f>
        <x:v>11.460423</x:v>
      </x:c>
      <x:c r="Y5" s="40" t="n">
        <x:f>IFERROR(X5/W5,0)</x:f>
        <x:v>1</x:v>
      </x:c>
      <x:c r="Z5" s="33" t="n">
        <x:f>SUMIFS('标准化长表'!$N$2:$N$3075,'标准化长表'!$C$2:$C$3075,$C5,'标准化长表'!$K$2:$K$3075,"205")</x:f>
        <x:v>242.7526799999999</x:v>
      </x:c>
      <x:c r="AA5" s="33" t="n">
        <x:f>SUMIFS('标准化长表'!$N$2:$N$3075,'标准化长表'!$C$2:$C$3075,$C5,'标准化长表'!$K$2:$K$3075,"205",'标准化长表'!$E$2:$E$3075,"建设用地")</x:f>
        <x:v>237.3352629999999</x:v>
      </x:c>
      <x:c r="AB5" s="52" t="n">
        <x:f>IFERROR(AA5/Z5,0)</x:f>
        <x:v>0.9776833895304472</x:v>
      </x:c>
    </x:row>
    <x:row r="6">
      <x:c r="A6" s="21" t="n">
        <x:v>350200</x:v>
      </x:c>
      <x:c r="B6" s="22" t="str">
        <x:v>厦门市</x:v>
      </x:c>
      <x:c r="C6" s="22" t="n">
        <x:v>350212</x:v>
      </x:c>
      <x:c r="D6" s="22" t="str">
        <x:v>同安区</x:v>
      </x:c>
      <x:c r="E6" s="33" t="n">
        <x:f>SUMIFS('标准化长表'!$N$2:$N$3075,'标准化长表'!$C$2:$C$3075,$C6,'标准化长表'!$K$2:$K$3075,"201")</x:f>
        <x:v>6238.352594000002</x:v>
      </x:c>
      <x:c r="F6" s="33" t="n">
        <x:f>SUMIFS('标准化长表'!$N$2:$N$3075,'标准化长表'!$C$2:$C$3075,$C6,'标准化长表'!$K$2:$K$3075,"201",'标准化长表'!$E$2:$E$3075,"建设用地")</x:f>
        <x:v>6089.285973000002</x:v>
      </x:c>
      <x:c r="G6" s="40" t="n">
        <x:f>IFERROR(F6/E6,0)</x:f>
        <x:v>0.9761048099231565</x:v>
      </x:c>
      <x:c r="H6" s="33" t="n">
        <x:f>SUMIFS('标准化长表'!$N$2:$N$3075,'标准化长表'!$C$2:$C$3075,$C6,'标准化长表'!$K$2:$K$3075,"201A")</x:f>
        <x:v>42.020852000000005</x:v>
      </x:c>
      <x:c r="I6" s="33" t="n">
        <x:f>SUMIFS('标准化长表'!$N$2:$N$3075,'标准化长表'!$C$2:$C$3075,$C6,'标准化长表'!$K$2:$K$3075,"201A",'标准化长表'!$E$2:$E$3075,"建设用地")</x:f>
        <x:v>42.020852000000005</x:v>
      </x:c>
      <x:c r="J6" s="40" t="n">
        <x:f>IFERROR(I6/H6,0)</x:f>
        <x:v>1</x:v>
      </x:c>
      <x:c r="K6" s="33" t="n">
        <x:f>SUMIFS('标准化长表'!$N$2:$N$3075,'标准化长表'!$C$2:$C$3075,$C6,'标准化长表'!$K$2:$K$3075,"202")</x:f>
        <x:v>628.1931739999998</x:v>
      </x:c>
      <x:c r="L6" s="33" t="n">
        <x:f>SUMIFS('标准化长表'!$N$2:$N$3075,'标准化长表'!$C$2:$C$3075,$C6,'标准化长表'!$K$2:$K$3075,"202",'标准化长表'!$E$2:$E$3075,"建设用地")</x:f>
        <x:v>618.2258889999999</x:v>
      </x:c>
      <x:c r="M6" s="40" t="n">
        <x:f>IFERROR(L6/K6,0)</x:f>
        <x:v>0.9841334076641848</x:v>
      </x:c>
      <x:c r="N6" s="33" t="n">
        <x:f>SUMIFS('标准化长表'!$N$2:$N$3075,'标准化长表'!$C$2:$C$3075,$C6,'标准化长表'!$K$2:$K$3075,"202A")</x:f>
        <x:v>9.110543</x:v>
      </x:c>
      <x:c r="O6" s="33" t="n">
        <x:f>SUMIFS('标准化长表'!$N$2:$N$3075,'标准化长表'!$C$2:$C$3075,$C6,'标准化长表'!$K$2:$K$3075,"202A",'标准化长表'!$E$2:$E$3075,"建设用地")</x:f>
        <x:v>9.110543</x:v>
      </x:c>
      <x:c r="P6" s="40" t="n">
        <x:f>IFERROR(O6/N6,0)</x:f>
        <x:v>1</x:v>
      </x:c>
      <x:c r="Q6" s="33" t="n">
        <x:f>SUMIFS('标准化长表'!$N$2:$N$3075,'标准化长表'!$C$2:$C$3075,$C6,'标准化长表'!$K$2:$K$3075,"203")</x:f>
        <x:v>3627.1634310000086</x:v>
      </x:c>
      <x:c r="R6" s="33" t="n">
        <x:f>SUMIFS('标准化长表'!$N$2:$N$3075,'标准化长表'!$C$2:$C$3075,$C6,'标准化长表'!$K$2:$K$3075,"203",'标准化长表'!$E$2:$E$3075,"建设用地")</x:f>
        <x:v>3587.016729000009</x:v>
      </x:c>
      <x:c r="S6" s="40" t="n">
        <x:f>IFERROR(R6/Q6,0)</x:f>
        <x:v>0.9889316534080376</x:v>
      </x:c>
      <x:c r="T6" s="33" t="n">
        <x:f>SUMIFS('标准化长表'!$N$2:$N$3075,'标准化长表'!$C$2:$C$3075,$C6,'标准化长表'!$K$2:$K$3075,"203A")</x:f>
        <x:v>160.18301100000002</x:v>
      </x:c>
      <x:c r="U6" s="33" t="n">
        <x:f>SUMIFS('标准化长表'!$N$2:$N$3075,'标准化长表'!$C$2:$C$3075,$C6,'标准化长表'!$K$2:$K$3075,"203A",'标准化长表'!$E$2:$E$3075,"建设用地")</x:f>
        <x:v>160.18301100000002</x:v>
      </x:c>
      <x:c r="V6" s="40" t="n">
        <x:f>IFERROR(U6/T6,0)</x:f>
        <x:v>1</x:v>
      </x:c>
      <x:c r="W6" s="33" t="n">
        <x:f>SUMIFS('标准化长表'!$N$2:$N$3075,'标准化长表'!$C$2:$C$3075,$C6,'标准化长表'!$K$2:$K$3075,"204")</x:f>
        <x:v>237.62719900000008</x:v>
      </x:c>
      <x:c r="X6" s="33" t="n">
        <x:f>SUMIFS('标准化长表'!$N$2:$N$3075,'标准化长表'!$C$2:$C$3075,$C6,'标准化长表'!$K$2:$K$3075,"204",'标准化长表'!$E$2:$E$3075,"建设用地")</x:f>
        <x:v>237.62719900000008</x:v>
      </x:c>
      <x:c r="Y6" s="40" t="n">
        <x:f>IFERROR(X6/W6,0)</x:f>
        <x:v>1</x:v>
      </x:c>
      <x:c r="Z6" s="33" t="n">
        <x:f>SUMIFS('标准化长表'!$N$2:$N$3075,'标准化长表'!$C$2:$C$3075,$C6,'标准化长表'!$K$2:$K$3075,"205")</x:f>
        <x:v>410.1436489999995</x:v>
      </x:c>
      <x:c r="AA6" s="33" t="n">
        <x:f>SUMIFS('标准化长表'!$N$2:$N$3075,'标准化长表'!$C$2:$C$3075,$C6,'标准化长表'!$K$2:$K$3075,"205",'标准化长表'!$E$2:$E$3075,"建设用地")</x:f>
        <x:v>410.0342079999995</x:v>
      </x:c>
      <x:c r="AB6" s="52" t="n">
        <x:f>IFERROR(AA6/Z6,0)</x:f>
        <x:v>0.999733164221202</x:v>
      </x:c>
    </x:row>
    <x:row r="7">
      <x:c r="A7" s="21" t="n">
        <x:v>350200</x:v>
      </x:c>
      <x:c r="B7" s="22" t="str">
        <x:v>厦门市</x:v>
      </x:c>
      <x:c r="C7" s="22" t="n">
        <x:v>350213</x:v>
      </x:c>
      <x:c r="D7" s="22" t="str">
        <x:v>翔安区</x:v>
      </x:c>
      <x:c r="E7" s="33" t="n">
        <x:f>SUMIFS('标准化长表'!$N$2:$N$3075,'标准化长表'!$C$2:$C$3075,$C7,'标准化长表'!$K$2:$K$3075,"201")</x:f>
        <x:v>4937.940171</x:v>
      </x:c>
      <x:c r="F7" s="33" t="n">
        <x:f>SUMIFS('标准化长表'!$N$2:$N$3075,'标准化长表'!$C$2:$C$3075,$C7,'标准化长表'!$K$2:$K$3075,"201",'标准化长表'!$E$2:$E$3075,"建设用地")</x:f>
        <x:v>4825.263263</x:v>
      </x:c>
      <x:c r="G7" s="40" t="n">
        <x:f>IFERROR(F7/E7,0)</x:f>
        <x:v>0.977181394650802</x:v>
      </x:c>
      <x:c r="H7" s="33" t="n">
        <x:f>SUMIFS('标准化长表'!$N$2:$N$3075,'标准化长表'!$C$2:$C$3075,$C7,'标准化长表'!$K$2:$K$3075,"201A")</x:f>
        <x:v>43.37733199999998</x:v>
      </x:c>
      <x:c r="I7" s="33" t="n">
        <x:f>SUMIFS('标准化长表'!$N$2:$N$3075,'标准化长表'!$C$2:$C$3075,$C7,'标准化长表'!$K$2:$K$3075,"201A",'标准化长表'!$E$2:$E$3075,"建设用地")</x:f>
        <x:v>43.37733199999998</x:v>
      </x:c>
      <x:c r="J7" s="40" t="n">
        <x:f>IFERROR(I7/H7,0)</x:f>
        <x:v>1</x:v>
      </x:c>
      <x:c r="K7" s="33" t="n">
        <x:f>SUMIFS('标准化长表'!$N$2:$N$3075,'标准化长表'!$C$2:$C$3075,$C7,'标准化长表'!$K$2:$K$3075,"202")</x:f>
        <x:v>1159.9400799999992</x:v>
      </x:c>
      <x:c r="L7" s="33" t="n">
        <x:f>SUMIFS('标准化长表'!$N$2:$N$3075,'标准化长表'!$C$2:$C$3075,$C7,'标准化长表'!$K$2:$K$3075,"202",'标准化长表'!$E$2:$E$3075,"建设用地")</x:f>
        <x:v>1136.9141869999996</x:v>
      </x:c>
      <x:c r="M7" s="40" t="n">
        <x:f>IFERROR(L7/K7,0)</x:f>
        <x:v>0.9801490668380046</x:v>
      </x:c>
      <x:c r="N7" s="33" t="n">
        <x:f>SUMIFS('标准化长表'!$N$2:$N$3075,'标准化长表'!$C$2:$C$3075,$C7,'标准化长表'!$K$2:$K$3075,"202A")</x:f>
        <x:v>18.391862999999994</x:v>
      </x:c>
      <x:c r="O7" s="33" t="n">
        <x:f>SUMIFS('标准化长表'!$N$2:$N$3075,'标准化长表'!$C$2:$C$3075,$C7,'标准化长表'!$K$2:$K$3075,"202A",'标准化长表'!$E$2:$E$3075,"建设用地")</x:f>
        <x:v>18.391862999999994</x:v>
      </x:c>
      <x:c r="P7" s="40" t="n">
        <x:f>IFERROR(O7/N7,0)</x:f>
        <x:v>1</x:v>
      </x:c>
      <x:c r="Q7" s="33" t="n">
        <x:f>SUMIFS('标准化长表'!$N$2:$N$3075,'标准化长表'!$C$2:$C$3075,$C7,'标准化长表'!$K$2:$K$3075,"203")</x:f>
        <x:v>2472.4376619999985</x:v>
      </x:c>
      <x:c r="R7" s="33" t="n">
        <x:f>SUMIFS('标准化长表'!$N$2:$N$3075,'标准化长表'!$C$2:$C$3075,$C7,'标准化长表'!$K$2:$K$3075,"203",'标准化长表'!$E$2:$E$3075,"建设用地")</x:f>
        <x:v>2427.4559469999986</x:v>
      </x:c>
      <x:c r="S7" s="40" t="n">
        <x:f>IFERROR(R7/Q7,0)</x:f>
        <x:v>0.98180673442597</x:v>
      </x:c>
      <x:c r="T7" s="33" t="n">
        <x:f>SUMIFS('标准化长表'!$N$2:$N$3075,'标准化长表'!$C$2:$C$3075,$C7,'标准化长表'!$K$2:$K$3075,"203A")</x:f>
        <x:v>62.719117000000026</x:v>
      </x:c>
      <x:c r="U7" s="33" t="n">
        <x:f>SUMIFS('标准化长表'!$N$2:$N$3075,'标准化长表'!$C$2:$C$3075,$C7,'标准化长表'!$K$2:$K$3075,"203A",'标准化长表'!$E$2:$E$3075,"建设用地")</x:f>
        <x:v>62.719117000000026</x:v>
      </x:c>
      <x:c r="V7" s="40" t="n">
        <x:f>IFERROR(U7/T7,0)</x:f>
        <x:v>1</x:v>
      </x:c>
      <x:c r="W7" s="33" t="n">
        <x:f>SUMIFS('标准化长表'!$N$2:$N$3075,'标准化长表'!$C$2:$C$3075,$C7,'标准化长表'!$K$2:$K$3075,"204")</x:f>
        <x:v>1087.091623</x:v>
      </x:c>
      <x:c r="X7" s="33" t="n">
        <x:f>SUMIFS('标准化长表'!$N$2:$N$3075,'标准化长表'!$C$2:$C$3075,$C7,'标准化长表'!$K$2:$K$3075,"204",'标准化长表'!$E$2:$E$3075,"建设用地")</x:f>
        <x:v>1083.2692220000001</x:v>
      </x:c>
      <x:c r="Y7" s="40" t="n">
        <x:f>IFERROR(X7/W7,0)</x:f>
        <x:v>0.9964838281161147</x:v>
      </x:c>
      <x:c r="Z7" s="33" t="n">
        <x:f>SUMIFS('标准化长表'!$N$2:$N$3075,'标准化长表'!$C$2:$C$3075,$C7,'标准化长表'!$K$2:$K$3075,"205")</x:f>
        <x:v>118.06027699999996</x:v>
      </x:c>
      <x:c r="AA7" s="33" t="n">
        <x:f>SUMIFS('标准化长表'!$N$2:$N$3075,'标准化长表'!$C$2:$C$3075,$C7,'标准化长表'!$K$2:$K$3075,"205",'标准化长表'!$E$2:$E$3075,"建设用地")</x:f>
        <x:v>116.99563099999996</x:v>
      </x:c>
      <x:c r="AB7" s="52" t="n">
        <x:f>IFERROR(AA7/Z7,0)</x:f>
        <x:v>0.9909821827709248</x:v>
      </x:c>
    </x:row>
    <x:row r="8">
      <x:c r="A8" s="21" t="n">
        <x:v>350500</x:v>
      </x:c>
      <x:c r="B8" s="22" t="str">
        <x:v>泉州市</x:v>
      </x:c>
      <x:c r="C8" s="22" t="n">
        <x:v>350502</x:v>
      </x:c>
      <x:c r="D8" s="22" t="str">
        <x:v>鲤城区</x:v>
      </x:c>
      <x:c r="E8" s="33" t="n">
        <x:f>SUMIFS('标准化长表'!$N$2:$N$3075,'标准化长表'!$C$2:$C$3075,$C8,'标准化长表'!$K$2:$K$3075,"201")</x:f>
        <x:v>2817.542079</x:v>
      </x:c>
      <x:c r="F8" s="33" t="n">
        <x:f>SUMIFS('标准化长表'!$N$2:$N$3075,'标准化长表'!$C$2:$C$3075,$C8,'标准化长表'!$K$2:$K$3075,"201",'标准化长表'!$E$2:$E$3075,"建设用地")</x:f>
        <x:v>2659.5889470000006</x:v>
      </x:c>
      <x:c r="G8" s="40" t="n">
        <x:f>IFERROR(F8/E8,0)</x:f>
        <x:v>0.9439393884558914</x:v>
      </x:c>
      <x:c r="H8" s="33" t="n">
        <x:f>SUMIFS('标准化长表'!$N$2:$N$3075,'标准化长表'!$C$2:$C$3075,$C8,'标准化长表'!$K$2:$K$3075,"201A")</x:f>
        <x:v>0</x:v>
      </x:c>
      <x:c r="I8" s="33" t="n">
        <x:f>SUMIFS('标准化长表'!$N$2:$N$3075,'标准化长表'!$C$2:$C$3075,$C8,'标准化长表'!$K$2:$K$3075,"201A",'标准化长表'!$E$2:$E$3075,"建设用地")</x:f>
        <x:v>0</x:v>
      </x:c>
      <x:c r="J8" s="40" t="n">
        <x:f>IFERROR(I8/H8,0)</x:f>
        <x:v>0</x:v>
      </x:c>
      <x:c r="K8" s="33" t="n">
        <x:f>SUMIFS('标准化长表'!$N$2:$N$3075,'标准化长表'!$C$2:$C$3075,$C8,'标准化长表'!$K$2:$K$3075,"202")</x:f>
        <x:v>183.5915360000001</x:v>
      </x:c>
      <x:c r="L8" s="33" t="n">
        <x:f>SUMIFS('标准化长表'!$N$2:$N$3075,'标准化长表'!$C$2:$C$3075,$C8,'标准化长表'!$K$2:$K$3075,"202",'标准化长表'!$E$2:$E$3075,"建设用地")</x:f>
        <x:v>179.54786000000007</x:v>
      </x:c>
      <x:c r="M8" s="40" t="n">
        <x:f>IFERROR(L8/K8,0)</x:f>
        <x:v>0.9779746055395493</x:v>
      </x:c>
      <x:c r="N8" s="33" t="n">
        <x:f>SUMIFS('标准化长表'!$N$2:$N$3075,'标准化长表'!$C$2:$C$3075,$C8,'标准化长表'!$K$2:$K$3075,"202A")</x:f>
        <x:v>0</x:v>
      </x:c>
      <x:c r="O8" s="33" t="n">
        <x:f>SUMIFS('标准化长表'!$N$2:$N$3075,'标准化长表'!$C$2:$C$3075,$C8,'标准化长表'!$K$2:$K$3075,"202A",'标准化长表'!$E$2:$E$3075,"建设用地")</x:f>
        <x:v>0</x:v>
      </x:c>
      <x:c r="P8" s="40" t="n">
        <x:f>IFERROR(O8/N8,0)</x:f>
        <x:v>0</x:v>
      </x:c>
      <x:c r="Q8" s="33" t="n">
        <x:f>SUMIFS('标准化长表'!$N$2:$N$3075,'标准化长表'!$C$2:$C$3075,$C8,'标准化长表'!$K$2:$K$3075,"203")</x:f>
        <x:v>310.25096800000006</x:v>
      </x:c>
      <x:c r="R8" s="33" t="n">
        <x:f>SUMIFS('标准化长表'!$N$2:$N$3075,'标准化长表'!$C$2:$C$3075,$C8,'标准化长表'!$K$2:$K$3075,"203",'标准化长表'!$E$2:$E$3075,"建设用地")</x:f>
        <x:v>292.8071270000001</x:v>
      </x:c>
      <x:c r="S8" s="40" t="n">
        <x:f>IFERROR(R8/Q8,0)</x:f>
        <x:v>0.9437750634189803</x:v>
      </x:c>
      <x:c r="T8" s="33" t="n">
        <x:f>SUMIFS('标准化长表'!$N$2:$N$3075,'标准化长表'!$C$2:$C$3075,$C8,'标准化长表'!$K$2:$K$3075,"203A")</x:f>
        <x:v>1.7286009999999998</x:v>
      </x:c>
      <x:c r="U8" s="33" t="n">
        <x:f>SUMIFS('标准化长表'!$N$2:$N$3075,'标准化长表'!$C$2:$C$3075,$C8,'标准化长表'!$K$2:$K$3075,"203A",'标准化长表'!$E$2:$E$3075,"建设用地")</x:f>
        <x:v>1.7286009999999998</x:v>
      </x:c>
      <x:c r="V8" s="40" t="n">
        <x:f>IFERROR(U8/T8,0)</x:f>
        <x:v>1</x:v>
      </x:c>
      <x:c r="W8" s="33" t="n">
        <x:f>SUMIFS('标准化长表'!$N$2:$N$3075,'标准化长表'!$C$2:$C$3075,$C8,'标准化长表'!$K$2:$K$3075,"204")</x:f>
        <x:v>2.705475</x:v>
      </x:c>
      <x:c r="X8" s="33" t="n">
        <x:f>SUMIFS('标准化长表'!$N$2:$N$3075,'标准化长表'!$C$2:$C$3075,$C8,'标准化长表'!$K$2:$K$3075,"204",'标准化长表'!$E$2:$E$3075,"建设用地")</x:f>
        <x:v>2.705475</x:v>
      </x:c>
      <x:c r="Y8" s="40" t="n">
        <x:f>IFERROR(X8/W8,0)</x:f>
        <x:v>1</x:v>
      </x:c>
      <x:c r="Z8" s="33" t="n">
        <x:f>SUMIFS('标准化长表'!$N$2:$N$3075,'标准化长表'!$C$2:$C$3075,$C8,'标准化长表'!$K$2:$K$3075,"205")</x:f>
        <x:v>14.541075000000006</x:v>
      </x:c>
      <x:c r="AA8" s="33" t="n">
        <x:f>SUMIFS('标准化长表'!$N$2:$N$3075,'标准化长表'!$C$2:$C$3075,$C8,'标准化长表'!$K$2:$K$3075,"205",'标准化长表'!$E$2:$E$3075,"建设用地")</x:f>
        <x:v>14.541075000000006</x:v>
      </x:c>
      <x:c r="AB8" s="52" t="n">
        <x:f>IFERROR(AA8/Z8,0)</x:f>
        <x:v>1</x:v>
      </x:c>
    </x:row>
    <x:row r="9">
      <x:c r="A9" s="21" t="n">
        <x:v>350500</x:v>
      </x:c>
      <x:c r="B9" s="22" t="str">
        <x:v>泉州市</x:v>
      </x:c>
      <x:c r="C9" s="22" t="n">
        <x:v>350503</x:v>
      </x:c>
      <x:c r="D9" s="22" t="str">
        <x:v>丰泽区</x:v>
      </x:c>
      <x:c r="E9" s="33" t="n">
        <x:f>SUMIFS('标准化长表'!$N$2:$N$3075,'标准化长表'!$C$2:$C$3075,$C9,'标准化长表'!$K$2:$K$3075,"201")</x:f>
        <x:v>5055.016201000002</x:v>
      </x:c>
      <x:c r="F9" s="33" t="n">
        <x:f>SUMIFS('标准化长表'!$N$2:$N$3075,'标准化长表'!$C$2:$C$3075,$C9,'标准化长表'!$K$2:$K$3075,"201",'标准化长表'!$E$2:$E$3075,"建设用地")</x:f>
        <x:v>4665.990101000002</x:v>
      </x:c>
      <x:c r="G9" s="40" t="n">
        <x:f>IFERROR(F9/E9,0)</x:f>
        <x:v>0.9230415720679508</x:v>
      </x:c>
      <x:c r="H9" s="33" t="n">
        <x:f>SUMIFS('标准化长表'!$N$2:$N$3075,'标准化长表'!$C$2:$C$3075,$C9,'标准化长表'!$K$2:$K$3075,"201A")</x:f>
        <x:v>0.082897</x:v>
      </x:c>
      <x:c r="I9" s="33" t="n">
        <x:f>SUMIFS('标准化长表'!$N$2:$N$3075,'标准化长表'!$C$2:$C$3075,$C9,'标准化长表'!$K$2:$K$3075,"201A",'标准化长表'!$E$2:$E$3075,"建设用地")</x:f>
        <x:v>0.082897</x:v>
      </x:c>
      <x:c r="J9" s="40" t="n">
        <x:f>IFERROR(I9/H9,0)</x:f>
        <x:v>1</x:v>
      </x:c>
      <x:c r="K9" s="33" t="n">
        <x:f>SUMIFS('标准化长表'!$N$2:$N$3075,'标准化长表'!$C$2:$C$3075,$C9,'标准化长表'!$K$2:$K$3075,"202")</x:f>
        <x:v>10.224646</x:v>
      </x:c>
      <x:c r="L9" s="33" t="n">
        <x:f>SUMIFS('标准化长表'!$N$2:$N$3075,'标准化长表'!$C$2:$C$3075,$C9,'标准化长表'!$K$2:$K$3075,"202",'标准化长表'!$E$2:$E$3075,"建设用地")</x:f>
        <x:v>10.224646</x:v>
      </x:c>
      <x:c r="M9" s="40" t="n">
        <x:f>IFERROR(L9/K9,0)</x:f>
        <x:v>1</x:v>
      </x:c>
      <x:c r="N9" s="33" t="n">
        <x:f>SUMIFS('标准化长表'!$N$2:$N$3075,'标准化长表'!$C$2:$C$3075,$C9,'标准化长表'!$K$2:$K$3075,"202A")</x:f>
        <x:v>0</x:v>
      </x:c>
      <x:c r="O9" s="33" t="n">
        <x:f>SUMIFS('标准化长表'!$N$2:$N$3075,'标准化长表'!$C$2:$C$3075,$C9,'标准化长表'!$K$2:$K$3075,"202A",'标准化长表'!$E$2:$E$3075,"建设用地")</x:f>
        <x:v>0</x:v>
      </x:c>
      <x:c r="P9" s="40" t="n">
        <x:f>IFERROR(O9/N9,0)</x:f>
        <x:v>0</x:v>
      </x:c>
      <x:c r="Q9" s="33" t="n">
        <x:f>SUMIFS('标准化长表'!$N$2:$N$3075,'标准化长表'!$C$2:$C$3075,$C9,'标准化长表'!$K$2:$K$3075,"203")</x:f>
        <x:v>936.3980780000002</x:v>
      </x:c>
      <x:c r="R9" s="33" t="n">
        <x:f>SUMIFS('标准化长表'!$N$2:$N$3075,'标准化长表'!$C$2:$C$3075,$C9,'标准化长表'!$K$2:$K$3075,"203",'标准化长表'!$E$2:$E$3075,"建设用地")</x:f>
        <x:v>894.2524889999999</x:v>
      </x:c>
      <x:c r="S9" s="40" t="n">
        <x:f>IFERROR(R9/Q9,0)</x:f>
        <x:v>0.9549918031762552</x:v>
      </x:c>
      <x:c r="T9" s="33" t="n">
        <x:f>SUMIFS('标准化长表'!$N$2:$N$3075,'标准化长表'!$C$2:$C$3075,$C9,'标准化长表'!$K$2:$K$3075,"203A")</x:f>
        <x:v>12.963244</x:v>
      </x:c>
      <x:c r="U9" s="33" t="n">
        <x:f>SUMIFS('标准化长表'!$N$2:$N$3075,'标准化长表'!$C$2:$C$3075,$C9,'标准化长表'!$K$2:$K$3075,"203A",'标准化长表'!$E$2:$E$3075,"建设用地")</x:f>
        <x:v>12.963244</x:v>
      </x:c>
      <x:c r="V9" s="40" t="n">
        <x:f>IFERROR(U9/T9,0)</x:f>
        <x:v>1</x:v>
      </x:c>
      <x:c r="W9" s="33" t="n">
        <x:f>SUMIFS('标准化长表'!$N$2:$N$3075,'标准化长表'!$C$2:$C$3075,$C9,'标准化长表'!$K$2:$K$3075,"204")</x:f>
        <x:v>21.881971000000004</x:v>
      </x:c>
      <x:c r="X9" s="33" t="n">
        <x:f>SUMIFS('标准化长表'!$N$2:$N$3075,'标准化长表'!$C$2:$C$3075,$C9,'标准化长表'!$K$2:$K$3075,"204",'标准化长表'!$E$2:$E$3075,"建设用地")</x:f>
        <x:v>21.881971000000004</x:v>
      </x:c>
      <x:c r="Y9" s="40" t="n">
        <x:f>IFERROR(X9/W9,0)</x:f>
        <x:v>1</x:v>
      </x:c>
      <x:c r="Z9" s="33" t="n">
        <x:f>SUMIFS('标准化长表'!$N$2:$N$3075,'标准化长表'!$C$2:$C$3075,$C9,'标准化长表'!$K$2:$K$3075,"205")</x:f>
        <x:v>87.71403199999999</x:v>
      </x:c>
      <x:c r="AA9" s="33" t="n">
        <x:f>SUMIFS('标准化长表'!$N$2:$N$3075,'标准化长表'!$C$2:$C$3075,$C9,'标准化长表'!$K$2:$K$3075,"205",'标准化长表'!$E$2:$E$3075,"建设用地")</x:f>
        <x:v>87.71403199999999</x:v>
      </x:c>
      <x:c r="AB9" s="52" t="n">
        <x:f>IFERROR(AA9/Z9,0)</x:f>
        <x:v>1</x:v>
      </x:c>
    </x:row>
    <x:row r="10">
      <x:c r="A10" s="21" t="n">
        <x:v>350500</x:v>
      </x:c>
      <x:c r="B10" s="22" t="str">
        <x:v>泉州市</x:v>
      </x:c>
      <x:c r="C10" s="22" t="n">
        <x:v>350504</x:v>
      </x:c>
      <x:c r="D10" s="22" t="str">
        <x:v>洛江区</x:v>
      </x:c>
      <x:c r="E10" s="33" t="n">
        <x:f>SUMIFS('标准化长表'!$N$2:$N$3075,'标准化长表'!$C$2:$C$3075,$C10,'标准化长表'!$K$2:$K$3075,"201")</x:f>
        <x:v>782.397286</x:v>
      </x:c>
      <x:c r="F10" s="33" t="n">
        <x:f>SUMIFS('标准化长表'!$N$2:$N$3075,'标准化长表'!$C$2:$C$3075,$C10,'标准化长表'!$K$2:$K$3075,"201",'标准化长表'!$E$2:$E$3075,"建设用地")</x:f>
        <x:v>747.172657</x:v>
      </x:c>
      <x:c r="G10" s="40" t="n">
        <x:f>IFERROR(F10/E10,0)</x:f>
        <x:v>0.954978589994751</x:v>
      </x:c>
      <x:c r="H10" s="33" t="n">
        <x:f>SUMIFS('标准化长表'!$N$2:$N$3075,'标准化长表'!$C$2:$C$3075,$C10,'标准化长表'!$K$2:$K$3075,"201A")</x:f>
        <x:v>1.202319</x:v>
      </x:c>
      <x:c r="I10" s="33" t="n">
        <x:f>SUMIFS('标准化长表'!$N$2:$N$3075,'标准化长表'!$C$2:$C$3075,$C10,'标准化长表'!$K$2:$K$3075,"201A",'标准化长表'!$E$2:$E$3075,"建设用地")</x:f>
        <x:v>1.202319</x:v>
      </x:c>
      <x:c r="J10" s="40" t="n">
        <x:f>IFERROR(I10/H10,0)</x:f>
        <x:v>1</x:v>
      </x:c>
      <x:c r="K10" s="33" t="n">
        <x:f>SUMIFS('标准化长表'!$N$2:$N$3075,'标准化长表'!$C$2:$C$3075,$C10,'标准化长表'!$K$2:$K$3075,"202")</x:f>
        <x:v>1453.7861429999996</x:v>
      </x:c>
      <x:c r="L10" s="33" t="n">
        <x:f>SUMIFS('标准化长表'!$N$2:$N$3075,'标准化长表'!$C$2:$C$3075,$C10,'标准化长表'!$K$2:$K$3075,"202",'标准化长表'!$E$2:$E$3075,"建设用地")</x:f>
        <x:v>1385.5442329999996</x:v>
      </x:c>
      <x:c r="M10" s="40" t="n">
        <x:f>IFERROR(L10/K10,0)</x:f>
        <x:v>0.95305918251554</x:v>
      </x:c>
      <x:c r="N10" s="33" t="n">
        <x:f>SUMIFS('标准化长表'!$N$2:$N$3075,'标准化长表'!$C$2:$C$3075,$C10,'标准化长表'!$K$2:$K$3075,"202A")</x:f>
        <x:v>0.5997600000000001</x:v>
      </x:c>
      <x:c r="O10" s="33" t="n">
        <x:f>SUMIFS('标准化长表'!$N$2:$N$3075,'标准化长表'!$C$2:$C$3075,$C10,'标准化长表'!$K$2:$K$3075,"202A",'标准化长表'!$E$2:$E$3075,"建设用地")</x:f>
        <x:v>0.5997600000000001</x:v>
      </x:c>
      <x:c r="P10" s="40" t="n">
        <x:f>IFERROR(O10/N10,0)</x:f>
        <x:v>1</x:v>
      </x:c>
      <x:c r="Q10" s="33" t="n">
        <x:f>SUMIFS('标准化长表'!$N$2:$N$3075,'标准化长表'!$C$2:$C$3075,$C10,'标准化长表'!$K$2:$K$3075,"203")</x:f>
        <x:v>2167.9629990000003</x:v>
      </x:c>
      <x:c r="R10" s="33" t="n">
        <x:f>SUMIFS('标准化长表'!$N$2:$N$3075,'标准化长表'!$C$2:$C$3075,$C10,'标准化长表'!$K$2:$K$3075,"203",'标准化长表'!$E$2:$E$3075,"建设用地")</x:f>
        <x:v>2124.553171000001</x:v>
      </x:c>
      <x:c r="S10" s="40" t="n">
        <x:f>IFERROR(R10/Q10,0)</x:f>
        <x:v>0.9799766748694407</x:v>
      </x:c>
      <x:c r="T10" s="33" t="n">
        <x:f>SUMIFS('标准化长表'!$N$2:$N$3075,'标准化长表'!$C$2:$C$3075,$C10,'标准化长表'!$K$2:$K$3075,"203A")</x:f>
        <x:v>13.534881000000002</x:v>
      </x:c>
      <x:c r="U10" s="33" t="n">
        <x:f>SUMIFS('标准化长表'!$N$2:$N$3075,'标准化长表'!$C$2:$C$3075,$C10,'标准化长表'!$K$2:$K$3075,"203A",'标准化长表'!$E$2:$E$3075,"建设用地")</x:f>
        <x:v>13.534881000000002</x:v>
      </x:c>
      <x:c r="V10" s="40" t="n">
        <x:f>IFERROR(U10/T10,0)</x:f>
        <x:v>1</x:v>
      </x:c>
      <x:c r="W10" s="33" t="n">
        <x:f>SUMIFS('标准化长表'!$N$2:$N$3075,'标准化长表'!$C$2:$C$3075,$C10,'标准化长表'!$K$2:$K$3075,"204")</x:f>
        <x:v>68.35114300000001</x:v>
      </x:c>
      <x:c r="X10" s="33" t="n">
        <x:f>SUMIFS('标准化长表'!$N$2:$N$3075,'标准化长表'!$C$2:$C$3075,$C10,'标准化长表'!$K$2:$K$3075,"204",'标准化长表'!$E$2:$E$3075,"建设用地")</x:f>
        <x:v>68.32028100000001</x:v>
      </x:c>
      <x:c r="Y10" s="40" t="n">
        <x:f>IFERROR(X10/W10,0)</x:f>
        <x:v>0.9995484786552875</x:v>
      </x:c>
      <x:c r="Z10" s="33" t="n">
        <x:f>SUMIFS('标准化长表'!$N$2:$N$3075,'标准化长表'!$C$2:$C$3075,$C10,'标准化长表'!$K$2:$K$3075,"205")</x:f>
        <x:v>77.96852900000006</x:v>
      </x:c>
      <x:c r="AA10" s="33" t="n">
        <x:f>SUMIFS('标准化长表'!$N$2:$N$3075,'标准化长表'!$C$2:$C$3075,$C10,'标准化长表'!$K$2:$K$3075,"205",'标准化长表'!$E$2:$E$3075,"建设用地")</x:f>
        <x:v>77.80258500000006</x:v>
      </x:c>
      <x:c r="AB10" s="52" t="n">
        <x:f>IFERROR(AA10/Z10,0)</x:f>
        <x:v>0.9978716540875101</x:v>
      </x:c>
    </x:row>
    <x:row r="11">
      <x:c r="A11" s="21" t="n">
        <x:v>350500</x:v>
      </x:c>
      <x:c r="B11" s="22" t="str">
        <x:v>泉州市</x:v>
      </x:c>
      <x:c r="C11" s="22" t="n">
        <x:v>350505</x:v>
      </x:c>
      <x:c r="D11" s="22" t="str">
        <x:v>泉港区</x:v>
      </x:c>
      <x:c r="E11" s="33" t="n">
        <x:f>SUMIFS('标准化长表'!$N$2:$N$3075,'标准化长表'!$C$2:$C$3075,$C11,'标准化长表'!$K$2:$K$3075,"201")</x:f>
        <x:v>1495.8399550000001</x:v>
      </x:c>
      <x:c r="F11" s="33" t="n">
        <x:f>SUMIFS('标准化长表'!$N$2:$N$3075,'标准化长表'!$C$2:$C$3075,$C11,'标准化长表'!$K$2:$K$3075,"201",'标准化长表'!$E$2:$E$3075,"建设用地")</x:f>
        <x:v>1449.3795850000004</x:v>
      </x:c>
      <x:c r="G11" s="40" t="n">
        <x:f>IFERROR(F11/E11,0)</x:f>
        <x:v>0.9689402801117184</x:v>
      </x:c>
      <x:c r="H11" s="33" t="n">
        <x:f>SUMIFS('标准化长表'!$N$2:$N$3075,'标准化长表'!$C$2:$C$3075,$C11,'标准化长表'!$K$2:$K$3075,"201A")</x:f>
        <x:v>0.44900200000000007</x:v>
      </x:c>
      <x:c r="I11" s="33" t="n">
        <x:f>SUMIFS('标准化长表'!$N$2:$N$3075,'标准化长表'!$C$2:$C$3075,$C11,'标准化长表'!$K$2:$K$3075,"201A",'标准化长表'!$E$2:$E$3075,"建设用地")</x:f>
        <x:v>0.44900200000000007</x:v>
      </x:c>
      <x:c r="J11" s="40" t="n">
        <x:f>IFERROR(I11/H11,0)</x:f>
        <x:v>1</x:v>
      </x:c>
      <x:c r="K11" s="33" t="n">
        <x:f>SUMIFS('标准化长表'!$N$2:$N$3075,'标准化长表'!$C$2:$C$3075,$C11,'标准化长表'!$K$2:$K$3075,"202")</x:f>
        <x:v>1912.8750149999996</x:v>
      </x:c>
      <x:c r="L11" s="33" t="n">
        <x:f>SUMIFS('标准化长表'!$N$2:$N$3075,'标准化长表'!$C$2:$C$3075,$C11,'标准化长表'!$K$2:$K$3075,"202",'标准化长表'!$E$2:$E$3075,"建设用地")</x:f>
        <x:v>1801.9235499999998</x:v>
      </x:c>
      <x:c r="M11" s="40" t="n">
        <x:f>IFERROR(L11/K11,0)</x:f>
        <x:v>0.9419975355786641</x:v>
      </x:c>
      <x:c r="N11" s="33" t="n">
        <x:f>SUMIFS('标准化长表'!$N$2:$N$3075,'标准化长表'!$C$2:$C$3075,$C11,'标准化长表'!$K$2:$K$3075,"202A")</x:f>
        <x:v>4.791226999999999</x:v>
      </x:c>
      <x:c r="O11" s="33" t="n">
        <x:f>SUMIFS('标准化长表'!$N$2:$N$3075,'标准化长表'!$C$2:$C$3075,$C11,'标准化长表'!$K$2:$K$3075,"202A",'标准化长表'!$E$2:$E$3075,"建设用地")</x:f>
        <x:v>4.791226999999999</x:v>
      </x:c>
      <x:c r="P11" s="40" t="n">
        <x:f>IFERROR(O11/N11,0)</x:f>
        <x:v>1</x:v>
      </x:c>
      <x:c r="Q11" s="33" t="n">
        <x:f>SUMIFS('标准化长表'!$N$2:$N$3075,'标准化长表'!$C$2:$C$3075,$C11,'标准化长表'!$K$2:$K$3075,"203")</x:f>
        <x:v>4339.850882999993</x:v>
      </x:c>
      <x:c r="R11" s="33" t="n">
        <x:f>SUMIFS('标准化长表'!$N$2:$N$3075,'标准化长表'!$C$2:$C$3075,$C11,'标准化长表'!$K$2:$K$3075,"203",'标准化长表'!$E$2:$E$3075,"建设用地")</x:f>
        <x:v>4182.6679469999945</x:v>
      </x:c>
      <x:c r="S11" s="40" t="n">
        <x:f>IFERROR(R11/Q11,0)</x:f>
        <x:v>0.9637814892175873</x:v>
      </x:c>
      <x:c r="T11" s="33" t="n">
        <x:f>SUMIFS('标准化长表'!$N$2:$N$3075,'标准化长表'!$C$2:$C$3075,$C11,'标准化长表'!$K$2:$K$3075,"203A")</x:f>
        <x:v>35.987860000000005</x:v>
      </x:c>
      <x:c r="U11" s="33" t="n">
        <x:f>SUMIFS('标准化长表'!$N$2:$N$3075,'标准化长表'!$C$2:$C$3075,$C11,'标准化长表'!$K$2:$K$3075,"203A",'标准化长表'!$E$2:$E$3075,"建设用地")</x:f>
        <x:v>35.987860000000005</x:v>
      </x:c>
      <x:c r="V11" s="40" t="n">
        <x:f>IFERROR(U11/T11,0)</x:f>
        <x:v>1</x:v>
      </x:c>
      <x:c r="W11" s="33" t="n">
        <x:f>SUMIFS('标准化长表'!$N$2:$N$3075,'标准化长表'!$C$2:$C$3075,$C11,'标准化长表'!$K$2:$K$3075,"204")</x:f>
        <x:v>1004.4261270000002</x:v>
      </x:c>
      <x:c r="X11" s="33" t="n">
        <x:f>SUMIFS('标准化长表'!$N$2:$N$3075,'标准化长表'!$C$2:$C$3075,$C11,'标准化长表'!$K$2:$K$3075,"204",'标准化长表'!$E$2:$E$3075,"建设用地")</x:f>
        <x:v>1003.3408050000002</x:v>
      </x:c>
      <x:c r="Y11" s="40" t="n">
        <x:f>IFERROR(X11/W11,0)</x:f>
        <x:v>0.9989194606045926</x:v>
      </x:c>
      <x:c r="Z11" s="33" t="n">
        <x:f>SUMIFS('标准化长表'!$N$2:$N$3075,'标准化长表'!$C$2:$C$3075,$C11,'标准化长表'!$K$2:$K$3075,"205")</x:f>
        <x:v>253.66363000000015</x:v>
      </x:c>
      <x:c r="AA11" s="33" t="n">
        <x:f>SUMIFS('标准化长表'!$N$2:$N$3075,'标准化长表'!$C$2:$C$3075,$C11,'标准化长表'!$K$2:$K$3075,"205",'标准化长表'!$E$2:$E$3075,"建设用地")</x:f>
        <x:v>253.37079100000017</x:v>
      </x:c>
      <x:c r="AB11" s="52" t="n">
        <x:f>IFERROR(AA11/Z11,0)</x:f>
        <x:v>0.9988455617385906</x:v>
      </x:c>
    </x:row>
    <x:row r="12">
      <x:c r="A12" s="21" t="n">
        <x:v>350500</x:v>
      </x:c>
      <x:c r="B12" s="22" t="str">
        <x:v>泉州市</x:v>
      </x:c>
      <x:c r="C12" s="22" t="n">
        <x:v>350521</x:v>
      </x:c>
      <x:c r="D12" s="22" t="str">
        <x:v>惠安县</x:v>
      </x:c>
      <x:c r="E12" s="33" t="n">
        <x:f>SUMIFS('标准化长表'!$N$2:$N$3075,'标准化长表'!$C$2:$C$3075,$C12,'标准化长表'!$K$2:$K$3075,"201")</x:f>
        <x:v>0</x:v>
      </x:c>
      <x:c r="F12" s="33" t="n">
        <x:f>SUMIFS('标准化长表'!$N$2:$N$3075,'标准化长表'!$C$2:$C$3075,$C12,'标准化长表'!$K$2:$K$3075,"201",'标准化长表'!$E$2:$E$3075,"建设用地")</x:f>
        <x:v>0</x:v>
      </x:c>
      <x:c r="G12" s="40" t="n">
        <x:f>IFERROR(F12/E12,0)</x:f>
        <x:v>0</x:v>
      </x:c>
      <x:c r="H12" s="33" t="n">
        <x:f>SUMIFS('标准化长表'!$N$2:$N$3075,'标准化长表'!$C$2:$C$3075,$C12,'标准化长表'!$K$2:$K$3075,"201A")</x:f>
        <x:v>0</x:v>
      </x:c>
      <x:c r="I12" s="33" t="n">
        <x:f>SUMIFS('标准化长表'!$N$2:$N$3075,'标准化长表'!$C$2:$C$3075,$C12,'标准化长表'!$K$2:$K$3075,"201A",'标准化长表'!$E$2:$E$3075,"建设用地")</x:f>
        <x:v>0</x:v>
      </x:c>
      <x:c r="J12" s="40" t="n">
        <x:f>IFERROR(I12/H12,0)</x:f>
        <x:v>0</x:v>
      </x:c>
      <x:c r="K12" s="33" t="n">
        <x:f>SUMIFS('标准化长表'!$N$2:$N$3075,'标准化长表'!$C$2:$C$3075,$C12,'标准化长表'!$K$2:$K$3075,"202")</x:f>
        <x:v>5964.177714999995</x:v>
      </x:c>
      <x:c r="L12" s="33" t="n">
        <x:f>SUMIFS('标准化长表'!$N$2:$N$3075,'标准化长表'!$C$2:$C$3075,$C12,'标准化长表'!$K$2:$K$3075,"202",'标准化长表'!$E$2:$E$3075,"建设用地")</x:f>
        <x:v>5801.801837999998</x:v>
      </x:c>
      <x:c r="M12" s="40" t="n">
        <x:f>IFERROR(L12/K12,0)</x:f>
        <x:v>0.9727748090752527</x:v>
      </x:c>
      <x:c r="N12" s="33" t="n">
        <x:f>SUMIFS('标准化长表'!$N$2:$N$3075,'标准化长表'!$C$2:$C$3075,$C12,'标准化长表'!$K$2:$K$3075,"202A")</x:f>
        <x:v>7.821802000000001</x:v>
      </x:c>
      <x:c r="O12" s="33" t="n">
        <x:f>SUMIFS('标准化长表'!$N$2:$N$3075,'标准化长表'!$C$2:$C$3075,$C12,'标准化长表'!$K$2:$K$3075,"202A",'标准化长表'!$E$2:$E$3075,"建设用地")</x:f>
        <x:v>7.821802000000001</x:v>
      </x:c>
      <x:c r="P12" s="40" t="n">
        <x:f>IFERROR(O12/N12,0)</x:f>
        <x:v>1</x:v>
      </x:c>
      <x:c r="Q12" s="33" t="n">
        <x:f>SUMIFS('标准化长表'!$N$2:$N$3075,'标准化长表'!$C$2:$C$3075,$C12,'标准化长表'!$K$2:$K$3075,"203")</x:f>
        <x:v>13263.674872000023</x:v>
      </x:c>
      <x:c r="R12" s="33" t="n">
        <x:f>SUMIFS('标准化长表'!$N$2:$N$3075,'标准化长表'!$C$2:$C$3075,$C12,'标准化长表'!$K$2:$K$3075,"203",'标准化长表'!$E$2:$E$3075,"建设用地")</x:f>
        <x:v>12948.844413000024</x:v>
      </x:c>
      <x:c r="S12" s="40" t="n">
        <x:f>IFERROR(R12/Q12,0)</x:f>
        <x:v>0.9762637080569115</x:v>
      </x:c>
      <x:c r="T12" s="33" t="n">
        <x:f>SUMIFS('标准化长表'!$N$2:$N$3075,'标准化长表'!$C$2:$C$3075,$C12,'标准化长表'!$K$2:$K$3075,"203A")</x:f>
        <x:v>425.8437680000002</x:v>
      </x:c>
      <x:c r="U12" s="33" t="n">
        <x:f>SUMIFS('标准化长表'!$N$2:$N$3075,'标准化长表'!$C$2:$C$3075,$C12,'标准化长表'!$K$2:$K$3075,"203A",'标准化长表'!$E$2:$E$3075,"建设用地")</x:f>
        <x:v>425.8437680000002</x:v>
      </x:c>
      <x:c r="V12" s="40" t="n">
        <x:f>IFERROR(U12/T12,0)</x:f>
        <x:v>1</x:v>
      </x:c>
      <x:c r="W12" s="33" t="n">
        <x:f>SUMIFS('标准化长表'!$N$2:$N$3075,'标准化长表'!$C$2:$C$3075,$C12,'标准化长表'!$K$2:$K$3075,"204")</x:f>
        <x:v>690.0858379999996</x:v>
      </x:c>
      <x:c r="X12" s="33" t="n">
        <x:f>SUMIFS('标准化长表'!$N$2:$N$3075,'标准化长表'!$C$2:$C$3075,$C12,'标准化长表'!$K$2:$K$3075,"204",'标准化长表'!$E$2:$E$3075,"建设用地")</x:f>
        <x:v>685.1223909999995</x:v>
      </x:c>
      <x:c r="Y12" s="40" t="n">
        <x:f>IFERROR(X12/W12,0)</x:f>
        <x:v>0.9928074933194034</x:v>
      </x:c>
      <x:c r="Z12" s="33" t="n">
        <x:f>SUMIFS('标准化长表'!$N$2:$N$3075,'标准化长表'!$C$2:$C$3075,$C12,'标准化长表'!$K$2:$K$3075,"205")</x:f>
        <x:v>753.2013140000001</x:v>
      </x:c>
      <x:c r="AA12" s="33" t="n">
        <x:f>SUMIFS('标准化长表'!$N$2:$N$3075,'标准化长表'!$C$2:$C$3075,$C12,'标准化长表'!$K$2:$K$3075,"205",'标准化长表'!$E$2:$E$3075,"建设用地")</x:f>
        <x:v>753.2013140000001</x:v>
      </x:c>
      <x:c r="AB12" s="52" t="n">
        <x:f>IFERROR(AA12/Z12,0)</x:f>
        <x:v>1</x:v>
      </x:c>
    </x:row>
    <x:row r="13">
      <x:c r="A13" s="21" t="n">
        <x:v>350500</x:v>
      </x:c>
      <x:c r="B13" s="22" t="str">
        <x:v>泉州市</x:v>
      </x:c>
      <x:c r="C13" s="22" t="n">
        <x:v>350524</x:v>
      </x:c>
      <x:c r="D13" s="22" t="str">
        <x:v>安溪县</x:v>
      </x:c>
      <x:c r="E13" s="33" t="n">
        <x:f>SUMIFS('标准化长表'!$N$2:$N$3075,'标准化长表'!$C$2:$C$3075,$C13,'标准化长表'!$K$2:$K$3075,"201")</x:f>
        <x:v>0</x:v>
      </x:c>
      <x:c r="F13" s="33" t="n">
        <x:f>SUMIFS('标准化长表'!$N$2:$N$3075,'标准化长表'!$C$2:$C$3075,$C13,'标准化长表'!$K$2:$K$3075,"201",'标准化长表'!$E$2:$E$3075,"建设用地")</x:f>
        <x:v>0</x:v>
      </x:c>
      <x:c r="G13" s="40" t="n">
        <x:f>IFERROR(F13/E13,0)</x:f>
        <x:v>0</x:v>
      </x:c>
      <x:c r="H13" s="33" t="n">
        <x:f>SUMIFS('标准化长表'!$N$2:$N$3075,'标准化长表'!$C$2:$C$3075,$C13,'标准化长表'!$K$2:$K$3075,"201A")</x:f>
        <x:v>0</x:v>
      </x:c>
      <x:c r="I13" s="33" t="n">
        <x:f>SUMIFS('标准化长表'!$N$2:$N$3075,'标准化长表'!$C$2:$C$3075,$C13,'标准化长表'!$K$2:$K$3075,"201A",'标准化长表'!$E$2:$E$3075,"建设用地")</x:f>
        <x:v>0</x:v>
      </x:c>
      <x:c r="J13" s="40" t="n">
        <x:f>IFERROR(I13/H13,0)</x:f>
        <x:v>0</x:v>
      </x:c>
      <x:c r="K13" s="33" t="n">
        <x:f>SUMIFS('标准化长表'!$N$2:$N$3075,'标准化长表'!$C$2:$C$3075,$C13,'标准化长表'!$K$2:$K$3075,"202")</x:f>
        <x:v>2479.6872790000016</x:v>
      </x:c>
      <x:c r="L13" s="33" t="n">
        <x:f>SUMIFS('标准化长表'!$N$2:$N$3075,'标准化长表'!$C$2:$C$3075,$C13,'标准化长表'!$K$2:$K$3075,"202",'标准化长表'!$E$2:$E$3075,"建设用地")</x:f>
        <x:v>2387.1949770000015</x:v>
      </x:c>
      <x:c r="M13" s="40" t="n">
        <x:f>IFERROR(L13/K13,0)</x:f>
        <x:v>0.96270001351247</x:v>
      </x:c>
      <x:c r="N13" s="33" t="n">
        <x:f>SUMIFS('标准化长表'!$N$2:$N$3075,'标准化长表'!$C$2:$C$3075,$C13,'标准化长表'!$K$2:$K$3075,"202A")</x:f>
        <x:v>14.150546000000002</x:v>
      </x:c>
      <x:c r="O13" s="33" t="n">
        <x:f>SUMIFS('标准化长表'!$N$2:$N$3075,'标准化长表'!$C$2:$C$3075,$C13,'标准化长表'!$K$2:$K$3075,"202A",'标准化长表'!$E$2:$E$3075,"建设用地")</x:f>
        <x:v>14.150546000000002</x:v>
      </x:c>
      <x:c r="P13" s="40" t="n">
        <x:f>IFERROR(O13/N13,0)</x:f>
        <x:v>1</x:v>
      </x:c>
      <x:c r="Q13" s="33" t="n">
        <x:f>SUMIFS('标准化长表'!$N$2:$N$3075,'标准化长表'!$C$2:$C$3075,$C13,'标准化长表'!$K$2:$K$3075,"203")</x:f>
        <x:v>12977.091645000051</x:v>
      </x:c>
      <x:c r="R13" s="33" t="n">
        <x:f>SUMIFS('标准化长表'!$N$2:$N$3075,'标准化长表'!$C$2:$C$3075,$C13,'标准化长表'!$K$2:$K$3075,"203",'标准化长表'!$E$2:$E$3075,"建设用地")</x:f>
        <x:v>12705.996885000053</x:v>
      </x:c>
      <x:c r="S13" s="40" t="n">
        <x:f>IFERROR(R13/Q13,0)</x:f>
        <x:v>0.979109744508551</x:v>
      </x:c>
      <x:c r="T13" s="33" t="n">
        <x:f>SUMIFS('标准化长表'!$N$2:$N$3075,'标准化长表'!$C$2:$C$3075,$C13,'标准化长表'!$K$2:$K$3075,"203A")</x:f>
        <x:v>183.86093900000012</x:v>
      </x:c>
      <x:c r="U13" s="33" t="n">
        <x:f>SUMIFS('标准化长表'!$N$2:$N$3075,'标准化长表'!$C$2:$C$3075,$C13,'标准化长表'!$K$2:$K$3075,"203A",'标准化长表'!$E$2:$E$3075,"建设用地")</x:f>
        <x:v>183.86093900000012</x:v>
      </x:c>
      <x:c r="V13" s="40" t="n">
        <x:f>IFERROR(U13/T13,0)</x:f>
        <x:v>1</x:v>
      </x:c>
      <x:c r="W13" s="33" t="n">
        <x:f>SUMIFS('标准化长表'!$N$2:$N$3075,'标准化长表'!$C$2:$C$3075,$C13,'标准化长表'!$K$2:$K$3075,"204")</x:f>
        <x:v>524.810293</x:v>
      </x:c>
      <x:c r="X13" s="33" t="n">
        <x:f>SUMIFS('标准化长表'!$N$2:$N$3075,'标准化长表'!$C$2:$C$3075,$C13,'标准化长表'!$K$2:$K$3075,"204",'标准化长表'!$E$2:$E$3075,"建设用地")</x:f>
        <x:v>524.810293</x:v>
      </x:c>
      <x:c r="Y13" s="40" t="n">
        <x:f>IFERROR(X13/W13,0)</x:f>
        <x:v>1</x:v>
      </x:c>
      <x:c r="Z13" s="33" t="n">
        <x:f>SUMIFS('标准化长表'!$N$2:$N$3075,'标准化长表'!$C$2:$C$3075,$C13,'标准化长表'!$K$2:$K$3075,"205")</x:f>
        <x:v>163.2288499999998</x:v>
      </x:c>
      <x:c r="AA13" s="33" t="n">
        <x:f>SUMIFS('标准化长表'!$N$2:$N$3075,'标准化长表'!$C$2:$C$3075,$C13,'标准化长表'!$K$2:$K$3075,"205",'标准化长表'!$E$2:$E$3075,"建设用地")</x:f>
        <x:v>163.17155099999977</x:v>
      </x:c>
      <x:c r="AB13" s="52" t="n">
        <x:f>IFERROR(AA13/Z13,0)</x:f>
        <x:v>0.9996489652411321</x:v>
      </x:c>
    </x:row>
    <x:row r="14">
      <x:c r="A14" s="21" t="n">
        <x:v>350500</x:v>
      </x:c>
      <x:c r="B14" s="22" t="str">
        <x:v>泉州市</x:v>
      </x:c>
      <x:c r="C14" s="22" t="n">
        <x:v>350525</x:v>
      </x:c>
      <x:c r="D14" s="22" t="str">
        <x:v>永春县</x:v>
      </x:c>
      <x:c r="E14" s="33" t="n">
        <x:f>SUMIFS('标准化长表'!$N$2:$N$3075,'标准化长表'!$C$2:$C$3075,$C14,'标准化长表'!$K$2:$K$3075,"201")</x:f>
        <x:v>0</x:v>
      </x:c>
      <x:c r="F14" s="33" t="n">
        <x:f>SUMIFS('标准化长表'!$N$2:$N$3075,'标准化长表'!$C$2:$C$3075,$C14,'标准化长表'!$K$2:$K$3075,"201",'标准化长表'!$E$2:$E$3075,"建设用地")</x:f>
        <x:v>0</x:v>
      </x:c>
      <x:c r="G14" s="40" t="n">
        <x:f>IFERROR(F14/E14,0)</x:f>
        <x:v>0</x:v>
      </x:c>
      <x:c r="H14" s="33" t="n">
        <x:f>SUMIFS('标准化长表'!$N$2:$N$3075,'标准化长表'!$C$2:$C$3075,$C14,'标准化长表'!$K$2:$K$3075,"201A")</x:f>
        <x:v>0</x:v>
      </x:c>
      <x:c r="I14" s="33" t="n">
        <x:f>SUMIFS('标准化长表'!$N$2:$N$3075,'标准化长表'!$C$2:$C$3075,$C14,'标准化长表'!$K$2:$K$3075,"201A",'标准化长表'!$E$2:$E$3075,"建设用地")</x:f>
        <x:v>0</x:v>
      </x:c>
      <x:c r="J14" s="40" t="n">
        <x:f>IFERROR(I14/H14,0)</x:f>
        <x:v>0</x:v>
      </x:c>
      <x:c r="K14" s="33" t="n">
        <x:f>SUMIFS('标准化长表'!$N$2:$N$3075,'标准化长表'!$C$2:$C$3075,$C14,'标准化长表'!$K$2:$K$3075,"202")</x:f>
        <x:v>2522.857441999998</x:v>
      </x:c>
      <x:c r="L14" s="33" t="n">
        <x:f>SUMIFS('标准化长表'!$N$2:$N$3075,'标准化长表'!$C$2:$C$3075,$C14,'标准化长表'!$K$2:$K$3075,"202",'标准化长表'!$E$2:$E$3075,"建设用地")</x:f>
        <x:v>2467.7640739999983</x:v>
      </x:c>
      <x:c r="M14" s="40" t="n">
        <x:f>IFERROR(L14/K14,0)</x:f>
        <x:v>0.9781623142541401</x:v>
      </x:c>
      <x:c r="N14" s="33" t="n">
        <x:f>SUMIFS('标准化长表'!$N$2:$N$3075,'标准化长表'!$C$2:$C$3075,$C14,'标准化长表'!$K$2:$K$3075,"202A")</x:f>
        <x:v>0</x:v>
      </x:c>
      <x:c r="O14" s="33" t="n">
        <x:f>SUMIFS('标准化长表'!$N$2:$N$3075,'标准化长表'!$C$2:$C$3075,$C14,'标准化长表'!$K$2:$K$3075,"202A",'标准化长表'!$E$2:$E$3075,"建设用地")</x:f>
        <x:v>0</x:v>
      </x:c>
      <x:c r="P14" s="40" t="n">
        <x:f>IFERROR(O14/N14,0)</x:f>
        <x:v>0</x:v>
      </x:c>
      <x:c r="Q14" s="33" t="n">
        <x:f>SUMIFS('标准化长表'!$N$2:$N$3075,'标准化长表'!$C$2:$C$3075,$C14,'标准化长表'!$K$2:$K$3075,"203")</x:f>
        <x:v>4820.820542000009</x:v>
      </x:c>
      <x:c r="R14" s="33" t="n">
        <x:f>SUMIFS('标准化长表'!$N$2:$N$3075,'标准化长表'!$C$2:$C$3075,$C14,'标准化长表'!$K$2:$K$3075,"203",'标准化长表'!$E$2:$E$3075,"建设用地")</x:f>
        <x:v>4776.6590830000105</x:v>
      </x:c>
      <x:c r="S14" s="40" t="n">
        <x:f>IFERROR(R14/Q14,0)</x:f>
        <x:v>0.990839431043895</x:v>
      </x:c>
      <x:c r="T14" s="33" t="n">
        <x:f>SUMIFS('标准化长表'!$N$2:$N$3075,'标准化长表'!$C$2:$C$3075,$C14,'标准化长表'!$K$2:$K$3075,"203A")</x:f>
        <x:v>0</x:v>
      </x:c>
      <x:c r="U14" s="33" t="n">
        <x:f>SUMIFS('标准化长表'!$N$2:$N$3075,'标准化长表'!$C$2:$C$3075,$C14,'标准化长表'!$K$2:$K$3075,"203A",'标准化长表'!$E$2:$E$3075,"建设用地")</x:f>
        <x:v>0</x:v>
      </x:c>
      <x:c r="V14" s="40" t="n">
        <x:f>IFERROR(U14/T14,0)</x:f>
        <x:v>0</x:v>
      </x:c>
      <x:c r="W14" s="33" t="n">
        <x:f>SUMIFS('标准化长表'!$N$2:$N$3075,'标准化长表'!$C$2:$C$3075,$C14,'标准化长表'!$K$2:$K$3075,"204")</x:f>
        <x:v>597.9594150000006</x:v>
      </x:c>
      <x:c r="X14" s="33" t="n">
        <x:f>SUMIFS('标准化长表'!$N$2:$N$3075,'标准化长表'!$C$2:$C$3075,$C14,'标准化长表'!$K$2:$K$3075,"204",'标准化长表'!$E$2:$E$3075,"建设用地")</x:f>
        <x:v>597.1925680000006</x:v>
      </x:c>
      <x:c r="Y14" s="40" t="n">
        <x:f>IFERROR(X14/W14,0)</x:f>
        <x:v>0.9987175601206982</x:v>
      </x:c>
      <x:c r="Z14" s="33" t="n">
        <x:f>SUMIFS('标准化长表'!$N$2:$N$3075,'标准化长表'!$C$2:$C$3075,$C14,'标准化长表'!$K$2:$K$3075,"205")</x:f>
        <x:v>140.00245899999996</x:v>
      </x:c>
      <x:c r="AA14" s="33" t="n">
        <x:f>SUMIFS('标准化长表'!$N$2:$N$3075,'标准化长表'!$C$2:$C$3075,$C14,'标准化长表'!$K$2:$K$3075,"205",'标准化长表'!$E$2:$E$3075,"建设用地")</x:f>
        <x:v>139.80175799999995</x:v>
      </x:c>
      <x:c r="AB14" s="52" t="n">
        <x:f>IFERROR(AA14/Z14,0)</x:f>
        <x:v>0.9985664466079127</x:v>
      </x:c>
    </x:row>
    <x:row r="15">
      <x:c r="A15" s="21" t="n">
        <x:v>350500</x:v>
      </x:c>
      <x:c r="B15" s="22" t="str">
        <x:v>泉州市</x:v>
      </x:c>
      <x:c r="C15" s="22" t="n">
        <x:v>350526</x:v>
      </x:c>
      <x:c r="D15" s="22" t="str">
        <x:v>德化县</x:v>
      </x:c>
      <x:c r="E15" s="33" t="n">
        <x:f>SUMIFS('标准化长表'!$N$2:$N$3075,'标准化长表'!$C$2:$C$3075,$C15,'标准化长表'!$K$2:$K$3075,"201")</x:f>
        <x:v>0</x:v>
      </x:c>
      <x:c r="F15" s="33" t="n">
        <x:f>SUMIFS('标准化长表'!$N$2:$N$3075,'标准化长表'!$C$2:$C$3075,$C15,'标准化长表'!$K$2:$K$3075,"201",'标准化长表'!$E$2:$E$3075,"建设用地")</x:f>
        <x:v>0</x:v>
      </x:c>
      <x:c r="G15" s="40" t="n">
        <x:f>IFERROR(F15/E15,0)</x:f>
        <x:v>0</x:v>
      </x:c>
      <x:c r="H15" s="33" t="n">
        <x:f>SUMIFS('标准化长表'!$N$2:$N$3075,'标准化长表'!$C$2:$C$3075,$C15,'标准化长表'!$K$2:$K$3075,"201A")</x:f>
        <x:v>0</x:v>
      </x:c>
      <x:c r="I15" s="33" t="n">
        <x:f>SUMIFS('标准化长表'!$N$2:$N$3075,'标准化长表'!$C$2:$C$3075,$C15,'标准化长表'!$K$2:$K$3075,"201A",'标准化长表'!$E$2:$E$3075,"建设用地")</x:f>
        <x:v>0</x:v>
      </x:c>
      <x:c r="J15" s="40" t="n">
        <x:f>IFERROR(I15/H15,0)</x:f>
        <x:v>0</x:v>
      </x:c>
      <x:c r="K15" s="33" t="n">
        <x:f>SUMIFS('标准化长表'!$N$2:$N$3075,'标准化长表'!$C$2:$C$3075,$C15,'标准化长表'!$K$2:$K$3075,"202")</x:f>
        <x:v>1972.8285550000007</x:v>
      </x:c>
      <x:c r="L15" s="33" t="n">
        <x:f>SUMIFS('标准化长表'!$N$2:$N$3075,'标准化长表'!$C$2:$C$3075,$C15,'标准化长表'!$K$2:$K$3075,"202",'标准化长表'!$E$2:$E$3075,"建设用地")</x:f>
        <x:v>1926.3819420000007</x:v>
      </x:c>
      <x:c r="M15" s="40" t="n">
        <x:f>IFERROR(L15/K15,0)</x:f>
        <x:v>0.9764568426981228</x:v>
      </x:c>
      <x:c r="N15" s="33" t="n">
        <x:f>SUMIFS('标准化长表'!$N$2:$N$3075,'标准化长表'!$C$2:$C$3075,$C15,'标准化长表'!$K$2:$K$3075,"202A")</x:f>
        <x:v>0</x:v>
      </x:c>
      <x:c r="O15" s="33" t="n">
        <x:f>SUMIFS('标准化长表'!$N$2:$N$3075,'标准化长表'!$C$2:$C$3075,$C15,'标准化长表'!$K$2:$K$3075,"202A",'标准化长表'!$E$2:$E$3075,"建设用地")</x:f>
        <x:v>0</x:v>
      </x:c>
      <x:c r="P15" s="40" t="n">
        <x:f>IFERROR(O15/N15,0)</x:f>
        <x:v>0</x:v>
      </x:c>
      <x:c r="Q15" s="33" t="n">
        <x:f>SUMIFS('标准化长表'!$N$2:$N$3075,'标准化长表'!$C$2:$C$3075,$C15,'标准化长表'!$K$2:$K$3075,"203")</x:f>
        <x:v>2690.2479320000034</x:v>
      </x:c>
      <x:c r="R15" s="33" t="n">
        <x:f>SUMIFS('标准化长表'!$N$2:$N$3075,'标准化长表'!$C$2:$C$3075,$C15,'标准化长表'!$K$2:$K$3075,"203",'标准化长表'!$E$2:$E$3075,"建设用地")</x:f>
        <x:v>2688.968516000003</x:v>
      </x:c>
      <x:c r="S15" s="40" t="n">
        <x:f>IFERROR(R15/Q15,0)</x:f>
        <x:v>0.9995244245020015</x:v>
      </x:c>
      <x:c r="T15" s="33" t="n">
        <x:f>SUMIFS('标准化长表'!$N$2:$N$3075,'标准化长表'!$C$2:$C$3075,$C15,'标准化长表'!$K$2:$K$3075,"203A")</x:f>
        <x:v>0</x:v>
      </x:c>
      <x:c r="U15" s="33" t="n">
        <x:f>SUMIFS('标准化长表'!$N$2:$N$3075,'标准化长表'!$C$2:$C$3075,$C15,'标准化长表'!$K$2:$K$3075,"203A",'标准化长表'!$E$2:$E$3075,"建设用地")</x:f>
        <x:v>0</x:v>
      </x:c>
      <x:c r="V15" s="40" t="n">
        <x:f>IFERROR(U15/T15,0)</x:f>
        <x:v>0</x:v>
      </x:c>
      <x:c r="W15" s="33" t="n">
        <x:f>SUMIFS('标准化长表'!$N$2:$N$3075,'标准化长表'!$C$2:$C$3075,$C15,'标准化长表'!$K$2:$K$3075,"204")</x:f>
        <x:v>485.0966859999999</x:v>
      </x:c>
      <x:c r="X15" s="33" t="n">
        <x:f>SUMIFS('标准化长表'!$N$2:$N$3075,'标准化长表'!$C$2:$C$3075,$C15,'标准化长表'!$K$2:$K$3075,"204",'标准化长表'!$E$2:$E$3075,"建设用地")</x:f>
        <x:v>485.0966859999999</x:v>
      </x:c>
      <x:c r="Y15" s="40" t="n">
        <x:f>IFERROR(X15/W15,0)</x:f>
        <x:v>1</x:v>
      </x:c>
      <x:c r="Z15" s="33" t="n">
        <x:f>SUMIFS('标准化长表'!$N$2:$N$3075,'标准化长表'!$C$2:$C$3075,$C15,'标准化长表'!$K$2:$K$3075,"205")</x:f>
        <x:v>109.75339699999992</x:v>
      </x:c>
      <x:c r="AA15" s="33" t="n">
        <x:f>SUMIFS('标准化长表'!$N$2:$N$3075,'标准化长表'!$C$2:$C$3075,$C15,'标准化长表'!$K$2:$K$3075,"205",'标准化长表'!$E$2:$E$3075,"建设用地")</x:f>
        <x:v>109.75339699999992</x:v>
      </x:c>
      <x:c r="AB15" s="52" t="n">
        <x:f>IFERROR(AA15/Z15,0)</x:f>
        <x:v>1</x:v>
      </x:c>
    </x:row>
    <x:row r="16">
      <x:c r="A16" s="21" t="n">
        <x:v>350500</x:v>
      </x:c>
      <x:c r="B16" s="22" t="str">
        <x:v>泉州市</x:v>
      </x:c>
      <x:c r="C16" s="22" t="n">
        <x:v>350581</x:v>
      </x:c>
      <x:c r="D16" s="22" t="str">
        <x:v>石狮市</x:v>
      </x:c>
      <x:c r="E16" s="33" t="n">
        <x:f>SUMIFS('标准化长表'!$N$2:$N$3075,'标准化长表'!$C$2:$C$3075,$C16,'标准化长表'!$K$2:$K$3075,"201")</x:f>
        <x:v>3010.510261999998</x:v>
      </x:c>
      <x:c r="F16" s="33" t="n">
        <x:f>SUMIFS('标准化长表'!$N$2:$N$3075,'标准化长表'!$C$2:$C$3075,$C16,'标准化长表'!$K$2:$K$3075,"201",'标准化长表'!$E$2:$E$3075,"建设用地")</x:f>
        <x:v>2943.530075999998</x:v>
      </x:c>
      <x:c r="G16" s="40" t="n">
        <x:f>IFERROR(F16/E16,0)</x:f>
        <x:v>0.9777512181753859</x:v>
      </x:c>
      <x:c r="H16" s="33" t="n">
        <x:f>SUMIFS('标准化长表'!$N$2:$N$3075,'标准化长表'!$C$2:$C$3075,$C16,'标准化长表'!$K$2:$K$3075,"201A")</x:f>
        <x:v>18.093263</x:v>
      </x:c>
      <x:c r="I16" s="33" t="n">
        <x:f>SUMIFS('标准化长表'!$N$2:$N$3075,'标准化长表'!$C$2:$C$3075,$C16,'标准化长表'!$K$2:$K$3075,"201A",'标准化长表'!$E$2:$E$3075,"建设用地")</x:f>
        <x:v>18.093263</x:v>
      </x:c>
      <x:c r="J16" s="40" t="n">
        <x:f>IFERROR(I16/H16,0)</x:f>
        <x:v>1</x:v>
      </x:c>
      <x:c r="K16" s="33" t="n">
        <x:f>SUMIFS('标准化长表'!$N$2:$N$3075,'标准化长表'!$C$2:$C$3075,$C16,'标准化长表'!$K$2:$K$3075,"202")</x:f>
        <x:v>1761.2770620000001</x:v>
      </x:c>
      <x:c r="L16" s="33" t="n">
        <x:f>SUMIFS('标准化长表'!$N$2:$N$3075,'标准化长表'!$C$2:$C$3075,$C16,'标准化长表'!$K$2:$K$3075,"202",'标准化长表'!$E$2:$E$3075,"建设用地")</x:f>
        <x:v>1719.6470719999995</x:v>
      </x:c>
      <x:c r="M16" s="40" t="n">
        <x:f>IFERROR(L16/K16,0)</x:f>
        <x:v>0.9763637471365646</x:v>
      </x:c>
      <x:c r="N16" s="33" t="n">
        <x:f>SUMIFS('标准化长表'!$N$2:$N$3075,'标准化长表'!$C$2:$C$3075,$C16,'标准化长表'!$K$2:$K$3075,"202A")</x:f>
        <x:v>81.22429299999999</x:v>
      </x:c>
      <x:c r="O16" s="33" t="n">
        <x:f>SUMIFS('标准化长表'!$N$2:$N$3075,'标准化长表'!$C$2:$C$3075,$C16,'标准化长表'!$K$2:$K$3075,"202A",'标准化长表'!$E$2:$E$3075,"建设用地")</x:f>
        <x:v>81.22429299999999</x:v>
      </x:c>
      <x:c r="P16" s="40" t="n">
        <x:f>IFERROR(O16/N16,0)</x:f>
        <x:v>1</x:v>
      </x:c>
      <x:c r="Q16" s="33" t="n">
        <x:f>SUMIFS('标准化长表'!$N$2:$N$3075,'标准化长表'!$C$2:$C$3075,$C16,'标准化长表'!$K$2:$K$3075,"203")</x:f>
        <x:v>2775.734188999999</x:v>
      </x:c>
      <x:c r="R16" s="33" t="n">
        <x:f>SUMIFS('标准化长表'!$N$2:$N$3075,'标准化长表'!$C$2:$C$3075,$C16,'标准化长表'!$K$2:$K$3075,"203",'标准化长表'!$E$2:$E$3075,"建设用地")</x:f>
        <x:v>2717.1219639999986</x:v>
      </x:c>
      <x:c r="S16" s="40" t="n">
        <x:f>IFERROR(R16/Q16,0)</x:f>
        <x:v>0.9788840641757861</x:v>
      </x:c>
      <x:c r="T16" s="33" t="n">
        <x:f>SUMIFS('标准化长表'!$N$2:$N$3075,'标准化长表'!$C$2:$C$3075,$C16,'标准化长表'!$K$2:$K$3075,"203A")</x:f>
        <x:v>49.86623699999999</x:v>
      </x:c>
      <x:c r="U16" s="33" t="n">
        <x:f>SUMIFS('标准化长表'!$N$2:$N$3075,'标准化长表'!$C$2:$C$3075,$C16,'标准化长表'!$K$2:$K$3075,"203A",'标准化长表'!$E$2:$E$3075,"建设用地")</x:f>
        <x:v>49.86623699999999</x:v>
      </x:c>
      <x:c r="V16" s="40" t="n">
        <x:f>IFERROR(U16/T16,0)</x:f>
        <x:v>1</x:v>
      </x:c>
      <x:c r="W16" s="33" t="n">
        <x:f>SUMIFS('标准化长表'!$N$2:$N$3075,'标准化长表'!$C$2:$C$3075,$C16,'标准化长表'!$K$2:$K$3075,"204")</x:f>
        <x:v>139.63596800000002</x:v>
      </x:c>
      <x:c r="X16" s="33" t="n">
        <x:f>SUMIFS('标准化长表'!$N$2:$N$3075,'标准化长表'!$C$2:$C$3075,$C16,'标准化长表'!$K$2:$K$3075,"204",'标准化长表'!$E$2:$E$3075,"建设用地")</x:f>
        <x:v>139.63596800000002</x:v>
      </x:c>
      <x:c r="Y16" s="40" t="n">
        <x:f>IFERROR(X16/W16,0)</x:f>
        <x:v>1</x:v>
      </x:c>
      <x:c r="Z16" s="33" t="n">
        <x:f>SUMIFS('标准化长表'!$N$2:$N$3075,'标准化长表'!$C$2:$C$3075,$C16,'标准化长表'!$K$2:$K$3075,"205")</x:f>
        <x:v>411.9638220000003</x:v>
      </x:c>
      <x:c r="AA16" s="33" t="n">
        <x:f>SUMIFS('标准化长表'!$N$2:$N$3075,'标准化长表'!$C$2:$C$3075,$C16,'标准化长表'!$K$2:$K$3075,"205",'标准化长表'!$E$2:$E$3075,"建设用地")</x:f>
        <x:v>411.9638220000003</x:v>
      </x:c>
      <x:c r="AB16" s="52" t="n">
        <x:f>IFERROR(AA16/Z16,0)</x:f>
        <x:v>1</x:v>
      </x:c>
    </x:row>
    <x:row r="17">
      <x:c r="A17" s="21" t="n">
        <x:v>350500</x:v>
      </x:c>
      <x:c r="B17" s="22" t="str">
        <x:v>泉州市</x:v>
      </x:c>
      <x:c r="C17" s="22" t="n">
        <x:v>350582</x:v>
      </x:c>
      <x:c r="D17" s="22" t="str">
        <x:v>晋江市</x:v>
      </x:c>
      <x:c r="E17" s="33" t="n">
        <x:f>SUMIFS('标准化长表'!$N$2:$N$3075,'标准化长表'!$C$2:$C$3075,$C17,'标准化长表'!$K$2:$K$3075,"201")</x:f>
        <x:v>4072.851051000001</x:v>
      </x:c>
      <x:c r="F17" s="33" t="n">
        <x:f>SUMIFS('标准化长表'!$N$2:$N$3075,'标准化长表'!$C$2:$C$3075,$C17,'标准化长表'!$K$2:$K$3075,"201",'标准化长表'!$E$2:$E$3075,"建设用地")</x:f>
        <x:v>3937.9323050000016</x:v>
      </x:c>
      <x:c r="G17" s="40" t="n">
        <x:f>IFERROR(F17/E17,0)</x:f>
        <x:v>0.9668736361063651</x:v>
      </x:c>
      <x:c r="H17" s="33" t="n">
        <x:f>SUMIFS('标准化长表'!$N$2:$N$3075,'标准化长表'!$C$2:$C$3075,$C17,'标准化长表'!$K$2:$K$3075,"201A")</x:f>
        <x:v>3.7037760000000004</x:v>
      </x:c>
      <x:c r="I17" s="33" t="n">
        <x:f>SUMIFS('标准化长表'!$N$2:$N$3075,'标准化长表'!$C$2:$C$3075,$C17,'标准化长表'!$K$2:$K$3075,"201A",'标准化长表'!$E$2:$E$3075,"建设用地")</x:f>
        <x:v>3.7037760000000004</x:v>
      </x:c>
      <x:c r="J17" s="40" t="n">
        <x:f>IFERROR(I17/H17,0)</x:f>
        <x:v>1</x:v>
      </x:c>
      <x:c r="K17" s="33" t="n">
        <x:f>SUMIFS('标准化长表'!$N$2:$N$3075,'标准化长表'!$C$2:$C$3075,$C17,'标准化长表'!$K$2:$K$3075,"202")</x:f>
        <x:v>7449.109999999999</x:v>
      </x:c>
      <x:c r="L17" s="33" t="n">
        <x:f>SUMIFS('标准化长表'!$N$2:$N$3075,'标准化长表'!$C$2:$C$3075,$C17,'标准化长表'!$K$2:$K$3075,"202",'标准化长表'!$E$2:$E$3075,"建设用地")</x:f>
        <x:v>7158.795290999998</x:v>
      </x:c>
      <x:c r="M17" s="40" t="n">
        <x:f>IFERROR(L17/K17,0)</x:f>
        <x:v>0.9610269268409245</x:v>
      </x:c>
      <x:c r="N17" s="33" t="n">
        <x:f>SUMIFS('标准化长表'!$N$2:$N$3075,'标准化长表'!$C$2:$C$3075,$C17,'标准化长表'!$K$2:$K$3075,"202A")</x:f>
        <x:v>91.85411799999999</x:v>
      </x:c>
      <x:c r="O17" s="33" t="n">
        <x:f>SUMIFS('标准化长表'!$N$2:$N$3075,'标准化长表'!$C$2:$C$3075,$C17,'标准化长表'!$K$2:$K$3075,"202A",'标准化长表'!$E$2:$E$3075,"建设用地")</x:f>
        <x:v>91.85411799999999</x:v>
      </x:c>
      <x:c r="P17" s="40" t="n">
        <x:f>IFERROR(O17/N17,0)</x:f>
        <x:v>1</x:v>
      </x:c>
      <x:c r="Q17" s="33" t="n">
        <x:f>SUMIFS('标准化长表'!$N$2:$N$3075,'标准化长表'!$C$2:$C$3075,$C17,'标准化长表'!$K$2:$K$3075,"203")</x:f>
        <x:v>18645.28719599994</x:v>
      </x:c>
      <x:c r="R17" s="33" t="n">
        <x:f>SUMIFS('标准化长表'!$N$2:$N$3075,'标准化长表'!$C$2:$C$3075,$C17,'标准化长表'!$K$2:$K$3075,"203",'标准化长表'!$E$2:$E$3075,"建设用地")</x:f>
        <x:v>18051.191822999936</x:v>
      </x:c>
      <x:c r="S17" s="40" t="n">
        <x:f>IFERROR(R17/Q17,0)</x:f>
        <x:v>0.9681369685135525</x:v>
      </x:c>
      <x:c r="T17" s="33" t="n">
        <x:f>SUMIFS('标准化长表'!$N$2:$N$3075,'标准化长表'!$C$2:$C$3075,$C17,'标准化长表'!$K$2:$K$3075,"203A")</x:f>
        <x:v>249.78062800000018</x:v>
      </x:c>
      <x:c r="U17" s="33" t="n">
        <x:f>SUMIFS('标准化长表'!$N$2:$N$3075,'标准化长表'!$C$2:$C$3075,$C17,'标准化长表'!$K$2:$K$3075,"203A",'标准化长表'!$E$2:$E$3075,"建设用地")</x:f>
        <x:v>249.78062800000018</x:v>
      </x:c>
      <x:c r="V17" s="40" t="n">
        <x:f>IFERROR(U17/T17,0)</x:f>
        <x:v>1</x:v>
      </x:c>
      <x:c r="W17" s="33" t="n">
        <x:f>SUMIFS('标准化长表'!$N$2:$N$3075,'标准化长表'!$C$2:$C$3075,$C17,'标准化长表'!$K$2:$K$3075,"204")</x:f>
        <x:v>401.9687840000002</x:v>
      </x:c>
      <x:c r="X17" s="33" t="n">
        <x:f>SUMIFS('标准化长表'!$N$2:$N$3075,'标准化长表'!$C$2:$C$3075,$C17,'标准化长表'!$K$2:$K$3075,"204",'标准化长表'!$E$2:$E$3075,"建设用地")</x:f>
        <x:v>401.9687840000002</x:v>
      </x:c>
      <x:c r="Y17" s="40" t="n">
        <x:f>IFERROR(X17/W17,0)</x:f>
        <x:v>1</x:v>
      </x:c>
      <x:c r="Z17" s="33" t="n">
        <x:f>SUMIFS('标准化长表'!$N$2:$N$3075,'标准化长表'!$C$2:$C$3075,$C17,'标准化长表'!$K$2:$K$3075,"205")</x:f>
        <x:v>918.5659940000008</x:v>
      </x:c>
      <x:c r="AA17" s="33" t="n">
        <x:f>SUMIFS('标准化长表'!$N$2:$N$3075,'标准化长表'!$C$2:$C$3075,$C17,'标准化长表'!$K$2:$K$3075,"205",'标准化长表'!$E$2:$E$3075,"建设用地")</x:f>
        <x:v>918.5659940000008</x:v>
      </x:c>
      <x:c r="AB17" s="52" t="n">
        <x:f>IFERROR(AA17/Z17,0)</x:f>
        <x:v>1</x:v>
      </x:c>
    </x:row>
    <x:row r="18">
      <x:c r="A18" s="21" t="n">
        <x:v>350500</x:v>
      </x:c>
      <x:c r="B18" s="22" t="str">
        <x:v>泉州市</x:v>
      </x:c>
      <x:c r="C18" s="22" t="n">
        <x:v>350583</x:v>
      </x:c>
      <x:c r="D18" s="22" t="str">
        <x:v>南安市</x:v>
      </x:c>
      <x:c r="E18" s="33" t="n">
        <x:f>SUMIFS('标准化长表'!$N$2:$N$3075,'标准化长表'!$C$2:$C$3075,$C18,'标准化长表'!$K$2:$K$3075,"201")</x:f>
        <x:v>1398.8143060000002</x:v>
      </x:c>
      <x:c r="F18" s="33" t="n">
        <x:f>SUMIFS('标准化长表'!$N$2:$N$3075,'标准化长表'!$C$2:$C$3075,$C18,'标准化长表'!$K$2:$K$3075,"201",'标准化长表'!$E$2:$E$3075,"建设用地")</x:f>
        <x:v>1354.847894</x:v>
      </x:c>
      <x:c r="G18" s="40" t="n">
        <x:f>IFERROR(F18/E18,0)</x:f>
        <x:v>0.9685688001535208</x:v>
      </x:c>
      <x:c r="H18" s="33" t="n">
        <x:f>SUMIFS('标准化长表'!$N$2:$N$3075,'标准化长表'!$C$2:$C$3075,$C18,'标准化长表'!$K$2:$K$3075,"201A")</x:f>
        <x:v>0.31958099999999995</x:v>
      </x:c>
      <x:c r="I18" s="33" t="n">
        <x:f>SUMIFS('标准化长表'!$N$2:$N$3075,'标准化长表'!$C$2:$C$3075,$C18,'标准化长表'!$K$2:$K$3075,"201A",'标准化长表'!$E$2:$E$3075,"建设用地")</x:f>
        <x:v>0.31958099999999995</x:v>
      </x:c>
      <x:c r="J18" s="40" t="n">
        <x:f>IFERROR(I18/H18,0)</x:f>
        <x:v>1</x:v>
      </x:c>
      <x:c r="K18" s="33" t="n">
        <x:f>SUMIFS('标准化长表'!$N$2:$N$3075,'标准化长表'!$C$2:$C$3075,$C18,'标准化长表'!$K$2:$K$3075,"202")</x:f>
        <x:v>7335.670200000001</x:v>
      </x:c>
      <x:c r="L18" s="33" t="n">
        <x:f>SUMIFS('标准化长表'!$N$2:$N$3075,'标准化长表'!$C$2:$C$3075,$C18,'标准化长表'!$K$2:$K$3075,"202",'标准化长表'!$E$2:$E$3075,"建设用地")</x:f>
        <x:v>7122.24411</x:v>
      </x:c>
      <x:c r="M18" s="40" t="n">
        <x:f>IFERROR(L18/K18,0)</x:f>
        <x:v>0.9709057135638401</x:v>
      </x:c>
      <x:c r="N18" s="33" t="n">
        <x:f>SUMIFS('标准化长表'!$N$2:$N$3075,'标准化长表'!$C$2:$C$3075,$C18,'标准化长表'!$K$2:$K$3075,"202A")</x:f>
        <x:v>128.84101099999998</x:v>
      </x:c>
      <x:c r="O18" s="33" t="n">
        <x:f>SUMIFS('标准化长表'!$N$2:$N$3075,'标准化长表'!$C$2:$C$3075,$C18,'标准化长表'!$K$2:$K$3075,"202A",'标准化长表'!$E$2:$E$3075,"建设用地")</x:f>
        <x:v>128.84101099999998</x:v>
      </x:c>
      <x:c r="P18" s="40" t="n">
        <x:f>IFERROR(O18/N18,0)</x:f>
        <x:v>1</x:v>
      </x:c>
      <x:c r="Q18" s="33" t="n">
        <x:f>SUMIFS('标准化长表'!$N$2:$N$3075,'标准化长表'!$C$2:$C$3075,$C18,'标准化长表'!$K$2:$K$3075,"203")</x:f>
        <x:v>22868.294220000047</x:v>
      </x:c>
      <x:c r="R18" s="33" t="n">
        <x:f>SUMIFS('标准化长表'!$N$2:$N$3075,'标准化长表'!$C$2:$C$3075,$C18,'标准化长表'!$K$2:$K$3075,"203",'标准化长表'!$E$2:$E$3075,"建设用地")</x:f>
        <x:v>22509.209524000045</x:v>
      </x:c>
      <x:c r="S18" s="40" t="n">
        <x:f>IFERROR(R18/Q18,0)</x:f>
        <x:v>0.9842977052619012</x:v>
      </x:c>
      <x:c r="T18" s="33" t="n">
        <x:f>SUMIFS('标准化长表'!$N$2:$N$3075,'标准化长表'!$C$2:$C$3075,$C18,'标准化长表'!$K$2:$K$3075,"203A")</x:f>
        <x:v>364.3215979999998</x:v>
      </x:c>
      <x:c r="U18" s="33" t="n">
        <x:f>SUMIFS('标准化长表'!$N$2:$N$3075,'标准化长表'!$C$2:$C$3075,$C18,'标准化长表'!$K$2:$K$3075,"203A",'标准化长表'!$E$2:$E$3075,"建设用地")</x:f>
        <x:v>364.3215979999998</x:v>
      </x:c>
      <x:c r="V18" s="40" t="n">
        <x:f>IFERROR(U18/T18,0)</x:f>
        <x:v>1</x:v>
      </x:c>
      <x:c r="W18" s="33" t="n">
        <x:f>SUMIFS('标准化长表'!$N$2:$N$3075,'标准化长表'!$C$2:$C$3075,$C18,'标准化长表'!$K$2:$K$3075,"204")</x:f>
        <x:v>2388.635799</x:v>
      </x:c>
      <x:c r="X18" s="33" t="n">
        <x:f>SUMIFS('标准化长表'!$N$2:$N$3075,'标准化长表'!$C$2:$C$3075,$C18,'标准化长表'!$K$2:$K$3075,"204",'标准化长表'!$E$2:$E$3075,"建设用地")</x:f>
        <x:v>2387.9244280000003</x:v>
      </x:c>
      <x:c r="Y18" s="40" t="n">
        <x:f>IFERROR(X18/W18,0)</x:f>
        <x:v>0.9997021852388306</x:v>
      </x:c>
      <x:c r="Z18" s="33" t="n">
        <x:f>SUMIFS('标准化长表'!$N$2:$N$3075,'标准化长表'!$C$2:$C$3075,$C18,'标准化长表'!$K$2:$K$3075,"205")</x:f>
        <x:v>1256.0624050000004</x:v>
      </x:c>
      <x:c r="AA18" s="33" t="n">
        <x:f>SUMIFS('标准化长表'!$N$2:$N$3075,'标准化长表'!$C$2:$C$3075,$C18,'标准化长表'!$K$2:$K$3075,"205",'标准化长表'!$E$2:$E$3075,"建设用地")</x:f>
        <x:v>1256.0624050000004</x:v>
      </x:c>
      <x:c r="AB18" s="52" t="n">
        <x:f>IFERROR(AA18/Z18,0)</x:f>
        <x:v>1</x:v>
      </x:c>
    </x:row>
    <x:row r="19">
      <x:c r="A19" s="21" t="n">
        <x:v>350600</x:v>
      </x:c>
      <x:c r="B19" s="22" t="str">
        <x:v>漳州市</x:v>
      </x:c>
      <x:c r="C19" s="22" t="n">
        <x:v>350602</x:v>
      </x:c>
      <x:c r="D19" s="22" t="str">
        <x:v>芗城区</x:v>
      </x:c>
      <x:c r="E19" s="33" t="n">
        <x:f>SUMIFS('标准化长表'!$N$2:$N$3075,'标准化长表'!$C$2:$C$3075,$C19,'标准化长表'!$K$2:$K$3075,"201")</x:f>
        <x:v>2109.4709600000006</x:v>
      </x:c>
      <x:c r="F19" s="33" t="n">
        <x:f>SUMIFS('标准化长表'!$N$2:$N$3075,'标准化长表'!$C$2:$C$3075,$C19,'标准化长表'!$K$2:$K$3075,"201",'标准化长表'!$E$2:$E$3075,"建设用地")</x:f>
        <x:v>2020.4083280000002</x:v>
      </x:c>
      <x:c r="G19" s="40" t="n">
        <x:f>IFERROR(F19/E19,0)</x:f>
        <x:v>0.9577796358950585</x:v>
      </x:c>
      <x:c r="H19" s="33" t="n">
        <x:f>SUMIFS('标准化长表'!$N$2:$N$3075,'标准化长表'!$C$2:$C$3075,$C19,'标准化长表'!$K$2:$K$3075,"201A")</x:f>
        <x:v>1.368817</x:v>
      </x:c>
      <x:c r="I19" s="33" t="n">
        <x:f>SUMIFS('标准化长表'!$N$2:$N$3075,'标准化长表'!$C$2:$C$3075,$C19,'标准化长表'!$K$2:$K$3075,"201A",'标准化长表'!$E$2:$E$3075,"建设用地")</x:f>
        <x:v>1.368817</x:v>
      </x:c>
      <x:c r="J19" s="40" t="n">
        <x:f>IFERROR(I19/H19,0)</x:f>
        <x:v>1</x:v>
      </x:c>
      <x:c r="K19" s="33" t="n">
        <x:f>SUMIFS('标准化长表'!$N$2:$N$3075,'标准化长表'!$C$2:$C$3075,$C19,'标准化长表'!$K$2:$K$3075,"202")</x:f>
        <x:v>399.4504830000002</x:v>
      </x:c>
      <x:c r="L19" s="33" t="n">
        <x:f>SUMIFS('标准化长表'!$N$2:$N$3075,'标准化长表'!$C$2:$C$3075,$C19,'标准化长表'!$K$2:$K$3075,"202",'标准化长表'!$E$2:$E$3075,"建设用地")</x:f>
        <x:v>383.9491640000001</x:v>
      </x:c>
      <x:c r="M19" s="40" t="n">
        <x:f>IFERROR(L19/K19,0)</x:f>
        <x:v>0.9611933902706031</x:v>
      </x:c>
      <x:c r="N19" s="33" t="n">
        <x:f>SUMIFS('标准化长表'!$N$2:$N$3075,'标准化长表'!$C$2:$C$3075,$C19,'标准化长表'!$K$2:$K$3075,"202A")</x:f>
        <x:v>21.743811999999995</x:v>
      </x:c>
      <x:c r="O19" s="33" t="n">
        <x:f>SUMIFS('标准化长表'!$N$2:$N$3075,'标准化长表'!$C$2:$C$3075,$C19,'标准化长表'!$K$2:$K$3075,"202A",'标准化长表'!$E$2:$E$3075,"建设用地")</x:f>
        <x:v>21.743811999999995</x:v>
      </x:c>
      <x:c r="P19" s="40" t="n">
        <x:f>IFERROR(O19/N19,0)</x:f>
        <x:v>1</x:v>
      </x:c>
      <x:c r="Q19" s="33" t="n">
        <x:f>SUMIFS('标准化长表'!$N$2:$N$3075,'标准化长表'!$C$2:$C$3075,$C19,'标准化长表'!$K$2:$K$3075,"203")</x:f>
        <x:v>3587.8398419999985</x:v>
      </x:c>
      <x:c r="R19" s="33" t="n">
        <x:f>SUMIFS('标准化长表'!$N$2:$N$3075,'标准化长表'!$C$2:$C$3075,$C19,'标准化长表'!$K$2:$K$3075,"203",'标准化长表'!$E$2:$E$3075,"建设用地")</x:f>
        <x:v>3549.4304999999986</x:v>
      </x:c>
      <x:c r="S19" s="40" t="n">
        <x:f>IFERROR(R19/Q19,0)</x:f>
        <x:v>0.9892945773246697</x:v>
      </x:c>
      <x:c r="T19" s="33" t="n">
        <x:f>SUMIFS('标准化长表'!$N$2:$N$3075,'标准化长表'!$C$2:$C$3075,$C19,'标准化长表'!$K$2:$K$3075,"203A")</x:f>
        <x:v>161.383013</x:v>
      </x:c>
      <x:c r="U19" s="33" t="n">
        <x:f>SUMIFS('标准化长表'!$N$2:$N$3075,'标准化长表'!$C$2:$C$3075,$C19,'标准化长表'!$K$2:$K$3075,"203A",'标准化长表'!$E$2:$E$3075,"建设用地")</x:f>
        <x:v>161.383013</x:v>
      </x:c>
      <x:c r="V19" s="40" t="n">
        <x:f>IFERROR(U19/T19,0)</x:f>
        <x:v>1</x:v>
      </x:c>
      <x:c r="W19" s="33" t="n">
        <x:f>SUMIFS('标准化长表'!$N$2:$N$3075,'标准化长表'!$C$2:$C$3075,$C19,'标准化长表'!$K$2:$K$3075,"204")</x:f>
        <x:v>64.636527</x:v>
      </x:c>
      <x:c r="X19" s="33" t="n">
        <x:f>SUMIFS('标准化长表'!$N$2:$N$3075,'标准化长表'!$C$2:$C$3075,$C19,'标准化长表'!$K$2:$K$3075,"204",'标准化长表'!$E$2:$E$3075,"建设用地")</x:f>
        <x:v>64.636527</x:v>
      </x:c>
      <x:c r="Y19" s="40" t="n">
        <x:f>IFERROR(X19/W19,0)</x:f>
        <x:v>1</x:v>
      </x:c>
      <x:c r="Z19" s="33" t="n">
        <x:f>SUMIFS('标准化长表'!$N$2:$N$3075,'标准化长表'!$C$2:$C$3075,$C19,'标准化长表'!$K$2:$K$3075,"205")</x:f>
        <x:v>289.078635</x:v>
      </x:c>
      <x:c r="AA19" s="33" t="n">
        <x:f>SUMIFS('标准化长表'!$N$2:$N$3075,'标准化长表'!$C$2:$C$3075,$C19,'标准化长表'!$K$2:$K$3075,"205",'标准化长表'!$E$2:$E$3075,"建设用地")</x:f>
        <x:v>289.078635</x:v>
      </x:c>
      <x:c r="AB19" s="52" t="n">
        <x:f>IFERROR(AA19/Z19,0)</x:f>
        <x:v>1</x:v>
      </x:c>
    </x:row>
    <x:row r="20">
      <x:c r="A20" s="21" t="n">
        <x:v>350600</x:v>
      </x:c>
      <x:c r="B20" s="22" t="str">
        <x:v>漳州市</x:v>
      </x:c>
      <x:c r="C20" s="22" t="n">
        <x:v>350603</x:v>
      </x:c>
      <x:c r="D20" s="22" t="str">
        <x:v>龙文区</x:v>
      </x:c>
      <x:c r="E20" s="33" t="n">
        <x:f>SUMIFS('标准化长表'!$N$2:$N$3075,'标准化长表'!$C$2:$C$3075,$C20,'标准化长表'!$K$2:$K$3075,"201")</x:f>
        <x:v>3249.7470529999996</x:v>
      </x:c>
      <x:c r="F20" s="33" t="n">
        <x:f>SUMIFS('标准化长表'!$N$2:$N$3075,'标准化长表'!$C$2:$C$3075,$C20,'标准化长表'!$K$2:$K$3075,"201",'标准化长表'!$E$2:$E$3075,"建设用地")</x:f>
        <x:v>2881.6705289999995</x:v>
      </x:c>
      <x:c r="G20" s="40" t="n">
        <x:f>IFERROR(F20/E20,0)</x:f>
        <x:v>0.8867368696710685</x:v>
      </x:c>
      <x:c r="H20" s="33" t="n">
        <x:f>SUMIFS('标准化长表'!$N$2:$N$3075,'标准化长表'!$C$2:$C$3075,$C20,'标准化长表'!$K$2:$K$3075,"201A")</x:f>
        <x:v>0</x:v>
      </x:c>
      <x:c r="I20" s="33" t="n">
        <x:f>SUMIFS('标准化长表'!$N$2:$N$3075,'标准化长表'!$C$2:$C$3075,$C20,'标准化长表'!$K$2:$K$3075,"201A",'标准化长表'!$E$2:$E$3075,"建设用地")</x:f>
        <x:v>0</x:v>
      </x:c>
      <x:c r="J20" s="40" t="n">
        <x:f>IFERROR(I20/H20,0)</x:f>
        <x:v>0</x:v>
      </x:c>
      <x:c r="K20" s="33" t="n">
        <x:f>SUMIFS('标准化长表'!$N$2:$N$3075,'标准化长表'!$C$2:$C$3075,$C20,'标准化长表'!$K$2:$K$3075,"202")</x:f>
        <x:v>138.645315</x:v>
      </x:c>
      <x:c r="L20" s="33" t="n">
        <x:f>SUMIFS('标准化长表'!$N$2:$N$3075,'标准化长表'!$C$2:$C$3075,$C20,'标准化长表'!$K$2:$K$3075,"202",'标准化长表'!$E$2:$E$3075,"建设用地")</x:f>
        <x:v>134.881715</x:v>
      </x:c>
      <x:c r="M20" s="40" t="n">
        <x:f>IFERROR(L20/K20,0)</x:f>
        <x:v>0.9728544740224363</x:v>
      </x:c>
      <x:c r="N20" s="33" t="n">
        <x:f>SUMIFS('标准化长表'!$N$2:$N$3075,'标准化长表'!$C$2:$C$3075,$C20,'标准化长表'!$K$2:$K$3075,"202A")</x:f>
        <x:v>0</x:v>
      </x:c>
      <x:c r="O20" s="33" t="n">
        <x:f>SUMIFS('标准化长表'!$N$2:$N$3075,'标准化长表'!$C$2:$C$3075,$C20,'标准化长表'!$K$2:$K$3075,"202A",'标准化长表'!$E$2:$E$3075,"建设用地")</x:f>
        <x:v>0</x:v>
      </x:c>
      <x:c r="P20" s="40" t="n">
        <x:f>IFERROR(O20/N20,0)</x:f>
        <x:v>0</x:v>
      </x:c>
      <x:c r="Q20" s="33" t="n">
        <x:f>SUMIFS('标准化长表'!$N$2:$N$3075,'标准化长表'!$C$2:$C$3075,$C20,'标准化长表'!$K$2:$K$3075,"203")</x:f>
        <x:v>1586.9698910000006</x:v>
      </x:c>
      <x:c r="R20" s="33" t="n">
        <x:f>SUMIFS('标准化长表'!$N$2:$N$3075,'标准化长表'!$C$2:$C$3075,$C20,'标准化长表'!$K$2:$K$3075,"203",'标准化长表'!$E$2:$E$3075,"建设用地")</x:f>
        <x:v>1507.7909990000005</x:v>
      </x:c>
      <x:c r="S20" s="40" t="n">
        <x:f>IFERROR(R20/Q20,0)</x:f>
        <x:v>0.9501068719393869</x:v>
      </x:c>
      <x:c r="T20" s="33" t="n">
        <x:f>SUMIFS('标准化长表'!$N$2:$N$3075,'标准化长表'!$C$2:$C$3075,$C20,'标准化长表'!$K$2:$K$3075,"203A")</x:f>
        <x:v>36.43048699999999</x:v>
      </x:c>
      <x:c r="U20" s="33" t="n">
        <x:f>SUMIFS('标准化长表'!$N$2:$N$3075,'标准化长表'!$C$2:$C$3075,$C20,'标准化长表'!$K$2:$K$3075,"203A",'标准化长表'!$E$2:$E$3075,"建设用地")</x:f>
        <x:v>36.43048699999999</x:v>
      </x:c>
      <x:c r="V20" s="40" t="n">
        <x:f>IFERROR(U20/T20,0)</x:f>
        <x:v>1</x:v>
      </x:c>
      <x:c r="W20" s="33" t="n">
        <x:f>SUMIFS('标准化长表'!$N$2:$N$3075,'标准化长表'!$C$2:$C$3075,$C20,'标准化长表'!$K$2:$K$3075,"204")</x:f>
        <x:v>40.21911399999999</x:v>
      </x:c>
      <x:c r="X20" s="33" t="n">
        <x:f>SUMIFS('标准化长表'!$N$2:$N$3075,'标准化长表'!$C$2:$C$3075,$C20,'标准化长表'!$K$2:$K$3075,"204",'标准化长表'!$E$2:$E$3075,"建设用地")</x:f>
        <x:v>40.04608699999999</x:v>
      </x:c>
      <x:c r="Y20" s="40" t="n">
        <x:f>IFERROR(X20/W20,0)</x:f>
        <x:v>0.9956978913061089</x:v>
      </x:c>
      <x:c r="Z20" s="33" t="n">
        <x:f>SUMIFS('标准化长表'!$N$2:$N$3075,'标准化长表'!$C$2:$C$3075,$C20,'标准化长表'!$K$2:$K$3075,"205")</x:f>
        <x:v>49.115961000000006</x:v>
      </x:c>
      <x:c r="AA20" s="33" t="n">
        <x:f>SUMIFS('标准化长表'!$N$2:$N$3075,'标准化长表'!$C$2:$C$3075,$C20,'标准化长表'!$K$2:$K$3075,"205",'标准化长表'!$E$2:$E$3075,"建设用地")</x:f>
        <x:v>49.115961000000006</x:v>
      </x:c>
      <x:c r="AB20" s="52" t="n">
        <x:f>IFERROR(AA20/Z20,0)</x:f>
        <x:v>1</x:v>
      </x:c>
    </x:row>
    <x:row r="21">
      <x:c r="A21" s="21" t="n">
        <x:v>350600</x:v>
      </x:c>
      <x:c r="B21" s="22" t="str">
        <x:v>漳州市</x:v>
      </x:c>
      <x:c r="C21" s="22" t="n">
        <x:v>350622</x:v>
      </x:c>
      <x:c r="D21" s="22" t="str">
        <x:v>云霄县</x:v>
      </x:c>
      <x:c r="E21" s="33" t="n">
        <x:f>SUMIFS('标准化长表'!$N$2:$N$3075,'标准化长表'!$C$2:$C$3075,$C21,'标准化长表'!$K$2:$K$3075,"201")</x:f>
        <x:v>0</x:v>
      </x:c>
      <x:c r="F21" s="33" t="n">
        <x:f>SUMIFS('标准化长表'!$N$2:$N$3075,'标准化长表'!$C$2:$C$3075,$C21,'标准化长表'!$K$2:$K$3075,"201",'标准化长表'!$E$2:$E$3075,"建设用地")</x:f>
        <x:v>0</x:v>
      </x:c>
      <x:c r="G21" s="40" t="n">
        <x:f>IFERROR(F21/E21,0)</x:f>
        <x:v>0</x:v>
      </x:c>
      <x:c r="H21" s="33" t="n">
        <x:f>SUMIFS('标准化长表'!$N$2:$N$3075,'标准化长表'!$C$2:$C$3075,$C21,'标准化长表'!$K$2:$K$3075,"201A")</x:f>
        <x:v>0</x:v>
      </x:c>
      <x:c r="I21" s="33" t="n">
        <x:f>SUMIFS('标准化长表'!$N$2:$N$3075,'标准化长表'!$C$2:$C$3075,$C21,'标准化长表'!$K$2:$K$3075,"201A",'标准化长表'!$E$2:$E$3075,"建设用地")</x:f>
        <x:v>0</x:v>
      </x:c>
      <x:c r="J21" s="40" t="n">
        <x:f>IFERROR(I21/H21,0)</x:f>
        <x:v>0</x:v>
      </x:c>
      <x:c r="K21" s="33" t="n">
        <x:f>SUMIFS('标准化长表'!$N$2:$N$3075,'标准化长表'!$C$2:$C$3075,$C21,'标准化长表'!$K$2:$K$3075,"202")</x:f>
        <x:v>2820.6617940000015</x:v>
      </x:c>
      <x:c r="L21" s="33" t="n">
        <x:f>SUMIFS('标准化长表'!$N$2:$N$3075,'标准化长表'!$C$2:$C$3075,$C21,'标准化长表'!$K$2:$K$3075,"202",'标准化长表'!$E$2:$E$3075,"建设用地")</x:f>
        <x:v>2732.789286000001</x:v>
      </x:c>
      <x:c r="M21" s="40" t="n">
        <x:f>IFERROR(L21/K21,0)</x:f>
        <x:v>0.9688468471523529</x:v>
      </x:c>
      <x:c r="N21" s="33" t="n">
        <x:f>SUMIFS('标准化长表'!$N$2:$N$3075,'标准化长表'!$C$2:$C$3075,$C21,'标准化长表'!$K$2:$K$3075,"202A")</x:f>
        <x:v>61.073358</x:v>
      </x:c>
      <x:c r="O21" s="33" t="n">
        <x:f>SUMIFS('标准化长表'!$N$2:$N$3075,'标准化长表'!$C$2:$C$3075,$C21,'标准化长表'!$K$2:$K$3075,"202A",'标准化长表'!$E$2:$E$3075,"建设用地")</x:f>
        <x:v>61.073358</x:v>
      </x:c>
      <x:c r="P21" s="40" t="n">
        <x:f>IFERROR(O21/N21,0)</x:f>
        <x:v>1</x:v>
      </x:c>
      <x:c r="Q21" s="33" t="n">
        <x:f>SUMIFS('标准化长表'!$N$2:$N$3075,'标准化长表'!$C$2:$C$3075,$C21,'标准化长表'!$K$2:$K$3075,"203")</x:f>
        <x:v>2476.617077000002</x:v>
      </x:c>
      <x:c r="R21" s="33" t="n">
        <x:f>SUMIFS('标准化长表'!$N$2:$N$3075,'标准化长表'!$C$2:$C$3075,$C21,'标准化长表'!$K$2:$K$3075,"203",'标准化长表'!$E$2:$E$3075,"建设用地")</x:f>
        <x:v>2444.561368000001</x:v>
      </x:c>
      <x:c r="S21" s="40" t="n">
        <x:f>IFERROR(R21/Q21,0)</x:f>
        <x:v>0.9870566551051844</x:v>
      </x:c>
      <x:c r="T21" s="33" t="n">
        <x:f>SUMIFS('标准化长表'!$N$2:$N$3075,'标准化长表'!$C$2:$C$3075,$C21,'标准化长表'!$K$2:$K$3075,"203A")</x:f>
        <x:v>61.890299999999975</x:v>
      </x:c>
      <x:c r="U21" s="33" t="n">
        <x:f>SUMIFS('标准化长表'!$N$2:$N$3075,'标准化长表'!$C$2:$C$3075,$C21,'标准化长表'!$K$2:$K$3075,"203A",'标准化长表'!$E$2:$E$3075,"建设用地")</x:f>
        <x:v>61.890299999999975</x:v>
      </x:c>
      <x:c r="V21" s="40" t="n">
        <x:f>IFERROR(U21/T21,0)</x:f>
        <x:v>1</x:v>
      </x:c>
      <x:c r="W21" s="33" t="n">
        <x:f>SUMIFS('标准化长表'!$N$2:$N$3075,'标准化长表'!$C$2:$C$3075,$C21,'标准化长表'!$K$2:$K$3075,"204")</x:f>
        <x:v>229.6186050000001</x:v>
      </x:c>
      <x:c r="X21" s="33" t="n">
        <x:f>SUMIFS('标准化长表'!$N$2:$N$3075,'标准化长表'!$C$2:$C$3075,$C21,'标准化长表'!$K$2:$K$3075,"204",'标准化长表'!$E$2:$E$3075,"建设用地")</x:f>
        <x:v>229.6186050000001</x:v>
      </x:c>
      <x:c r="Y21" s="40" t="n">
        <x:f>IFERROR(X21/W21,0)</x:f>
        <x:v>1</x:v>
      </x:c>
      <x:c r="Z21" s="33" t="n">
        <x:f>SUMIFS('标准化长表'!$N$2:$N$3075,'标准化长表'!$C$2:$C$3075,$C21,'标准化长表'!$K$2:$K$3075,"205")</x:f>
        <x:v>67.51034999999992</x:v>
      </x:c>
      <x:c r="AA21" s="33" t="n">
        <x:f>SUMIFS('标准化长表'!$N$2:$N$3075,'标准化长表'!$C$2:$C$3075,$C21,'标准化长表'!$K$2:$K$3075,"205",'标准化长表'!$E$2:$E$3075,"建设用地")</x:f>
        <x:v>67.51034999999992</x:v>
      </x:c>
      <x:c r="AB21" s="52" t="n">
        <x:f>IFERROR(AA21/Z21,0)</x:f>
        <x:v>1</x:v>
      </x:c>
    </x:row>
    <x:row r="22">
      <x:c r="A22" s="21" t="n">
        <x:v>350600</x:v>
      </x:c>
      <x:c r="B22" s="22" t="str">
        <x:v>漳州市</x:v>
      </x:c>
      <x:c r="C22" s="22" t="n">
        <x:v>350623</x:v>
      </x:c>
      <x:c r="D22" s="22" t="str">
        <x:v>漳浦县</x:v>
      </x:c>
      <x:c r="E22" s="33" t="n">
        <x:f>SUMIFS('标准化长表'!$N$2:$N$3075,'标准化长表'!$C$2:$C$3075,$C22,'标准化长表'!$K$2:$K$3075,"201")</x:f>
        <x:v>0</x:v>
      </x:c>
      <x:c r="F22" s="33" t="n">
        <x:f>SUMIFS('标准化长表'!$N$2:$N$3075,'标准化长表'!$C$2:$C$3075,$C22,'标准化长表'!$K$2:$K$3075,"201",'标准化长表'!$E$2:$E$3075,"建设用地")</x:f>
        <x:v>0</x:v>
      </x:c>
      <x:c r="G22" s="40" t="n">
        <x:f>IFERROR(F22/E22,0)</x:f>
        <x:v>0</x:v>
      </x:c>
      <x:c r="H22" s="33" t="n">
        <x:f>SUMIFS('标准化长表'!$N$2:$N$3075,'标准化长表'!$C$2:$C$3075,$C22,'标准化长表'!$K$2:$K$3075,"201A")</x:f>
        <x:v>0</x:v>
      </x:c>
      <x:c r="I22" s="33" t="n">
        <x:f>SUMIFS('标准化长表'!$N$2:$N$3075,'标准化长表'!$C$2:$C$3075,$C22,'标准化长表'!$K$2:$K$3075,"201A",'标准化长表'!$E$2:$E$3075,"建设用地")</x:f>
        <x:v>0</x:v>
      </x:c>
      <x:c r="J22" s="40" t="n">
        <x:f>IFERROR(I22/H22,0)</x:f>
        <x:v>0</x:v>
      </x:c>
      <x:c r="K22" s="33" t="n">
        <x:f>SUMIFS('标准化长表'!$N$2:$N$3075,'标准化长表'!$C$2:$C$3075,$C22,'标准化长表'!$K$2:$K$3075,"202")</x:f>
        <x:v>4825.521436000002</x:v>
      </x:c>
      <x:c r="L22" s="33" t="n">
        <x:f>SUMIFS('标准化长表'!$N$2:$N$3075,'标准化长表'!$C$2:$C$3075,$C22,'标准化长表'!$K$2:$K$3075,"202",'标准化长表'!$E$2:$E$3075,"建设用地")</x:f>
        <x:v>4749.716464000001</x:v>
      </x:c>
      <x:c r="M22" s="40" t="n">
        <x:f>IFERROR(L22/K22,0)</x:f>
        <x:v>0.9842908226591907</x:v>
      </x:c>
      <x:c r="N22" s="33" t="n">
        <x:f>SUMIFS('标准化长表'!$N$2:$N$3075,'标准化长表'!$C$2:$C$3075,$C22,'标准化长表'!$K$2:$K$3075,"202A")</x:f>
        <x:v>7.422331999999999</x:v>
      </x:c>
      <x:c r="O22" s="33" t="n">
        <x:f>SUMIFS('标准化长表'!$N$2:$N$3075,'标准化长表'!$C$2:$C$3075,$C22,'标准化长表'!$K$2:$K$3075,"202A",'标准化长表'!$E$2:$E$3075,"建设用地")</x:f>
        <x:v>7.422331999999999</x:v>
      </x:c>
      <x:c r="P22" s="40" t="n">
        <x:f>IFERROR(O22/N22,0)</x:f>
        <x:v>1</x:v>
      </x:c>
      <x:c r="Q22" s="33" t="n">
        <x:f>SUMIFS('标准化长表'!$N$2:$N$3075,'标准化长表'!$C$2:$C$3075,$C22,'标准化长表'!$K$2:$K$3075,"203")</x:f>
        <x:v>12261.236432999958</x:v>
      </x:c>
      <x:c r="R22" s="33" t="n">
        <x:f>SUMIFS('标准化长表'!$N$2:$N$3075,'标准化长表'!$C$2:$C$3075,$C22,'标准化长表'!$K$2:$K$3075,"203",'标准化长表'!$E$2:$E$3075,"建设用地")</x:f>
        <x:v>12205.13777999996</x:v>
      </x:c>
      <x:c r="S22" s="40" t="n">
        <x:f>IFERROR(R22/Q22,0)</x:f>
        <x:v>0.9954247148477608</x:v>
      </x:c>
      <x:c r="T22" s="33" t="n">
        <x:f>SUMIFS('标准化长表'!$N$2:$N$3075,'标准化长表'!$C$2:$C$3075,$C22,'标准化长表'!$K$2:$K$3075,"203A")</x:f>
        <x:v>411.14579700000024</x:v>
      </x:c>
      <x:c r="U22" s="33" t="n">
        <x:f>SUMIFS('标准化长表'!$N$2:$N$3075,'标准化长表'!$C$2:$C$3075,$C22,'标准化长表'!$K$2:$K$3075,"203A",'标准化长表'!$E$2:$E$3075,"建设用地")</x:f>
        <x:v>411.14579700000024</x:v>
      </x:c>
      <x:c r="V22" s="40" t="n">
        <x:f>IFERROR(U22/T22,0)</x:f>
        <x:v>1</x:v>
      </x:c>
      <x:c r="W22" s="33" t="n">
        <x:f>SUMIFS('标准化长表'!$N$2:$N$3075,'标准化长表'!$C$2:$C$3075,$C22,'标准化长表'!$K$2:$K$3075,"204")</x:f>
        <x:v>1626.074881</x:v>
      </x:c>
      <x:c r="X22" s="33" t="n">
        <x:f>SUMIFS('标准化长表'!$N$2:$N$3075,'标准化长表'!$C$2:$C$3075,$C22,'标准化长表'!$K$2:$K$3075,"204",'标准化长表'!$E$2:$E$3075,"建设用地")</x:f>
        <x:v>1626.074881</x:v>
      </x:c>
      <x:c r="Y22" s="40" t="n">
        <x:f>IFERROR(X22/W22,0)</x:f>
        <x:v>1</x:v>
      </x:c>
      <x:c r="Z22" s="33" t="n">
        <x:f>SUMIFS('标准化长表'!$N$2:$N$3075,'标准化长表'!$C$2:$C$3075,$C22,'标准化长表'!$K$2:$K$3075,"205")</x:f>
        <x:v>242.11751200000015</x:v>
      </x:c>
      <x:c r="AA22" s="33" t="n">
        <x:f>SUMIFS('标准化长表'!$N$2:$N$3075,'标准化长表'!$C$2:$C$3075,$C22,'标准化长表'!$K$2:$K$3075,"205",'标准化长表'!$E$2:$E$3075,"建设用地")</x:f>
        <x:v>242.11751200000015</x:v>
      </x:c>
      <x:c r="AB22" s="52" t="n">
        <x:f>IFERROR(AA22/Z22,0)</x:f>
        <x:v>1</x:v>
      </x:c>
    </x:row>
    <x:row r="23">
      <x:c r="A23" s="21" t="n">
        <x:v>350600</x:v>
      </x:c>
      <x:c r="B23" s="22" t="str">
        <x:v>漳州市</x:v>
      </x:c>
      <x:c r="C23" s="22" t="n">
        <x:v>350624</x:v>
      </x:c>
      <x:c r="D23" s="22" t="str">
        <x:v>诏安县</x:v>
      </x:c>
      <x:c r="E23" s="33" t="n">
        <x:f>SUMIFS('标准化长表'!$N$2:$N$3075,'标准化长表'!$C$2:$C$3075,$C23,'标准化长表'!$K$2:$K$3075,"201")</x:f>
        <x:v>0</x:v>
      </x:c>
      <x:c r="F23" s="33" t="n">
        <x:f>SUMIFS('标准化长表'!$N$2:$N$3075,'标准化长表'!$C$2:$C$3075,$C23,'标准化长表'!$K$2:$K$3075,"201",'标准化长表'!$E$2:$E$3075,"建设用地")</x:f>
        <x:v>0</x:v>
      </x:c>
      <x:c r="G23" s="40" t="n">
        <x:f>IFERROR(F23/E23,0)</x:f>
        <x:v>0</x:v>
      </x:c>
      <x:c r="H23" s="33" t="n">
        <x:f>SUMIFS('标准化长表'!$N$2:$N$3075,'标准化长表'!$C$2:$C$3075,$C23,'标准化长表'!$K$2:$K$3075,"201A")</x:f>
        <x:v>0</x:v>
      </x:c>
      <x:c r="I23" s="33" t="n">
        <x:f>SUMIFS('标准化长表'!$N$2:$N$3075,'标准化长表'!$C$2:$C$3075,$C23,'标准化长表'!$K$2:$K$3075,"201A",'标准化长表'!$E$2:$E$3075,"建设用地")</x:f>
        <x:v>0</x:v>
      </x:c>
      <x:c r="J23" s="40" t="n">
        <x:f>IFERROR(I23/H23,0)</x:f>
        <x:v>0</x:v>
      </x:c>
      <x:c r="K23" s="33" t="n">
        <x:f>SUMIFS('标准化长表'!$N$2:$N$3075,'标准化长表'!$C$2:$C$3075,$C23,'标准化长表'!$K$2:$K$3075,"202")</x:f>
        <x:v>1078.941522</x:v>
      </x:c>
      <x:c r="L23" s="33" t="n">
        <x:f>SUMIFS('标准化长表'!$N$2:$N$3075,'标准化长表'!$C$2:$C$3075,$C23,'标准化长表'!$K$2:$K$3075,"202",'标准化长表'!$E$2:$E$3075,"建设用地")</x:f>
        <x:v>1056.975794</x:v>
      </x:c>
      <x:c r="M23" s="40" t="n">
        <x:f>IFERROR(L23/K23,0)</x:f>
        <x:v>0.9796414100744932</x:v>
      </x:c>
      <x:c r="N23" s="33" t="n">
        <x:f>SUMIFS('标准化长表'!$N$2:$N$3075,'标准化长表'!$C$2:$C$3075,$C23,'标准化长表'!$K$2:$K$3075,"202A")</x:f>
        <x:v>74.963191</x:v>
      </x:c>
      <x:c r="O23" s="33" t="n">
        <x:f>SUMIFS('标准化长表'!$N$2:$N$3075,'标准化长表'!$C$2:$C$3075,$C23,'标准化长表'!$K$2:$K$3075,"202A",'标准化长表'!$E$2:$E$3075,"建设用地")</x:f>
        <x:v>74.963191</x:v>
      </x:c>
      <x:c r="P23" s="40" t="n">
        <x:f>IFERROR(O23/N23,0)</x:f>
        <x:v>1</x:v>
      </x:c>
      <x:c r="Q23" s="33" t="n">
        <x:f>SUMIFS('标准化长表'!$N$2:$N$3075,'标准化长表'!$C$2:$C$3075,$C23,'标准化长表'!$K$2:$K$3075,"203")</x:f>
        <x:v>4911.341735999991</x:v>
      </x:c>
      <x:c r="R23" s="33" t="n">
        <x:f>SUMIFS('标准化长表'!$N$2:$N$3075,'标准化长表'!$C$2:$C$3075,$C23,'标准化长表'!$K$2:$K$3075,"203",'标准化长表'!$E$2:$E$3075,"建设用地")</x:f>
        <x:v>4815.193343999991</x:v>
      </x:c>
      <x:c r="S23" s="40" t="n">
        <x:f>IFERROR(R23/Q23,0)</x:f>
        <x:v>0.9804231924455113</x:v>
      </x:c>
      <x:c r="T23" s="33" t="n">
        <x:f>SUMIFS('标准化长表'!$N$2:$N$3075,'标准化长表'!$C$2:$C$3075,$C23,'标准化长表'!$K$2:$K$3075,"203A")</x:f>
        <x:v>228.078758</x:v>
      </x:c>
      <x:c r="U23" s="33" t="n">
        <x:f>SUMIFS('标准化长表'!$N$2:$N$3075,'标准化长表'!$C$2:$C$3075,$C23,'标准化长表'!$K$2:$K$3075,"203A",'标准化长表'!$E$2:$E$3075,"建设用地")</x:f>
        <x:v>228.078758</x:v>
      </x:c>
      <x:c r="V23" s="40" t="n">
        <x:f>IFERROR(U23/T23,0)</x:f>
        <x:v>1</x:v>
      </x:c>
      <x:c r="W23" s="33" t="n">
        <x:f>SUMIFS('标准化长表'!$N$2:$N$3075,'标准化长表'!$C$2:$C$3075,$C23,'标准化长表'!$K$2:$K$3075,"204")</x:f>
        <x:v>384.20638699999984</x:v>
      </x:c>
      <x:c r="X23" s="33" t="n">
        <x:f>SUMIFS('标准化长表'!$N$2:$N$3075,'标准化长表'!$C$2:$C$3075,$C23,'标准化长表'!$K$2:$K$3075,"204",'标准化长表'!$E$2:$E$3075,"建设用地")</x:f>
        <x:v>384.20638699999984</x:v>
      </x:c>
      <x:c r="Y23" s="40" t="n">
        <x:f>IFERROR(X23/W23,0)</x:f>
        <x:v>1</x:v>
      </x:c>
      <x:c r="Z23" s="33" t="n">
        <x:f>SUMIFS('标准化长表'!$N$2:$N$3075,'标准化长表'!$C$2:$C$3075,$C23,'标准化长表'!$K$2:$K$3075,"205")</x:f>
        <x:v>86.55464300000007</x:v>
      </x:c>
      <x:c r="AA23" s="33" t="n">
        <x:f>SUMIFS('标准化长表'!$N$2:$N$3075,'标准化长表'!$C$2:$C$3075,$C23,'标准化长表'!$K$2:$K$3075,"205",'标准化长表'!$E$2:$E$3075,"建设用地")</x:f>
        <x:v>86.55464300000007</x:v>
      </x:c>
      <x:c r="AB23" s="52" t="n">
        <x:f>IFERROR(AA23/Z23,0)</x:f>
        <x:v>1</x:v>
      </x:c>
    </x:row>
    <x:row r="24">
      <x:c r="A24" s="21" t="n">
        <x:v>350600</x:v>
      </x:c>
      <x:c r="B24" s="22" t="str">
        <x:v>漳州市</x:v>
      </x:c>
      <x:c r="C24" s="22" t="n">
        <x:v>350625</x:v>
      </x:c>
      <x:c r="D24" s="22" t="str">
        <x:v>长泰区</x:v>
      </x:c>
      <x:c r="E24" s="33" t="n">
        <x:f>SUMIFS('标准化长表'!$N$2:$N$3075,'标准化长表'!$C$2:$C$3075,$C24,'标准化长表'!$K$2:$K$3075,"201")</x:f>
        <x:v>0</x:v>
      </x:c>
      <x:c r="F24" s="33" t="n">
        <x:f>SUMIFS('标准化长表'!$N$2:$N$3075,'标准化长表'!$C$2:$C$3075,$C24,'标准化长表'!$K$2:$K$3075,"201",'标准化长表'!$E$2:$E$3075,"建设用地")</x:f>
        <x:v>0</x:v>
      </x:c>
      <x:c r="G24" s="40" t="n">
        <x:f>IFERROR(F24/E24,0)</x:f>
        <x:v>0</x:v>
      </x:c>
      <x:c r="H24" s="33" t="n">
        <x:f>SUMIFS('标准化长表'!$N$2:$N$3075,'标准化长表'!$C$2:$C$3075,$C24,'标准化长表'!$K$2:$K$3075,"201A")</x:f>
        <x:v>0</x:v>
      </x:c>
      <x:c r="I24" s="33" t="n">
        <x:f>SUMIFS('标准化长表'!$N$2:$N$3075,'标准化长表'!$C$2:$C$3075,$C24,'标准化长表'!$K$2:$K$3075,"201A",'标准化长表'!$E$2:$E$3075,"建设用地")</x:f>
        <x:v>0</x:v>
      </x:c>
      <x:c r="J24" s="40" t="n">
        <x:f>IFERROR(I24/H24,0)</x:f>
        <x:v>0</x:v>
      </x:c>
      <x:c r="K24" s="33" t="n">
        <x:f>SUMIFS('标准化长表'!$N$2:$N$3075,'标准化长表'!$C$2:$C$3075,$C24,'标准化长表'!$K$2:$K$3075,"202")</x:f>
        <x:v>2827.0886900000005</x:v>
      </x:c>
      <x:c r="L24" s="33" t="n">
        <x:f>SUMIFS('标准化长表'!$N$2:$N$3075,'标准化长表'!$C$2:$C$3075,$C24,'标准化长表'!$K$2:$K$3075,"202",'标准化长表'!$E$2:$E$3075,"建设用地")</x:f>
        <x:v>2758.9584940000013</x:v>
      </x:c>
      <x:c r="M24" s="40" t="n">
        <x:f>IFERROR(L24/K24,0)</x:f>
        <x:v>0.975900934328311</x:v>
      </x:c>
      <x:c r="N24" s="33" t="n">
        <x:f>SUMIFS('标准化长表'!$N$2:$N$3075,'标准化长表'!$C$2:$C$3075,$C24,'标准化长表'!$K$2:$K$3075,"202A")</x:f>
        <x:v>20.242596000000006</x:v>
      </x:c>
      <x:c r="O24" s="33" t="n">
        <x:f>SUMIFS('标准化长表'!$N$2:$N$3075,'标准化长表'!$C$2:$C$3075,$C24,'标准化长表'!$K$2:$K$3075,"202A",'标准化长表'!$E$2:$E$3075,"建设用地")</x:f>
        <x:v>20.242596000000006</x:v>
      </x:c>
      <x:c r="P24" s="40" t="n">
        <x:f>IFERROR(O24/N24,0)</x:f>
        <x:v>1</x:v>
      </x:c>
      <x:c r="Q24" s="33" t="n">
        <x:f>SUMIFS('标准化长表'!$N$2:$N$3075,'标准化长表'!$C$2:$C$3075,$C24,'标准化长表'!$K$2:$K$3075,"203")</x:f>
        <x:v>3651.472019000003</x:v>
      </x:c>
      <x:c r="R24" s="33" t="n">
        <x:f>SUMIFS('标准化长表'!$N$2:$N$3075,'标准化长表'!$C$2:$C$3075,$C24,'标准化长表'!$K$2:$K$3075,"203",'标准化长表'!$E$2:$E$3075,"建设用地")</x:f>
        <x:v>3582.233808000003</x:v>
      </x:c>
      <x:c r="S24" s="40" t="n">
        <x:f>IFERROR(R24/Q24,0)</x:f>
        <x:v>0.981038274252212</x:v>
      </x:c>
      <x:c r="T24" s="33" t="n">
        <x:f>SUMIFS('标准化长表'!$N$2:$N$3075,'标准化长表'!$C$2:$C$3075,$C24,'标准化长表'!$K$2:$K$3075,"203A")</x:f>
        <x:v>164.838872</x:v>
      </x:c>
      <x:c r="U24" s="33" t="n">
        <x:f>SUMIFS('标准化长表'!$N$2:$N$3075,'标准化长表'!$C$2:$C$3075,$C24,'标准化长表'!$K$2:$K$3075,"203A",'标准化长表'!$E$2:$E$3075,"建设用地")</x:f>
        <x:v>164.838872</x:v>
      </x:c>
      <x:c r="V24" s="40" t="n">
        <x:f>IFERROR(U24/T24,0)</x:f>
        <x:v>1</x:v>
      </x:c>
      <x:c r="W24" s="33" t="n">
        <x:f>SUMIFS('标准化长表'!$N$2:$N$3075,'标准化长表'!$C$2:$C$3075,$C24,'标准化长表'!$K$2:$K$3075,"204")</x:f>
        <x:v>91.72772200000001</x:v>
      </x:c>
      <x:c r="X24" s="33" t="n">
        <x:f>SUMIFS('标准化长表'!$N$2:$N$3075,'标准化长表'!$C$2:$C$3075,$C24,'标准化长表'!$K$2:$K$3075,"204",'标准化长表'!$E$2:$E$3075,"建设用地")</x:f>
        <x:v>91.72772200000001</x:v>
      </x:c>
      <x:c r="Y24" s="40" t="n">
        <x:f>IFERROR(X24/W24,0)</x:f>
        <x:v>1</x:v>
      </x:c>
      <x:c r="Z24" s="33" t="n">
        <x:f>SUMIFS('标准化长表'!$N$2:$N$3075,'标准化长表'!$C$2:$C$3075,$C24,'标准化长表'!$K$2:$K$3075,"205")</x:f>
        <x:v>244.75279399999988</x:v>
      </x:c>
      <x:c r="AA24" s="33" t="n">
        <x:f>SUMIFS('标准化长表'!$N$2:$N$3075,'标准化长表'!$C$2:$C$3075,$C24,'标准化长表'!$K$2:$K$3075,"205",'标准化长表'!$E$2:$E$3075,"建设用地")</x:f>
        <x:v>230.97104899999988</x:v>
      </x:c>
      <x:c r="AB24" s="52" t="n">
        <x:f>IFERROR(AA24/Z24,0)</x:f>
        <x:v>0.9436911637462246</x:v>
      </x:c>
    </x:row>
    <x:row r="25">
      <x:c r="A25" s="21" t="n">
        <x:v>350600</x:v>
      </x:c>
      <x:c r="B25" s="22" t="str">
        <x:v>漳州市</x:v>
      </x:c>
      <x:c r="C25" s="22" t="n">
        <x:v>350626</x:v>
      </x:c>
      <x:c r="D25" s="22" t="str">
        <x:v>东山县</x:v>
      </x:c>
      <x:c r="E25" s="33" t="n">
        <x:f>SUMIFS('标准化长表'!$N$2:$N$3075,'标准化长表'!$C$2:$C$3075,$C25,'标准化长表'!$K$2:$K$3075,"201")</x:f>
        <x:v>0</x:v>
      </x:c>
      <x:c r="F25" s="33" t="n">
        <x:f>SUMIFS('标准化长表'!$N$2:$N$3075,'标准化长表'!$C$2:$C$3075,$C25,'标准化长表'!$K$2:$K$3075,"201",'标准化长表'!$E$2:$E$3075,"建设用地")</x:f>
        <x:v>0</x:v>
      </x:c>
      <x:c r="G25" s="40" t="n">
        <x:f>IFERROR(F25/E25,0)</x:f>
        <x:v>0</x:v>
      </x:c>
      <x:c r="H25" s="33" t="n">
        <x:f>SUMIFS('标准化长表'!$N$2:$N$3075,'标准化长表'!$C$2:$C$3075,$C25,'标准化长表'!$K$2:$K$3075,"201A")</x:f>
        <x:v>0</x:v>
      </x:c>
      <x:c r="I25" s="33" t="n">
        <x:f>SUMIFS('标准化长表'!$N$2:$N$3075,'标准化长表'!$C$2:$C$3075,$C25,'标准化长表'!$K$2:$K$3075,"201A",'标准化长表'!$E$2:$E$3075,"建设用地")</x:f>
        <x:v>0</x:v>
      </x:c>
      <x:c r="J25" s="40" t="n">
        <x:f>IFERROR(I25/H25,0)</x:f>
        <x:v>0</x:v>
      </x:c>
      <x:c r="K25" s="33" t="n">
        <x:f>SUMIFS('标准化长表'!$N$2:$N$3075,'标准化长表'!$C$2:$C$3075,$C25,'标准化长表'!$K$2:$K$3075,"202")</x:f>
        <x:v>1916.6162810000014</x:v>
      </x:c>
      <x:c r="L25" s="33" t="n">
        <x:f>SUMIFS('标准化长表'!$N$2:$N$3075,'标准化长表'!$C$2:$C$3075,$C25,'标准化长表'!$K$2:$K$3075,"202",'标准化长表'!$E$2:$E$3075,"建设用地")</x:f>
        <x:v>1887.0482500000012</x:v>
      </x:c>
      <x:c r="M25" s="40" t="n">
        <x:f>IFERROR(L25/K25,0)</x:f>
        <x:v>0.9845727956643606</x:v>
      </x:c>
      <x:c r="N25" s="33" t="n">
        <x:f>SUMIFS('标准化长表'!$N$2:$N$3075,'标准化长表'!$C$2:$C$3075,$C25,'标准化长表'!$K$2:$K$3075,"202A")</x:f>
        <x:v>15.893647000000003</x:v>
      </x:c>
      <x:c r="O25" s="33" t="n">
        <x:f>SUMIFS('标准化长表'!$N$2:$N$3075,'标准化长表'!$C$2:$C$3075,$C25,'标准化长表'!$K$2:$K$3075,"202A",'标准化长表'!$E$2:$E$3075,"建设用地")</x:f>
        <x:v>15.893647000000003</x:v>
      </x:c>
      <x:c r="P25" s="40" t="n">
        <x:f>IFERROR(O25/N25,0)</x:f>
        <x:v>1</x:v>
      </x:c>
      <x:c r="Q25" s="33" t="n">
        <x:f>SUMIFS('标准化长表'!$N$2:$N$3075,'标准化长表'!$C$2:$C$3075,$C25,'标准化长表'!$K$2:$K$3075,"203")</x:f>
        <x:v>1304.7079719999997</x:v>
      </x:c>
      <x:c r="R25" s="33" t="n">
        <x:f>SUMIFS('标准化长表'!$N$2:$N$3075,'标准化长表'!$C$2:$C$3075,$C25,'标准化长表'!$K$2:$K$3075,"203",'标准化长表'!$E$2:$E$3075,"建设用地")</x:f>
        <x:v>1274.8590709999999</x:v>
      </x:c>
      <x:c r="S25" s="40" t="n">
        <x:f>IFERROR(R25/Q25,0)</x:f>
        <x:v>0.9771221594099374</x:v>
      </x:c>
      <x:c r="T25" s="33" t="n">
        <x:f>SUMIFS('标准化长表'!$N$2:$N$3075,'标准化长表'!$C$2:$C$3075,$C25,'标准化长表'!$K$2:$K$3075,"203A")</x:f>
        <x:v>70.13401999999999</x:v>
      </x:c>
      <x:c r="U25" s="33" t="n">
        <x:f>SUMIFS('标准化长表'!$N$2:$N$3075,'标准化长表'!$C$2:$C$3075,$C25,'标准化长表'!$K$2:$K$3075,"203A",'标准化长表'!$E$2:$E$3075,"建设用地")</x:f>
        <x:v>70.13401999999999</x:v>
      </x:c>
      <x:c r="V25" s="40" t="n">
        <x:f>IFERROR(U25/T25,0)</x:f>
        <x:v>1</x:v>
      </x:c>
      <x:c r="W25" s="33" t="n">
        <x:f>SUMIFS('标准化长表'!$N$2:$N$3075,'标准化长表'!$C$2:$C$3075,$C25,'标准化长表'!$K$2:$K$3075,"204")</x:f>
        <x:v>1164.6521000000002</x:v>
      </x:c>
      <x:c r="X25" s="33" t="n">
        <x:f>SUMIFS('标准化长表'!$N$2:$N$3075,'标准化长表'!$C$2:$C$3075,$C25,'标准化长表'!$K$2:$K$3075,"204",'标准化长表'!$E$2:$E$3075,"建设用地")</x:f>
        <x:v>1164.6240550000002</x:v>
      </x:c>
      <x:c r="Y25" s="40" t="n">
        <x:f>IFERROR(X25/W25,0)</x:f>
        <x:v>0.9999759198476523</x:v>
      </x:c>
      <x:c r="Z25" s="33" t="n">
        <x:f>SUMIFS('标准化长表'!$N$2:$N$3075,'标准化长表'!$C$2:$C$3075,$C25,'标准化长表'!$K$2:$K$3075,"205")</x:f>
        <x:v>180.96845500000006</x:v>
      </x:c>
      <x:c r="AA25" s="33" t="n">
        <x:f>SUMIFS('标准化长表'!$N$2:$N$3075,'标准化长表'!$C$2:$C$3075,$C25,'标准化长表'!$K$2:$K$3075,"205",'标准化长表'!$E$2:$E$3075,"建设用地")</x:f>
        <x:v>180.96845500000006</x:v>
      </x:c>
      <x:c r="AB25" s="52" t="n">
        <x:f>IFERROR(AA25/Z25,0)</x:f>
        <x:v>1</x:v>
      </x:c>
    </x:row>
    <x:row r="26">
      <x:c r="A26" s="21" t="n">
        <x:v>350600</x:v>
      </x:c>
      <x:c r="B26" s="22" t="str">
        <x:v>漳州市</x:v>
      </x:c>
      <x:c r="C26" s="22" t="n">
        <x:v>350627</x:v>
      </x:c>
      <x:c r="D26" s="22" t="str">
        <x:v>南靖县</x:v>
      </x:c>
      <x:c r="E26" s="33" t="n">
        <x:f>SUMIFS('标准化长表'!$N$2:$N$3075,'标准化长表'!$C$2:$C$3075,$C26,'标准化长表'!$K$2:$K$3075,"201")</x:f>
        <x:v>0</x:v>
      </x:c>
      <x:c r="F26" s="33" t="n">
        <x:f>SUMIFS('标准化长表'!$N$2:$N$3075,'标准化长表'!$C$2:$C$3075,$C26,'标准化长表'!$K$2:$K$3075,"201",'标准化长表'!$E$2:$E$3075,"建设用地")</x:f>
        <x:v>0</x:v>
      </x:c>
      <x:c r="G26" s="40" t="n">
        <x:f>IFERROR(F26/E26,0)</x:f>
        <x:v>0</x:v>
      </x:c>
      <x:c r="H26" s="33" t="n">
        <x:f>SUMIFS('标准化长表'!$N$2:$N$3075,'标准化长表'!$C$2:$C$3075,$C26,'标准化长表'!$K$2:$K$3075,"201A")</x:f>
        <x:v>0</x:v>
      </x:c>
      <x:c r="I26" s="33" t="n">
        <x:f>SUMIFS('标准化长表'!$N$2:$N$3075,'标准化长表'!$C$2:$C$3075,$C26,'标准化长表'!$K$2:$K$3075,"201A",'标准化长表'!$E$2:$E$3075,"建设用地")</x:f>
        <x:v>0</x:v>
      </x:c>
      <x:c r="J26" s="40" t="n">
        <x:f>IFERROR(I26/H26,0)</x:f>
        <x:v>0</x:v>
      </x:c>
      <x:c r="K26" s="33" t="n">
        <x:f>SUMIFS('标准化长表'!$N$2:$N$3075,'标准化长表'!$C$2:$C$3075,$C26,'标准化长表'!$K$2:$K$3075,"202")</x:f>
        <x:v>2053.283174</x:v>
      </x:c>
      <x:c r="L26" s="33" t="n">
        <x:f>SUMIFS('标准化长表'!$N$2:$N$3075,'标准化长表'!$C$2:$C$3075,$C26,'标准化长表'!$K$2:$K$3075,"202",'标准化长表'!$E$2:$E$3075,"建设用地")</x:f>
        <x:v>1968.461195</x:v>
      </x:c>
      <x:c r="M26" s="40" t="n">
        <x:f>IFERROR(L26/K26,0)</x:f>
        <x:v>0.9586895855018582</x:v>
      </x:c>
      <x:c r="N26" s="33" t="n">
        <x:f>SUMIFS('标准化长表'!$N$2:$N$3075,'标准化长表'!$C$2:$C$3075,$C26,'标准化长表'!$K$2:$K$3075,"202A")</x:f>
        <x:v>23.52351</x:v>
      </x:c>
      <x:c r="O26" s="33" t="n">
        <x:f>SUMIFS('标准化长表'!$N$2:$N$3075,'标准化长表'!$C$2:$C$3075,$C26,'标准化长表'!$K$2:$K$3075,"202A",'标准化长表'!$E$2:$E$3075,"建设用地")</x:f>
        <x:v>23.52351</x:v>
      </x:c>
      <x:c r="P26" s="40" t="n">
        <x:f>IFERROR(O26/N26,0)</x:f>
        <x:v>1</x:v>
      </x:c>
      <x:c r="Q26" s="33" t="n">
        <x:f>SUMIFS('标准化长表'!$N$2:$N$3075,'标准化长表'!$C$2:$C$3075,$C26,'标准化长表'!$K$2:$K$3075,"203")</x:f>
        <x:v>4954.785923000002</x:v>
      </x:c>
      <x:c r="R26" s="33" t="n">
        <x:f>SUMIFS('标准化长表'!$N$2:$N$3075,'标准化长表'!$C$2:$C$3075,$C26,'标准化长表'!$K$2:$K$3075,"203",'标准化长表'!$E$2:$E$3075,"建设用地")</x:f>
        <x:v>4917.146766000003</x:v>
      </x:c>
      <x:c r="S26" s="40" t="n">
        <x:f>IFERROR(R26/Q26,0)</x:f>
        <x:v>0.9924034746233376</x:v>
      </x:c>
      <x:c r="T26" s="33" t="n">
        <x:f>SUMIFS('标准化长表'!$N$2:$N$3075,'标准化长表'!$C$2:$C$3075,$C26,'标准化长表'!$K$2:$K$3075,"203A")</x:f>
        <x:v>176.16782800000001</x:v>
      </x:c>
      <x:c r="U26" s="33" t="n">
        <x:f>SUMIFS('标准化长表'!$N$2:$N$3075,'标准化长表'!$C$2:$C$3075,$C26,'标准化长表'!$K$2:$K$3075,"203A",'标准化长表'!$E$2:$E$3075,"建设用地")</x:f>
        <x:v>176.16782800000001</x:v>
      </x:c>
      <x:c r="V26" s="40" t="n">
        <x:f>IFERROR(U26/T26,0)</x:f>
        <x:v>1</x:v>
      </x:c>
      <x:c r="W26" s="33" t="n">
        <x:f>SUMIFS('标准化长表'!$N$2:$N$3075,'标准化长表'!$C$2:$C$3075,$C26,'标准化长表'!$K$2:$K$3075,"204")</x:f>
        <x:v>143.31969700000005</x:v>
      </x:c>
      <x:c r="X26" s="33" t="n">
        <x:f>SUMIFS('标准化长表'!$N$2:$N$3075,'标准化长表'!$C$2:$C$3075,$C26,'标准化长表'!$K$2:$K$3075,"204",'标准化长表'!$E$2:$E$3075,"建设用地")</x:f>
        <x:v>143.11745600000003</x:v>
      </x:c>
      <x:c r="Y26" s="40" t="n">
        <x:f>IFERROR(X26/W26,0)</x:f>
        <x:v>0.9985888820292439</x:v>
      </x:c>
      <x:c r="Z26" s="33" t="n">
        <x:f>SUMIFS('标准化长表'!$N$2:$N$3075,'标准化长表'!$C$2:$C$3075,$C26,'标准化长表'!$K$2:$K$3075,"205")</x:f>
        <x:v>216.56856400000007</x:v>
      </x:c>
      <x:c r="AA26" s="33" t="n">
        <x:f>SUMIFS('标准化长表'!$N$2:$N$3075,'标准化长表'!$C$2:$C$3075,$C26,'标准化长表'!$K$2:$K$3075,"205",'标准化长表'!$E$2:$E$3075,"建设用地")</x:f>
        <x:v>216.56856400000007</x:v>
      </x:c>
      <x:c r="AB26" s="52" t="n">
        <x:f>IFERROR(AA26/Z26,0)</x:f>
        <x:v>1</x:v>
      </x:c>
    </x:row>
    <x:row r="27">
      <x:c r="A27" s="21" t="n">
        <x:v>350600</x:v>
      </x:c>
      <x:c r="B27" s="22" t="str">
        <x:v>漳州市</x:v>
      </x:c>
      <x:c r="C27" s="22" t="n">
        <x:v>350628</x:v>
      </x:c>
      <x:c r="D27" s="22" t="str">
        <x:v>平和县</x:v>
      </x:c>
      <x:c r="E27" s="33" t="n">
        <x:f>SUMIFS('标准化长表'!$N$2:$N$3075,'标准化长表'!$C$2:$C$3075,$C27,'标准化长表'!$K$2:$K$3075,"201")</x:f>
        <x:v>0</x:v>
      </x:c>
      <x:c r="F27" s="33" t="n">
        <x:f>SUMIFS('标准化长表'!$N$2:$N$3075,'标准化长表'!$C$2:$C$3075,$C27,'标准化长表'!$K$2:$K$3075,"201",'标准化长表'!$E$2:$E$3075,"建设用地")</x:f>
        <x:v>0</x:v>
      </x:c>
      <x:c r="G27" s="40" t="n">
        <x:f>IFERROR(F27/E27,0)</x:f>
        <x:v>0</x:v>
      </x:c>
      <x:c r="H27" s="33" t="n">
        <x:f>SUMIFS('标准化长表'!$N$2:$N$3075,'标准化长表'!$C$2:$C$3075,$C27,'标准化长表'!$K$2:$K$3075,"201A")</x:f>
        <x:v>0</x:v>
      </x:c>
      <x:c r="I27" s="33" t="n">
        <x:f>SUMIFS('标准化长表'!$N$2:$N$3075,'标准化长表'!$C$2:$C$3075,$C27,'标准化长表'!$K$2:$K$3075,"201A",'标准化长表'!$E$2:$E$3075,"建设用地")</x:f>
        <x:v>0</x:v>
      </x:c>
      <x:c r="J27" s="40" t="n">
        <x:f>IFERROR(I27/H27,0)</x:f>
        <x:v>0</x:v>
      </x:c>
      <x:c r="K27" s="33" t="n">
        <x:f>SUMIFS('标准化长表'!$N$2:$N$3075,'标准化长表'!$C$2:$C$3075,$C27,'标准化长表'!$K$2:$K$3075,"202")</x:f>
        <x:v>1353.8426560000003</x:v>
      </x:c>
      <x:c r="L27" s="33" t="n">
        <x:f>SUMIFS('标准化长表'!$N$2:$N$3075,'标准化长表'!$C$2:$C$3075,$C27,'标准化长表'!$K$2:$K$3075,"202",'标准化长表'!$E$2:$E$3075,"建设用地")</x:f>
        <x:v>1291.3839190000006</x:v>
      </x:c>
      <x:c r="M27" s="40" t="n">
        <x:f>IFERROR(L27/K27,0)</x:f>
        <x:v>0.9538655864304517</x:v>
      </x:c>
      <x:c r="N27" s="33" t="n">
        <x:f>SUMIFS('标准化长表'!$N$2:$N$3075,'标准化长表'!$C$2:$C$3075,$C27,'标准化长表'!$K$2:$K$3075,"202A")</x:f>
        <x:v>0.776805</x:v>
      </x:c>
      <x:c r="O27" s="33" t="n">
        <x:f>SUMIFS('标准化长表'!$N$2:$N$3075,'标准化长表'!$C$2:$C$3075,$C27,'标准化长表'!$K$2:$K$3075,"202A",'标准化长表'!$E$2:$E$3075,"建设用地")</x:f>
        <x:v>0.776805</x:v>
      </x:c>
      <x:c r="P27" s="40" t="n">
        <x:f>IFERROR(O27/N27,0)</x:f>
        <x:v>1</x:v>
      </x:c>
      <x:c r="Q27" s="33" t="n">
        <x:f>SUMIFS('标准化长表'!$N$2:$N$3075,'标准化长表'!$C$2:$C$3075,$C27,'标准化长表'!$K$2:$K$3075,"203")</x:f>
        <x:v>5619.1982730000045</x:v>
      </x:c>
      <x:c r="R27" s="33" t="n">
        <x:f>SUMIFS('标准化长表'!$N$2:$N$3075,'标准化长表'!$C$2:$C$3075,$C27,'标准化长表'!$K$2:$K$3075,"203",'标准化长表'!$E$2:$E$3075,"建设用地")</x:f>
        <x:v>5564.058504000005</x:v>
      </x:c>
      <x:c r="S27" s="40" t="n">
        <x:f>IFERROR(R27/Q27,0)</x:f>
        <x:v>0.9901872533551729</x:v>
      </x:c>
      <x:c r="T27" s="33" t="n">
        <x:f>SUMIFS('标准化长表'!$N$2:$N$3075,'标准化长表'!$C$2:$C$3075,$C27,'标准化长表'!$K$2:$K$3075,"203A")</x:f>
        <x:v>113.70760999999999</x:v>
      </x:c>
      <x:c r="U27" s="33" t="n">
        <x:f>SUMIFS('标准化长表'!$N$2:$N$3075,'标准化长表'!$C$2:$C$3075,$C27,'标准化长表'!$K$2:$K$3075,"203A",'标准化长表'!$E$2:$E$3075,"建设用地")</x:f>
        <x:v>113.70760999999999</x:v>
      </x:c>
      <x:c r="V27" s="40" t="n">
        <x:f>IFERROR(U27/T27,0)</x:f>
        <x:v>1</x:v>
      </x:c>
      <x:c r="W27" s="33" t="n">
        <x:f>SUMIFS('标准化长表'!$N$2:$N$3075,'标准化长表'!$C$2:$C$3075,$C27,'标准化长表'!$K$2:$K$3075,"204")</x:f>
        <x:v>184.84543200000002</x:v>
      </x:c>
      <x:c r="X27" s="33" t="n">
        <x:f>SUMIFS('标准化长表'!$N$2:$N$3075,'标准化长表'!$C$2:$C$3075,$C27,'标准化长表'!$K$2:$K$3075,"204",'标准化长表'!$E$2:$E$3075,"建设用地")</x:f>
        <x:v>184.84543200000002</x:v>
      </x:c>
      <x:c r="Y27" s="40" t="n">
        <x:f>IFERROR(X27/W27,0)</x:f>
        <x:v>1</x:v>
      </x:c>
      <x:c r="Z27" s="33" t="n">
        <x:f>SUMIFS('标准化长表'!$N$2:$N$3075,'标准化长表'!$C$2:$C$3075,$C27,'标准化长表'!$K$2:$K$3075,"205")</x:f>
        <x:v>55.04228099999994</x:v>
      </x:c>
      <x:c r="AA27" s="33" t="n">
        <x:f>SUMIFS('标准化长表'!$N$2:$N$3075,'标准化长表'!$C$2:$C$3075,$C27,'标准化长表'!$K$2:$K$3075,"205",'标准化长表'!$E$2:$E$3075,"建设用地")</x:f>
        <x:v>55.04228099999994</x:v>
      </x:c>
      <x:c r="AB27" s="52" t="n">
        <x:f>IFERROR(AA27/Z27,0)</x:f>
        <x:v>1</x:v>
      </x:c>
    </x:row>
    <x:row r="28">
      <x:c r="A28" s="21" t="n">
        <x:v>350600</x:v>
      </x:c>
      <x:c r="B28" s="22" t="str">
        <x:v>漳州市</x:v>
      </x:c>
      <x:c r="C28" s="22" t="n">
        <x:v>350629</x:v>
      </x:c>
      <x:c r="D28" s="22" t="str">
        <x:v>华安县</x:v>
      </x:c>
      <x:c r="E28" s="33" t="n">
        <x:f>SUMIFS('标准化长表'!$N$2:$N$3075,'标准化长表'!$C$2:$C$3075,$C28,'标准化长表'!$K$2:$K$3075,"201")</x:f>
        <x:v>0</x:v>
      </x:c>
      <x:c r="F28" s="33" t="n">
        <x:f>SUMIFS('标准化长表'!$N$2:$N$3075,'标准化长表'!$C$2:$C$3075,$C28,'标准化长表'!$K$2:$K$3075,"201",'标准化长表'!$E$2:$E$3075,"建设用地")</x:f>
        <x:v>0</x:v>
      </x:c>
      <x:c r="G28" s="40" t="n">
        <x:f>IFERROR(F28/E28,0)</x:f>
        <x:v>0</x:v>
      </x:c>
      <x:c r="H28" s="33" t="n">
        <x:f>SUMIFS('标准化长表'!$N$2:$N$3075,'标准化长表'!$C$2:$C$3075,$C28,'标准化长表'!$K$2:$K$3075,"201A")</x:f>
        <x:v>0</x:v>
      </x:c>
      <x:c r="I28" s="33" t="n">
        <x:f>SUMIFS('标准化长表'!$N$2:$N$3075,'标准化长表'!$C$2:$C$3075,$C28,'标准化长表'!$K$2:$K$3075,"201A",'标准化长表'!$E$2:$E$3075,"建设用地")</x:f>
        <x:v>0</x:v>
      </x:c>
      <x:c r="J28" s="40" t="n">
        <x:f>IFERROR(I28/H28,0)</x:f>
        <x:v>0</x:v>
      </x:c>
      <x:c r="K28" s="33" t="n">
        <x:f>SUMIFS('标准化长表'!$N$2:$N$3075,'标准化长表'!$C$2:$C$3075,$C28,'标准化长表'!$K$2:$K$3075,"202")</x:f>
        <x:v>964.0966589999999</x:v>
      </x:c>
      <x:c r="L28" s="33" t="n">
        <x:f>SUMIFS('标准化长表'!$N$2:$N$3075,'标准化长表'!$C$2:$C$3075,$C28,'标准化长表'!$K$2:$K$3075,"202",'标准化长表'!$E$2:$E$3075,"建设用地")</x:f>
        <x:v>929.934888</x:v>
      </x:c>
      <x:c r="M28" s="40" t="n">
        <x:f>IFERROR(L28/K28,0)</x:f>
        <x:v>0.9645660311327767</x:v>
      </x:c>
      <x:c r="N28" s="33" t="n">
        <x:f>SUMIFS('标准化长表'!$N$2:$N$3075,'标准化长表'!$C$2:$C$3075,$C28,'标准化长表'!$K$2:$K$3075,"202A")</x:f>
        <x:v>0</x:v>
      </x:c>
      <x:c r="O28" s="33" t="n">
        <x:f>SUMIFS('标准化长表'!$N$2:$N$3075,'标准化长表'!$C$2:$C$3075,$C28,'标准化长表'!$K$2:$K$3075,"202A",'标准化长表'!$E$2:$E$3075,"建设用地")</x:f>
        <x:v>0</x:v>
      </x:c>
      <x:c r="P28" s="40" t="n">
        <x:f>IFERROR(O28/N28,0)</x:f>
        <x:v>0</x:v>
      </x:c>
      <x:c r="Q28" s="33" t="n">
        <x:f>SUMIFS('标准化长表'!$N$2:$N$3075,'标准化长表'!$C$2:$C$3075,$C28,'标准化长表'!$K$2:$K$3075,"203")</x:f>
        <x:v>2193.0339119999994</x:v>
      </x:c>
      <x:c r="R28" s="33" t="n">
        <x:f>SUMIFS('标准化长表'!$N$2:$N$3075,'标准化长表'!$C$2:$C$3075,$C28,'标准化长表'!$K$2:$K$3075,"203",'标准化长表'!$E$2:$E$3075,"建设用地")</x:f>
        <x:v>2165.837834999999</x:v>
      </x:c>
      <x:c r="S28" s="40" t="n">
        <x:f>IFERROR(R28/Q28,0)</x:f>
        <x:v>0.9875988798662952</x:v>
      </x:c>
      <x:c r="T28" s="33" t="n">
        <x:f>SUMIFS('标准化长表'!$N$2:$N$3075,'标准化长表'!$C$2:$C$3075,$C28,'标准化长表'!$K$2:$K$3075,"203A")</x:f>
        <x:v>218.01424199999994</x:v>
      </x:c>
      <x:c r="U28" s="33" t="n">
        <x:f>SUMIFS('标准化长表'!$N$2:$N$3075,'标准化长表'!$C$2:$C$3075,$C28,'标准化长表'!$K$2:$K$3075,"203A",'标准化长表'!$E$2:$E$3075,"建设用地")</x:f>
        <x:v>218.01424199999994</x:v>
      </x:c>
      <x:c r="V28" s="40" t="n">
        <x:f>IFERROR(U28/T28,0)</x:f>
        <x:v>1</x:v>
      </x:c>
      <x:c r="W28" s="33" t="n">
        <x:f>SUMIFS('标准化长表'!$N$2:$N$3075,'标准化长表'!$C$2:$C$3075,$C28,'标准化长表'!$K$2:$K$3075,"204")</x:f>
        <x:v>246.513665</x:v>
      </x:c>
      <x:c r="X28" s="33" t="n">
        <x:f>SUMIFS('标准化长表'!$N$2:$N$3075,'标准化长表'!$C$2:$C$3075,$C28,'标准化长表'!$K$2:$K$3075,"204",'标准化长表'!$E$2:$E$3075,"建设用地")</x:f>
        <x:v>245.910877</x:v>
      </x:c>
      <x:c r="Y28" s="40" t="n">
        <x:f>IFERROR(X28/W28,0)</x:f>
        <x:v>0.9975547481313054</x:v>
      </x:c>
      <x:c r="Z28" s="33" t="n">
        <x:f>SUMIFS('标准化长表'!$N$2:$N$3075,'标准化长表'!$C$2:$C$3075,$C28,'标准化长表'!$K$2:$K$3075,"205")</x:f>
        <x:v>50.122645999999996</x:v>
      </x:c>
      <x:c r="AA28" s="33" t="n">
        <x:f>SUMIFS('标准化长表'!$N$2:$N$3075,'标准化长表'!$C$2:$C$3075,$C28,'标准化长表'!$K$2:$K$3075,"205",'标准化长表'!$E$2:$E$3075,"建设用地")</x:f>
        <x:v>50.098496</x:v>
      </x:c>
      <x:c r="AB28" s="52" t="n">
        <x:f>IFERROR(AA28/Z28,0)</x:f>
        <x:v>0.9995181818613487</x:v>
      </x:c>
    </x:row>
    <x:row r="29">
      <x:c r="A29" s="24" t="n">
        <x:v>350600</x:v>
      </x:c>
      <x:c r="B29" s="25" t="str">
        <x:v>漳州市</x:v>
      </x:c>
      <x:c r="C29" s="25" t="n">
        <x:v>350681</x:v>
      </x:c>
      <x:c r="D29" s="25" t="str">
        <x:v>龙海区</x:v>
      </x:c>
      <x:c r="E29" s="37" t="n">
        <x:f>SUMIFS('标准化长表'!$N$2:$N$3075,'标准化长表'!$C$2:$C$3075,$C29,'标准化长表'!$K$2:$K$3075,"201")</x:f>
        <x:v>502.43162199999995</x:v>
      </x:c>
      <x:c r="F29" s="37" t="n">
        <x:f>SUMIFS('标准化长表'!$N$2:$N$3075,'标准化长表'!$C$2:$C$3075,$C29,'标准化长表'!$K$2:$K$3075,"201",'标准化长表'!$E$2:$E$3075,"建设用地")</x:f>
        <x:v>492.97217599999993</x:v>
      </x:c>
      <x:c r="G29" s="42" t="n">
        <x:f>IFERROR(F29/E29,0)</x:f>
        <x:v>0.9811726699001441</x:v>
      </x:c>
      <x:c r="H29" s="37" t="n">
        <x:f>SUMIFS('标准化长表'!$N$2:$N$3075,'标准化长表'!$C$2:$C$3075,$C29,'标准化长表'!$K$2:$K$3075,"201A")</x:f>
        <x:v>0</x:v>
      </x:c>
      <x:c r="I29" s="37" t="n">
        <x:f>SUMIFS('标准化长表'!$N$2:$N$3075,'标准化长表'!$C$2:$C$3075,$C29,'标准化长表'!$K$2:$K$3075,"201A",'标准化长表'!$E$2:$E$3075,"建设用地")</x:f>
        <x:v>0</x:v>
      </x:c>
      <x:c r="J29" s="42" t="n">
        <x:f>IFERROR(I29/H29,0)</x:f>
        <x:v>0</x:v>
      </x:c>
      <x:c r="K29" s="37" t="n">
        <x:f>SUMIFS('标准化长表'!$N$2:$N$3075,'标准化长表'!$C$2:$C$3075,$C29,'标准化长表'!$K$2:$K$3075,"202")</x:f>
        <x:v>6800.598801000003</x:v>
      </x:c>
      <x:c r="L29" s="37" t="n">
        <x:f>SUMIFS('标准化长表'!$N$2:$N$3075,'标准化长表'!$C$2:$C$3075,$C29,'标准化长表'!$K$2:$K$3075,"202",'标准化长表'!$E$2:$E$3075,"建设用地")</x:f>
        <x:v>6368.169995000003</x:v>
      </x:c>
      <x:c r="M29" s="42" t="n">
        <x:f>IFERROR(L29/K29,0)</x:f>
        <x:v>0.9364131279239097</x:v>
      </x:c>
      <x:c r="N29" s="37" t="n">
        <x:f>SUMIFS('标准化长表'!$N$2:$N$3075,'标准化长表'!$C$2:$C$3075,$C29,'标准化长表'!$K$2:$K$3075,"202A")</x:f>
        <x:v>18.096597000000003</x:v>
      </x:c>
      <x:c r="O29" s="37" t="n">
        <x:f>SUMIFS('标准化长表'!$N$2:$N$3075,'标准化长表'!$C$2:$C$3075,$C29,'标准化长表'!$K$2:$K$3075,"202A",'标准化长表'!$E$2:$E$3075,"建设用地")</x:f>
        <x:v>18.096597000000003</x:v>
      </x:c>
      <x:c r="P29" s="42" t="n">
        <x:f>IFERROR(O29/N29,0)</x:f>
        <x:v>1</x:v>
      </x:c>
      <x:c r="Q29" s="37" t="n">
        <x:f>SUMIFS('标准化长表'!$N$2:$N$3075,'标准化长表'!$C$2:$C$3075,$C29,'标准化长表'!$K$2:$K$3075,"203")</x:f>
        <x:v>11737.622549000029</x:v>
      </x:c>
      <x:c r="R29" s="37" t="n">
        <x:f>SUMIFS('标准化长表'!$N$2:$N$3075,'标准化长表'!$C$2:$C$3075,$C29,'标准化长表'!$K$2:$K$3075,"203",'标准化长表'!$E$2:$E$3075,"建设用地")</x:f>
        <x:v>11400.754763000028</x:v>
      </x:c>
      <x:c r="S29" s="42" t="n">
        <x:f>IFERROR(R29/Q29,0)</x:f>
        <x:v>0.9713001687868469</x:v>
      </x:c>
      <x:c r="T29" s="37" t="n">
        <x:f>SUMIFS('标准化长表'!$N$2:$N$3075,'标准化长表'!$C$2:$C$3075,$C29,'标准化长表'!$K$2:$K$3075,"203A")</x:f>
        <x:v>123.3146330000001</x:v>
      </x:c>
      <x:c r="U29" s="37" t="n">
        <x:f>SUMIFS('标准化长表'!$N$2:$N$3075,'标准化长表'!$C$2:$C$3075,$C29,'标准化长表'!$K$2:$K$3075,"203A",'标准化长表'!$E$2:$E$3075,"建设用地")</x:f>
        <x:v>123.3146330000001</x:v>
      </x:c>
      <x:c r="V29" s="42" t="n">
        <x:f>IFERROR(U29/T29,0)</x:f>
        <x:v>1</x:v>
      </x:c>
      <x:c r="W29" s="37" t="n">
        <x:f>SUMIFS('标准化长表'!$N$2:$N$3075,'标准化长表'!$C$2:$C$3075,$C29,'标准化长表'!$K$2:$K$3075,"204")</x:f>
        <x:v>1215.1926040000005</x:v>
      </x:c>
      <x:c r="X29" s="37" t="n">
        <x:f>SUMIFS('标准化长表'!$N$2:$N$3075,'标准化长表'!$C$2:$C$3075,$C29,'标准化长表'!$K$2:$K$3075,"204",'标准化长表'!$E$2:$E$3075,"建设用地")</x:f>
        <x:v>1215.1926040000005</x:v>
      </x:c>
      <x:c r="Y29" s="42" t="n">
        <x:f>IFERROR(X29/W29,0)</x:f>
        <x:v>1</x:v>
      </x:c>
      <x:c r="Z29" s="37" t="n">
        <x:f>SUMIFS('标准化长表'!$N$2:$N$3075,'标准化长表'!$C$2:$C$3075,$C29,'标准化长表'!$K$2:$K$3075,"205")</x:f>
        <x:v>678.0389870000002</x:v>
      </x:c>
      <x:c r="AA29" s="37" t="n">
        <x:f>SUMIFS('标准化长表'!$N$2:$N$3075,'标准化长表'!$C$2:$C$3075,$C29,'标准化长表'!$K$2:$K$3075,"205",'标准化长表'!$E$2:$E$3075,"建设用地")</x:f>
        <x:v>678.0389870000002</x:v>
      </x:c>
      <x:c r="AB29" s="53" t="n">
        <x:f>IFERROR(AA29/Z29,0)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7f7c781dc7c440b"/>
  </x:tableParts>
</x:worksheet>
</file>